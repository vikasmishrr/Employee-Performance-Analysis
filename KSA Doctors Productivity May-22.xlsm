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Lenovo\OneDrive\Desktop\"/>
    </mc:Choice>
  </mc:AlternateContent>
  <xr:revisionPtr revIDLastSave="0" documentId="13_ncr:1_{78030A67-6201-42B8-BD63-6E0E16547AF4}" xr6:coauthVersionLast="47" xr6:coauthVersionMax="47" xr10:uidLastSave="{00000000-0000-0000-0000-000000000000}"/>
  <bookViews>
    <workbookView xWindow="-120" yWindow="-120" windowWidth="29040" windowHeight="15720" tabRatio="674" xr2:uid="{70BB1270-99E2-4B6C-A13B-10DC2F1C0E5C}"/>
  </bookViews>
  <sheets>
    <sheet name="KSA Dashboard" sheetId="10" r:id="rId1"/>
    <sheet name="HJH-MTD" sheetId="103" state="hidden" r:id="rId2"/>
    <sheet name="HJH-DTD" sheetId="104" state="hidden" r:id="rId3"/>
    <sheet name="ADC-MTD" sheetId="105" state="hidden" r:id="rId4"/>
    <sheet name="ADC-DTD" sheetId="106" state="hidden" r:id="rId5"/>
    <sheet name="AFW-MTD" sheetId="107" state="hidden" r:id="rId6"/>
    <sheet name="AFW-DTD" sheetId="108" state="hidden" r:id="rId7"/>
    <sheet name="ALW-MTD" sheetId="109" state="hidden" r:id="rId8"/>
    <sheet name="ALW-DTD" sheetId="110" state="hidden" r:id="rId9"/>
    <sheet name="AKW-MTD" sheetId="111" state="hidden" r:id="rId10"/>
    <sheet name="AKW-DTD" sheetId="112" state="hidden"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 localSheetId="4">#REF!</definedName>
    <definedName name="\" localSheetId="3">#REF!</definedName>
    <definedName name="\" localSheetId="6">#REF!</definedName>
    <definedName name="\" localSheetId="5">#REF!</definedName>
    <definedName name="\" localSheetId="10">#REF!</definedName>
    <definedName name="\" localSheetId="9">#REF!</definedName>
    <definedName name="\" localSheetId="8">#REF!</definedName>
    <definedName name="\" localSheetId="7">#REF!</definedName>
    <definedName name="\" localSheetId="2">#REF!</definedName>
    <definedName name="\" localSheetId="1">#REF!</definedName>
    <definedName name="\" localSheetId="0">#REF!</definedName>
    <definedName name="\">#REF!</definedName>
    <definedName name="__IntlFixup">TRUE</definedName>
    <definedName name="_9_Jan" localSheetId="4">[1]SUMMARY!#REF!</definedName>
    <definedName name="_9_Jan" localSheetId="3">[1]SUMMARY!#REF!</definedName>
    <definedName name="_9_Jan" localSheetId="6">[1]SUMMARY!#REF!</definedName>
    <definedName name="_9_Jan" localSheetId="5">[1]SUMMARY!#REF!</definedName>
    <definedName name="_9_Jan" localSheetId="10">[1]SUMMARY!#REF!</definedName>
    <definedName name="_9_Jan" localSheetId="9">[1]SUMMARY!#REF!</definedName>
    <definedName name="_9_Jan" localSheetId="8">[1]SUMMARY!#REF!</definedName>
    <definedName name="_9_Jan" localSheetId="7">[1]SUMMARY!#REF!</definedName>
    <definedName name="_9_Jan" localSheetId="2">[1]SUMMARY!#REF!</definedName>
    <definedName name="_9_Jan" localSheetId="1">[1]SUMMARY!#REF!</definedName>
    <definedName name="_9_Jan" localSheetId="0">[1]SUMMARY!#REF!</definedName>
    <definedName name="_9_Jan">[1]SUMMARY!#REF!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4" hidden="1">'ADC-DTD'!$A$17:$AF$17</definedName>
    <definedName name="_xlnm._FilterDatabase" localSheetId="3" hidden="1">'ADC-MTD'!$A$66:$AR$189</definedName>
    <definedName name="_xlnm._FilterDatabase" localSheetId="6" hidden="1">'AFW-DTD'!$A$17:$AF$17</definedName>
    <definedName name="_xlnm._FilterDatabase" localSheetId="5" hidden="1">'AFW-MTD'!$A$117:$AN$300</definedName>
    <definedName name="_xlnm._FilterDatabase" localSheetId="10" hidden="1">'AKW-DTD'!$A$38:$AI$71</definedName>
    <definedName name="_xlnm._FilterDatabase" localSheetId="9" hidden="1">'AKW-MTD'!$A$37:$Y$66</definedName>
    <definedName name="_xlnm._FilterDatabase" localSheetId="8" hidden="1">'ALW-DTD'!$A$15:$AF$15</definedName>
    <definedName name="_xlnm._FilterDatabase" localSheetId="7" hidden="1">'ALW-MTD'!$A$30:$AM$57</definedName>
    <definedName name="_xlnm._FilterDatabase" localSheetId="2" hidden="1">'HJH-DTD'!$A$40:$Y$130</definedName>
    <definedName name="_xlnm._FilterDatabase" localSheetId="1" hidden="1">'HJH-MTD'!$B$26:$AF$86</definedName>
    <definedName name="_xlnm._FilterDatabase" localSheetId="0" hidden="1">'KSA Dashboard'!$A$95:$AH$366</definedName>
    <definedName name="_Order1">0</definedName>
    <definedName name="_xlcn.WorksheetConnection_Sheet12I2K81" hidden="1">[2]Sheet12!$I$2:$J$6</definedName>
    <definedName name="a">'[3]Loan Amortization Schedule'!$A$1:$J$497</definedName>
    <definedName name="AA" localSheetId="4">#REF!</definedName>
    <definedName name="AA" localSheetId="3">#REF!</definedName>
    <definedName name="AA" localSheetId="6">#REF!</definedName>
    <definedName name="AA" localSheetId="5">#REF!</definedName>
    <definedName name="AA" localSheetId="10">#REF!</definedName>
    <definedName name="AA" localSheetId="9">#REF!</definedName>
    <definedName name="AA" localSheetId="8">#REF!</definedName>
    <definedName name="AA" localSheetId="7">#REF!</definedName>
    <definedName name="AA" localSheetId="2">#REF!</definedName>
    <definedName name="AA" localSheetId="1">#REF!</definedName>
    <definedName name="AA" localSheetId="0">#REF!</definedName>
    <definedName name="AA">#REF!</definedName>
    <definedName name="aaa" localSheetId="4">#REF!</definedName>
    <definedName name="aaa" localSheetId="3">#REF!</definedName>
    <definedName name="aaa" localSheetId="6">#REF!</definedName>
    <definedName name="aaa" localSheetId="5">#REF!</definedName>
    <definedName name="aaa" localSheetId="10">#REF!</definedName>
    <definedName name="aaa" localSheetId="9">#REF!</definedName>
    <definedName name="aaa" localSheetId="8">#REF!</definedName>
    <definedName name="aaa" localSheetId="7">#REF!</definedName>
    <definedName name="aaa" localSheetId="2">#REF!</definedName>
    <definedName name="aaa" localSheetId="1">#REF!</definedName>
    <definedName name="aaa" localSheetId="0">#REF!</definedName>
    <definedName name="aaa">#REF!</definedName>
    <definedName name="aaaaa">#N/A</definedName>
    <definedName name="aaaaaaaa" localSheetId="4">#REF!</definedName>
    <definedName name="aaaaaaaa" localSheetId="3">#REF!</definedName>
    <definedName name="aaaaaaaa" localSheetId="6">#REF!</definedName>
    <definedName name="aaaaaaaa" localSheetId="5">#REF!</definedName>
    <definedName name="aaaaaaaa" localSheetId="10">#REF!</definedName>
    <definedName name="aaaaaaaa" localSheetId="9">#REF!</definedName>
    <definedName name="aaaaaaaa" localSheetId="8">#REF!</definedName>
    <definedName name="aaaaaaaa" localSheetId="7">#REF!</definedName>
    <definedName name="aaaaaaaa" localSheetId="2">#REF!</definedName>
    <definedName name="aaaaaaaa" localSheetId="1">#REF!</definedName>
    <definedName name="aaaaaaaa" localSheetId="0">#REF!</definedName>
    <definedName name="aaaaaaaa">#REF!</definedName>
    <definedName name="aaaaaaaaaaaaa" localSheetId="4">#REF!</definedName>
    <definedName name="aaaaaaaaaaaaa" localSheetId="3">#REF!</definedName>
    <definedName name="aaaaaaaaaaaaa" localSheetId="6">#REF!</definedName>
    <definedName name="aaaaaaaaaaaaa" localSheetId="5">#REF!</definedName>
    <definedName name="aaaaaaaaaaaaa" localSheetId="10">#REF!</definedName>
    <definedName name="aaaaaaaaaaaaa" localSheetId="9">#REF!</definedName>
    <definedName name="aaaaaaaaaaaaa" localSheetId="8">#REF!</definedName>
    <definedName name="aaaaaaaaaaaaa" localSheetId="7">#REF!</definedName>
    <definedName name="aaaaaaaaaaaaa" localSheetId="2">#REF!</definedName>
    <definedName name="aaaaaaaaaaaaa" localSheetId="1">#REF!</definedName>
    <definedName name="aaaaaaaaaaaaa" localSheetId="0">#REF!</definedName>
    <definedName name="aaaaaaaaaaaaa">#REF!</definedName>
    <definedName name="abcdefg">#N/A</definedName>
    <definedName name="abdelkarem" localSheetId="4">#REF!</definedName>
    <definedName name="abdelkarem" localSheetId="3">#REF!</definedName>
    <definedName name="abdelkarem" localSheetId="6">#REF!</definedName>
    <definedName name="abdelkarem" localSheetId="5">#REF!</definedName>
    <definedName name="abdelkarem" localSheetId="10">#REF!</definedName>
    <definedName name="abdelkarem" localSheetId="9">#REF!</definedName>
    <definedName name="abdelkarem" localSheetId="8">#REF!</definedName>
    <definedName name="abdelkarem" localSheetId="7">#REF!</definedName>
    <definedName name="abdelkarem" localSheetId="2">#REF!</definedName>
    <definedName name="abdelkarem" localSheetId="1">#REF!</definedName>
    <definedName name="abdelkarem" localSheetId="0">#REF!</definedName>
    <definedName name="abdelkarem">#REF!</definedName>
    <definedName name="activities" localSheetId="4">MATCH(0.01,End_Bal,-1)+1</definedName>
    <definedName name="activities" localSheetId="3">MATCH(0.01,End_Bal,-1)+1</definedName>
    <definedName name="activities" localSheetId="6">MATCH(0.01,End_Bal,-1)+1</definedName>
    <definedName name="activities" localSheetId="5">MATCH(0.01,End_Bal,-1)+1</definedName>
    <definedName name="activities" localSheetId="10">MATCH(0.01,End_Bal,-1)+1</definedName>
    <definedName name="activities" localSheetId="9">MATCH(0.01,End_Bal,-1)+1</definedName>
    <definedName name="activities" localSheetId="8">MATCH(0.01,End_Bal,-1)+1</definedName>
    <definedName name="activities" localSheetId="7">MATCH(0.01,End_Bal,-1)+1</definedName>
    <definedName name="activities" localSheetId="2">MATCH(0.01,End_Bal,-1)+1</definedName>
    <definedName name="activities" localSheetId="1">MATCH(0.01,End_Bal,-1)+1</definedName>
    <definedName name="activities" localSheetId="0">MATCH(0.01,[0]!End_Bal,-1)+1</definedName>
    <definedName name="activities">MATCH(0.01,End_Bal,-1)+1</definedName>
    <definedName name="activity" localSheetId="4">MATCH(0.01,End_Bal,-1)+1</definedName>
    <definedName name="activity" localSheetId="3">MATCH(0.01,End_Bal,-1)+1</definedName>
    <definedName name="activity" localSheetId="6">MATCH(0.01,End_Bal,-1)+1</definedName>
    <definedName name="activity" localSheetId="5">MATCH(0.01,End_Bal,-1)+1</definedName>
    <definedName name="activity" localSheetId="10">MATCH(0.01,End_Bal,-1)+1</definedName>
    <definedName name="activity" localSheetId="9">MATCH(0.01,End_Bal,-1)+1</definedName>
    <definedName name="activity" localSheetId="8">MATCH(0.01,End_Bal,-1)+1</definedName>
    <definedName name="activity" localSheetId="7">MATCH(0.01,End_Bal,-1)+1</definedName>
    <definedName name="activity" localSheetId="2">MATCH(0.01,End_Bal,-1)+1</definedName>
    <definedName name="activity" localSheetId="1">MATCH(0.01,End_Bal,-1)+1</definedName>
    <definedName name="activity" localSheetId="0">MATCH(0.01,[0]!End_Bal,-1)+1</definedName>
    <definedName name="activity">MATCH(0.01,End_Bal,-1)+1</definedName>
    <definedName name="ACTUAL2">MIN([4]!tblPersonnelExpenses[DIFFERENCE (%)])</definedName>
    <definedName name="aeryaeryr" localSheetId="4">#REF!</definedName>
    <definedName name="aeryaeryr" localSheetId="3">#REF!</definedName>
    <definedName name="aeryaeryr" localSheetId="6">#REF!</definedName>
    <definedName name="aeryaeryr" localSheetId="5">#REF!</definedName>
    <definedName name="aeryaeryr" localSheetId="10">#REF!</definedName>
    <definedName name="aeryaeryr" localSheetId="9">#REF!</definedName>
    <definedName name="aeryaeryr" localSheetId="8">#REF!</definedName>
    <definedName name="aeryaeryr" localSheetId="7">#REF!</definedName>
    <definedName name="aeryaeryr" localSheetId="2">#REF!</definedName>
    <definedName name="aeryaeryr" localSheetId="1">#REF!</definedName>
    <definedName name="aeryaeryr" localSheetId="0">#REF!</definedName>
    <definedName name="aeryaeryr">#REF!</definedName>
    <definedName name="aeryaeyaerh" localSheetId="4">#REF!</definedName>
    <definedName name="aeryaeyaerh" localSheetId="3">#REF!</definedName>
    <definedName name="aeryaeyaerh" localSheetId="6">#REF!</definedName>
    <definedName name="aeryaeyaerh" localSheetId="5">#REF!</definedName>
    <definedName name="aeryaeyaerh" localSheetId="10">#REF!</definedName>
    <definedName name="aeryaeyaerh" localSheetId="9">#REF!</definedName>
    <definedName name="aeryaeyaerh" localSheetId="8">#REF!</definedName>
    <definedName name="aeryaeyaerh" localSheetId="7">#REF!</definedName>
    <definedName name="aeryaeyaerh" localSheetId="2">#REF!</definedName>
    <definedName name="aeryaeyaerh" localSheetId="1">#REF!</definedName>
    <definedName name="aeryaeyaerh" localSheetId="0">#REF!</definedName>
    <definedName name="aeryaeyaerh">#REF!</definedName>
    <definedName name="aeryayerary" localSheetId="4">#REF!</definedName>
    <definedName name="aeryayerary" localSheetId="3">#REF!</definedName>
    <definedName name="aeryayerary" localSheetId="6">#REF!</definedName>
    <definedName name="aeryayerary" localSheetId="5">#REF!</definedName>
    <definedName name="aeryayerary" localSheetId="10">#REF!</definedName>
    <definedName name="aeryayerary" localSheetId="9">#REF!</definedName>
    <definedName name="aeryayerary" localSheetId="8">#REF!</definedName>
    <definedName name="aeryayerary" localSheetId="7">#REF!</definedName>
    <definedName name="aeryayerary" localSheetId="2">#REF!</definedName>
    <definedName name="aeryayerary" localSheetId="1">#REF!</definedName>
    <definedName name="aeryayerary" localSheetId="0">#REF!</definedName>
    <definedName name="aeryayerary">#REF!</definedName>
    <definedName name="afasf" localSheetId="4">#REF!</definedName>
    <definedName name="afasf" localSheetId="3">#REF!</definedName>
    <definedName name="afasf" localSheetId="6">#REF!</definedName>
    <definedName name="afasf" localSheetId="5">#REF!</definedName>
    <definedName name="afasf" localSheetId="10">#REF!</definedName>
    <definedName name="afasf" localSheetId="9">#REF!</definedName>
    <definedName name="afasf" localSheetId="8">#REF!</definedName>
    <definedName name="afasf" localSheetId="7">#REF!</definedName>
    <definedName name="afasf" localSheetId="2">#REF!</definedName>
    <definedName name="afasf" localSheetId="1">#REF!</definedName>
    <definedName name="afasf" localSheetId="0">#REF!</definedName>
    <definedName name="afasf">#REF!</definedName>
    <definedName name="affara" localSheetId="4">#REF!</definedName>
    <definedName name="affara" localSheetId="3">#REF!</definedName>
    <definedName name="affara" localSheetId="6">#REF!</definedName>
    <definedName name="affara" localSheetId="5">#REF!</definedName>
    <definedName name="affara" localSheetId="10">#REF!</definedName>
    <definedName name="affara" localSheetId="9">#REF!</definedName>
    <definedName name="affara" localSheetId="8">#REF!</definedName>
    <definedName name="affara" localSheetId="7">#REF!</definedName>
    <definedName name="affara" localSheetId="2">#REF!</definedName>
    <definedName name="affara" localSheetId="1">#REF!</definedName>
    <definedName name="affara" localSheetId="0">#REF!</definedName>
    <definedName name="affara">#REF!</definedName>
    <definedName name="afsaf" localSheetId="4">#REF!</definedName>
    <definedName name="afsaf" localSheetId="3">#REF!</definedName>
    <definedName name="afsaf" localSheetId="6">#REF!</definedName>
    <definedName name="afsaf" localSheetId="5">#REF!</definedName>
    <definedName name="afsaf" localSheetId="10">#REF!</definedName>
    <definedName name="afsaf" localSheetId="9">#REF!</definedName>
    <definedName name="afsaf" localSheetId="8">#REF!</definedName>
    <definedName name="afsaf" localSheetId="7">#REF!</definedName>
    <definedName name="afsaf" localSheetId="2">#REF!</definedName>
    <definedName name="afsaf" localSheetId="1">#REF!</definedName>
    <definedName name="afsaf" localSheetId="0">#REF!</definedName>
    <definedName name="afsaf">#REF!</definedName>
    <definedName name="agawt" localSheetId="4">#REF!</definedName>
    <definedName name="agawt" localSheetId="3">#REF!</definedName>
    <definedName name="agawt" localSheetId="6">#REF!</definedName>
    <definedName name="agawt" localSheetId="5">#REF!</definedName>
    <definedName name="agawt" localSheetId="10">#REF!</definedName>
    <definedName name="agawt" localSheetId="9">#REF!</definedName>
    <definedName name="agawt" localSheetId="8">#REF!</definedName>
    <definedName name="agawt" localSheetId="7">#REF!</definedName>
    <definedName name="agawt" localSheetId="2">#REF!</definedName>
    <definedName name="agawt" localSheetId="1">#REF!</definedName>
    <definedName name="agawt" localSheetId="0">#REF!</definedName>
    <definedName name="agawt">#REF!</definedName>
    <definedName name="Agent" localSheetId="4">#REF!</definedName>
    <definedName name="Agent" localSheetId="3">#REF!</definedName>
    <definedName name="Agent" localSheetId="6">#REF!</definedName>
    <definedName name="Agent" localSheetId="5">#REF!</definedName>
    <definedName name="Agent" localSheetId="10">#REF!</definedName>
    <definedName name="Agent" localSheetId="9">#REF!</definedName>
    <definedName name="Agent" localSheetId="8">#REF!</definedName>
    <definedName name="Agent" localSheetId="7">#REF!</definedName>
    <definedName name="Agent" localSheetId="2">#REF!</definedName>
    <definedName name="Agent" localSheetId="1">#REF!</definedName>
    <definedName name="Agent" localSheetId="0">#REF!</definedName>
    <definedName name="Agent">#REF!</definedName>
    <definedName name="Ah" localSheetId="4">#REF!</definedName>
    <definedName name="Ah" localSheetId="3">#REF!</definedName>
    <definedName name="Ah" localSheetId="6">#REF!</definedName>
    <definedName name="Ah" localSheetId="5">#REF!</definedName>
    <definedName name="Ah" localSheetId="10">#REF!</definedName>
    <definedName name="Ah" localSheetId="9">#REF!</definedName>
    <definedName name="Ah" localSheetId="8">#REF!</definedName>
    <definedName name="Ah" localSheetId="7">#REF!</definedName>
    <definedName name="Ah" localSheetId="2">#REF!</definedName>
    <definedName name="Ah" localSheetId="1">#REF!</definedName>
    <definedName name="Ah" localSheetId="0">#REF!</definedName>
    <definedName name="Ah">#REF!</definedName>
    <definedName name="alaa" localSheetId="4">[1]SUMMARY!#REF!</definedName>
    <definedName name="alaa" localSheetId="3">[1]SUMMARY!#REF!</definedName>
    <definedName name="alaa" localSheetId="6">[1]SUMMARY!#REF!</definedName>
    <definedName name="alaa" localSheetId="5">[1]SUMMARY!#REF!</definedName>
    <definedName name="alaa" localSheetId="10">[1]SUMMARY!#REF!</definedName>
    <definedName name="alaa" localSheetId="9">[1]SUMMARY!#REF!</definedName>
    <definedName name="alaa" localSheetId="8">[1]SUMMARY!#REF!</definedName>
    <definedName name="alaa" localSheetId="7">[1]SUMMARY!#REF!</definedName>
    <definedName name="alaa" localSheetId="2">[1]SUMMARY!#REF!</definedName>
    <definedName name="alaa" localSheetId="1">[1]SUMMARY!#REF!</definedName>
    <definedName name="alaa">[1]SUMMARY!#REF!</definedName>
    <definedName name="amal" localSheetId="4">#REF!</definedName>
    <definedName name="amal" localSheetId="3">#REF!</definedName>
    <definedName name="amal" localSheetId="6">#REF!</definedName>
    <definedName name="amal" localSheetId="5">#REF!</definedName>
    <definedName name="amal" localSheetId="10">#REF!</definedName>
    <definedName name="amal" localSheetId="9">#REF!</definedName>
    <definedName name="amal" localSheetId="8">#REF!</definedName>
    <definedName name="amal" localSheetId="7">#REF!</definedName>
    <definedName name="amal" localSheetId="2">#REF!</definedName>
    <definedName name="amal" localSheetId="1">#REF!</definedName>
    <definedName name="amal" localSheetId="0">#REF!</definedName>
    <definedName name="amal">#REF!</definedName>
    <definedName name="Amr" localSheetId="4">#REF!</definedName>
    <definedName name="Amr" localSheetId="3">#REF!</definedName>
    <definedName name="Amr" localSheetId="6">#REF!</definedName>
    <definedName name="Amr" localSheetId="5">#REF!</definedName>
    <definedName name="Amr" localSheetId="10">#REF!</definedName>
    <definedName name="Amr" localSheetId="9">#REF!</definedName>
    <definedName name="Amr" localSheetId="8">#REF!</definedName>
    <definedName name="Amr" localSheetId="7">#REF!</definedName>
    <definedName name="Amr" localSheetId="2">#REF!</definedName>
    <definedName name="Amr" localSheetId="1">#REF!</definedName>
    <definedName name="Amr" localSheetId="0">#REF!</definedName>
    <definedName name="Amr">#REF!</definedName>
    <definedName name="april">'[3]Loan Amortization Schedule'!$H$18:$H$497</definedName>
    <definedName name="AprSun1" localSheetId="4">DATE(TheYear,4,1)-WEEKDAY(DATE(TheYear,4,1))+1</definedName>
    <definedName name="AprSun1" localSheetId="3">DATE(TheYear,4,1)-WEEKDAY(DATE(TheYear,4,1))+1</definedName>
    <definedName name="AprSun1" localSheetId="6">DATE(TheYear,4,1)-WEEKDAY(DATE(TheYear,4,1))+1</definedName>
    <definedName name="AprSun1" localSheetId="5">DATE(TheYear,4,1)-WEEKDAY(DATE(TheYear,4,1))+1</definedName>
    <definedName name="AprSun1" localSheetId="10">DATE(TheYear,4,1)-WEEKDAY(DATE(TheYear,4,1))+1</definedName>
    <definedName name="AprSun1" localSheetId="9">DATE(TheYear,4,1)-WEEKDAY(DATE(TheYear,4,1))+1</definedName>
    <definedName name="AprSun1" localSheetId="8">DATE(TheYear,4,1)-WEEKDAY(DATE(TheYear,4,1))+1</definedName>
    <definedName name="AprSun1" localSheetId="7">DATE(TheYear,4,1)-WEEKDAY(DATE(TheYear,4,1))+1</definedName>
    <definedName name="AprSun1" localSheetId="2">DATE(TheYear,4,1)-WEEKDAY(DATE(TheYear,4,1))+1</definedName>
    <definedName name="AprSun1" localSheetId="1">DATE(TheYear,4,1)-WEEKDAY(DATE(TheYear,4,1))+1</definedName>
    <definedName name="AprSun1" localSheetId="0">DATE([0]!TheYear,4,1)-WEEKDAY(DATE([0]!TheYear,4,1))+1</definedName>
    <definedName name="AprSun1">DATE(TheYear,4,1)-WEEKDAY(DATE(TheYear,4,1))+1</definedName>
    <definedName name="aq" localSheetId="4">#REF!</definedName>
    <definedName name="aq" localSheetId="3">#REF!</definedName>
    <definedName name="aq" localSheetId="6">#REF!</definedName>
    <definedName name="aq" localSheetId="5">#REF!</definedName>
    <definedName name="aq" localSheetId="10">#REF!</definedName>
    <definedName name="aq" localSheetId="9">#REF!</definedName>
    <definedName name="aq" localSheetId="8">#REF!</definedName>
    <definedName name="aq" localSheetId="7">#REF!</definedName>
    <definedName name="aq" localSheetId="2">#REF!</definedName>
    <definedName name="aq" localSheetId="1">#REF!</definedName>
    <definedName name="aq" localSheetId="0">#REF!</definedName>
    <definedName name="aq">#REF!</definedName>
    <definedName name="arrMed1" localSheetId="4">MEDIAN(OFFSET('ADC-DTD'!chtData,0,0,'ADC-DTD'!valCodespot-1,1))</definedName>
    <definedName name="arrMed1" localSheetId="3">MEDIAN(OFFSET('ADC-MTD'!chtData,0,0,'ADC-MTD'!valCodespot-1,1))</definedName>
    <definedName name="arrMed1" localSheetId="6">MEDIAN(OFFSET('AFW-DTD'!chtData,0,0,'AFW-DTD'!valCodespot-1,1))</definedName>
    <definedName name="arrMed1" localSheetId="5">MEDIAN(OFFSET('AFW-MTD'!chtData,0,0,'AFW-MTD'!valCodespot-1,1))</definedName>
    <definedName name="arrMed1" localSheetId="10">MEDIAN(OFFSET('AKW-DTD'!chtData,0,0,'AKW-DTD'!valCodespot-1,1))</definedName>
    <definedName name="arrMed1" localSheetId="9">MEDIAN(OFFSET('AKW-MTD'!chtData,0,0,'AKW-MTD'!valCodespot-1,1))</definedName>
    <definedName name="arrMed1" localSheetId="8">MEDIAN(OFFSET('ALW-DTD'!chtData,0,0,'ALW-DTD'!valCodespot-1,1))</definedName>
    <definedName name="arrMed1" localSheetId="7">MEDIAN(OFFSET('ALW-MTD'!chtData,0,0,'ALW-MTD'!valCodespot-1,1))</definedName>
    <definedName name="arrMed1" localSheetId="2">MEDIAN(OFFSET('HJH-DTD'!chtData,0,0,'HJH-DTD'!valCodespot-1,1))</definedName>
    <definedName name="arrMed1" localSheetId="1">MEDIAN(OFFSET('HJH-MTD'!chtData,0,0,'HJH-MTD'!valCodespot-1,1))</definedName>
    <definedName name="arrMed1" localSheetId="0">MEDIAN(OFFSET('KSA Dashboard'!chtData,0,0,'KSA Dashboard'!valCodespot-1,1))</definedName>
    <definedName name="arrMed1">MEDIAN(OFFSET([0]!chtData,0,0,[0]!valCodespot-1,1))</definedName>
    <definedName name="arrMed2" localSheetId="4">MEDIAN(OFFSET('ADC-DTD'!chtData,'ADC-DTD'!valCodespot,0,ROWS('ADC-DTD'!chtData)-'ADC-DTD'!valCodespot,1))</definedName>
    <definedName name="arrMed2" localSheetId="3">MEDIAN(OFFSET('ADC-MTD'!chtData,'ADC-MTD'!valCodespot,0,ROWS('ADC-MTD'!chtData)-'ADC-MTD'!valCodespot,1))</definedName>
    <definedName name="arrMed2" localSheetId="6">MEDIAN(OFFSET('AFW-DTD'!chtData,'AFW-DTD'!valCodespot,0,ROWS('AFW-DTD'!chtData)-'AFW-DTD'!valCodespot,1))</definedName>
    <definedName name="arrMed2" localSheetId="5">MEDIAN(OFFSET('AFW-MTD'!chtData,'AFW-MTD'!valCodespot,0,ROWS('AFW-MTD'!chtData)-'AFW-MTD'!valCodespot,1))</definedName>
    <definedName name="arrMed2" localSheetId="10">MEDIAN(OFFSET('AKW-DTD'!chtData,'AKW-DTD'!valCodespot,0,ROWS('AKW-DTD'!chtData)-'AKW-DTD'!valCodespot,1))</definedName>
    <definedName name="arrMed2" localSheetId="9">MEDIAN(OFFSET('AKW-MTD'!chtData,'AKW-MTD'!valCodespot,0,ROWS('AKW-MTD'!chtData)-'AKW-MTD'!valCodespot,1))</definedName>
    <definedName name="arrMed2" localSheetId="8">MEDIAN(OFFSET('ALW-DTD'!chtData,'ALW-DTD'!valCodespot,0,ROWS('ALW-DTD'!chtData)-'ALW-DTD'!valCodespot,1))</definedName>
    <definedName name="arrMed2" localSheetId="7">MEDIAN(OFFSET('ALW-MTD'!chtData,'ALW-MTD'!valCodespot,0,ROWS('ALW-MTD'!chtData)-'ALW-MTD'!valCodespot,1))</definedName>
    <definedName name="arrMed2" localSheetId="2">MEDIAN(OFFSET('HJH-DTD'!chtData,'HJH-DTD'!valCodespot,0,ROWS('HJH-DTD'!chtData)-'HJH-DTD'!valCodespot,1))</definedName>
    <definedName name="arrMed2" localSheetId="1">MEDIAN(OFFSET('HJH-MTD'!chtData,'HJH-MTD'!valCodespot,0,ROWS('HJH-MTD'!chtData)-'HJH-MTD'!valCodespot,1))</definedName>
    <definedName name="arrMed2" localSheetId="0">MEDIAN(OFFSET('KSA Dashboard'!chtData,'KSA Dashboard'!valCodespot,0,ROWS('KSA Dashboard'!chtData)-'KSA Dashboard'!valCodespot,1))</definedName>
    <definedName name="arrMed2">MEDIAN(OFFSET([0]!chtData,[0]!valCodespot,0,ROWS([0]!chtData)-[0]!valCodespot,1))</definedName>
    <definedName name="arrrr" localSheetId="4">#REF!</definedName>
    <definedName name="arrrr" localSheetId="3">#REF!</definedName>
    <definedName name="arrrr" localSheetId="6">#REF!</definedName>
    <definedName name="arrrr" localSheetId="5">#REF!</definedName>
    <definedName name="arrrr" localSheetId="10">#REF!</definedName>
    <definedName name="arrrr" localSheetId="9">#REF!</definedName>
    <definedName name="arrrr" localSheetId="8">#REF!</definedName>
    <definedName name="arrrr" localSheetId="7">#REF!</definedName>
    <definedName name="arrrr" localSheetId="2">#REF!</definedName>
    <definedName name="arrrr" localSheetId="1">#REF!</definedName>
    <definedName name="arrrr" localSheetId="0">#REF!</definedName>
    <definedName name="arrrr">#REF!</definedName>
    <definedName name="as" localSheetId="4">#REF!</definedName>
    <definedName name="as" localSheetId="3">#REF!</definedName>
    <definedName name="as" localSheetId="6">#REF!</definedName>
    <definedName name="as" localSheetId="5">#REF!</definedName>
    <definedName name="as" localSheetId="10">#REF!</definedName>
    <definedName name="as" localSheetId="9">#REF!</definedName>
    <definedName name="as" localSheetId="8">#REF!</definedName>
    <definedName name="as" localSheetId="7">#REF!</definedName>
    <definedName name="as" localSheetId="2">#REF!</definedName>
    <definedName name="as" localSheetId="1">#REF!</definedName>
    <definedName name="as" localSheetId="0">#REF!</definedName>
    <definedName name="as">#REF!</definedName>
    <definedName name="asas" localSheetId="4">#REF!</definedName>
    <definedName name="asas" localSheetId="3">#REF!</definedName>
    <definedName name="asas" localSheetId="6">#REF!</definedName>
    <definedName name="asas" localSheetId="5">#REF!</definedName>
    <definedName name="asas" localSheetId="10">#REF!</definedName>
    <definedName name="asas" localSheetId="9">#REF!</definedName>
    <definedName name="asas" localSheetId="8">#REF!</definedName>
    <definedName name="asas" localSheetId="7">#REF!</definedName>
    <definedName name="asas" localSheetId="2">#REF!</definedName>
    <definedName name="asas" localSheetId="1">#REF!</definedName>
    <definedName name="asas" localSheetId="0">#REF!</definedName>
    <definedName name="asas">#REF!</definedName>
    <definedName name="asffaaaaaaaaaaa" localSheetId="4">#REF!</definedName>
    <definedName name="asffaaaaaaaaaaa" localSheetId="3">#REF!</definedName>
    <definedName name="asffaaaaaaaaaaa" localSheetId="6">#REF!</definedName>
    <definedName name="asffaaaaaaaaaaa" localSheetId="5">#REF!</definedName>
    <definedName name="asffaaaaaaaaaaa" localSheetId="10">#REF!</definedName>
    <definedName name="asffaaaaaaaaaaa" localSheetId="9">#REF!</definedName>
    <definedName name="asffaaaaaaaaaaa" localSheetId="8">#REF!</definedName>
    <definedName name="asffaaaaaaaaaaa" localSheetId="7">#REF!</definedName>
    <definedName name="asffaaaaaaaaaaa" localSheetId="2">#REF!</definedName>
    <definedName name="asffaaaaaaaaaaa" localSheetId="1">#REF!</definedName>
    <definedName name="asffaaaaaaaaaaa" localSheetId="0">#REF!</definedName>
    <definedName name="asffaaaaaaaaaaa">#REF!</definedName>
    <definedName name="asfsaz" localSheetId="4">#REF!</definedName>
    <definedName name="asfsaz" localSheetId="3">#REF!</definedName>
    <definedName name="asfsaz" localSheetId="6">#REF!</definedName>
    <definedName name="asfsaz" localSheetId="5">#REF!</definedName>
    <definedName name="asfsaz" localSheetId="10">#REF!</definedName>
    <definedName name="asfsaz" localSheetId="9">#REF!</definedName>
    <definedName name="asfsaz" localSheetId="8">#REF!</definedName>
    <definedName name="asfsaz" localSheetId="7">#REF!</definedName>
    <definedName name="asfsaz" localSheetId="2">#REF!</definedName>
    <definedName name="asfsaz" localSheetId="1">#REF!</definedName>
    <definedName name="asfsaz" localSheetId="0">#REF!</definedName>
    <definedName name="asfsaz">#REF!</definedName>
    <definedName name="Ash" localSheetId="4">MATCH(0.01,End_Bal,-1)+1</definedName>
    <definedName name="Ash" localSheetId="3">MATCH(0.01,End_Bal,-1)+1</definedName>
    <definedName name="Ash" localSheetId="6">MATCH(0.01,End_Bal,-1)+1</definedName>
    <definedName name="Ash" localSheetId="5">MATCH(0.01,End_Bal,-1)+1</definedName>
    <definedName name="Ash" localSheetId="10">MATCH(0.01,End_Bal,-1)+1</definedName>
    <definedName name="Ash" localSheetId="9">MATCH(0.01,End_Bal,-1)+1</definedName>
    <definedName name="Ash" localSheetId="8">MATCH(0.01,End_Bal,-1)+1</definedName>
    <definedName name="Ash" localSheetId="7">MATCH(0.01,End_Bal,-1)+1</definedName>
    <definedName name="Ash" localSheetId="2">MATCH(0.01,End_Bal,-1)+1</definedName>
    <definedName name="Ash" localSheetId="1">MATCH(0.01,End_Bal,-1)+1</definedName>
    <definedName name="Ash" localSheetId="0">MATCH(0.01,[0]!End_Bal,-1)+1</definedName>
    <definedName name="Ash">MATCH(0.01,End_Bal,-1)+1</definedName>
    <definedName name="ASMAA" localSheetId="4">#REF!</definedName>
    <definedName name="ASMAA" localSheetId="3">#REF!</definedName>
    <definedName name="ASMAA" localSheetId="6">#REF!</definedName>
    <definedName name="ASMAA" localSheetId="5">#REF!</definedName>
    <definedName name="ASMAA" localSheetId="10">#REF!</definedName>
    <definedName name="ASMAA" localSheetId="9">#REF!</definedName>
    <definedName name="ASMAA" localSheetId="8">#REF!</definedName>
    <definedName name="ASMAA" localSheetId="7">#REF!</definedName>
    <definedName name="ASMAA" localSheetId="2">#REF!</definedName>
    <definedName name="ASMAA" localSheetId="1">#REF!</definedName>
    <definedName name="ASMAA" localSheetId="0">#REF!</definedName>
    <definedName name="ASMAA">#REF!</definedName>
    <definedName name="Asss" localSheetId="4">#REF!</definedName>
    <definedName name="Asss" localSheetId="3">#REF!</definedName>
    <definedName name="Asss" localSheetId="6">#REF!</definedName>
    <definedName name="Asss" localSheetId="5">#REF!</definedName>
    <definedName name="Asss" localSheetId="10">#REF!</definedName>
    <definedName name="Asss" localSheetId="9">#REF!</definedName>
    <definedName name="Asss" localSheetId="8">#REF!</definedName>
    <definedName name="Asss" localSheetId="7">#REF!</definedName>
    <definedName name="Asss" localSheetId="2">#REF!</definedName>
    <definedName name="Asss" localSheetId="1">#REF!</definedName>
    <definedName name="Asss" localSheetId="0">#REF!</definedName>
    <definedName name="Asss">#REF!</definedName>
    <definedName name="Assumptions" localSheetId="4">#REF!</definedName>
    <definedName name="Assumptions" localSheetId="3">#REF!</definedName>
    <definedName name="Assumptions" localSheetId="6">#REF!</definedName>
    <definedName name="Assumptions" localSheetId="5">#REF!</definedName>
    <definedName name="Assumptions" localSheetId="10">#REF!</definedName>
    <definedName name="Assumptions" localSheetId="9">#REF!</definedName>
    <definedName name="Assumptions" localSheetId="8">#REF!</definedName>
    <definedName name="Assumptions" localSheetId="7">#REF!</definedName>
    <definedName name="Assumptions" localSheetId="2">#REF!</definedName>
    <definedName name="Assumptions" localSheetId="1">#REF!</definedName>
    <definedName name="Assumptions" localSheetId="0">#REF!</definedName>
    <definedName name="Assumptions">#REF!</definedName>
    <definedName name="atef" localSheetId="4">#REF!</definedName>
    <definedName name="atef" localSheetId="3">#REF!</definedName>
    <definedName name="atef" localSheetId="6">#REF!</definedName>
    <definedName name="atef" localSheetId="5">#REF!</definedName>
    <definedName name="atef" localSheetId="10">#REF!</definedName>
    <definedName name="atef" localSheetId="9">#REF!</definedName>
    <definedName name="atef" localSheetId="8">#REF!</definedName>
    <definedName name="atef" localSheetId="7">#REF!</definedName>
    <definedName name="atef" localSheetId="2">#REF!</definedName>
    <definedName name="atef" localSheetId="1">#REF!</definedName>
    <definedName name="atef" localSheetId="0">#REF!</definedName>
    <definedName name="atef">#REF!</definedName>
    <definedName name="att">[5]!Table14[[#All],[Column1]:[Time3]]</definedName>
    <definedName name="AUDIOLOGY" localSheetId="4">#REF!</definedName>
    <definedName name="AUDIOLOGY" localSheetId="3">#REF!</definedName>
    <definedName name="AUDIOLOGY" localSheetId="6">#REF!</definedName>
    <definedName name="AUDIOLOGY" localSheetId="5">#REF!</definedName>
    <definedName name="AUDIOLOGY" localSheetId="10">#REF!</definedName>
    <definedName name="AUDIOLOGY" localSheetId="9">#REF!</definedName>
    <definedName name="AUDIOLOGY" localSheetId="8">#REF!</definedName>
    <definedName name="AUDIOLOGY" localSheetId="7">#REF!</definedName>
    <definedName name="AUDIOLOGY" localSheetId="2">#REF!</definedName>
    <definedName name="AUDIOLOGY" localSheetId="1">#REF!</definedName>
    <definedName name="AUDIOLOGY" localSheetId="0">#REF!</definedName>
    <definedName name="AUDIOLOGY">#REF!</definedName>
    <definedName name="AugSun1" localSheetId="4">DATE(TheYear,8,1)-WEEKDAY(DATE(TheYear,8,1))+1</definedName>
    <definedName name="AugSun1" localSheetId="3">DATE(TheYear,8,1)-WEEKDAY(DATE(TheYear,8,1))+1</definedName>
    <definedName name="AugSun1" localSheetId="6">DATE(TheYear,8,1)-WEEKDAY(DATE(TheYear,8,1))+1</definedName>
    <definedName name="AugSun1" localSheetId="5">DATE(TheYear,8,1)-WEEKDAY(DATE(TheYear,8,1))+1</definedName>
    <definedName name="AugSun1" localSheetId="10">DATE(TheYear,8,1)-WEEKDAY(DATE(TheYear,8,1))+1</definedName>
    <definedName name="AugSun1" localSheetId="9">DATE(TheYear,8,1)-WEEKDAY(DATE(TheYear,8,1))+1</definedName>
    <definedName name="AugSun1" localSheetId="8">DATE(TheYear,8,1)-WEEKDAY(DATE(TheYear,8,1))+1</definedName>
    <definedName name="AugSun1" localSheetId="7">DATE(TheYear,8,1)-WEEKDAY(DATE(TheYear,8,1))+1</definedName>
    <definedName name="AugSun1" localSheetId="2">DATE(TheYear,8,1)-WEEKDAY(DATE(TheYear,8,1))+1</definedName>
    <definedName name="AugSun1" localSheetId="1">DATE(TheYear,8,1)-WEEKDAY(DATE(TheYear,8,1))+1</definedName>
    <definedName name="AugSun1" localSheetId="0">DATE([0]!TheYear,8,1)-WEEKDAY(DATE([0]!TheYear,8,1))+1</definedName>
    <definedName name="AugSun1">DATE(TheYear,8,1)-WEEKDAY(DATE(TheYear,8,1))+1</definedName>
    <definedName name="ayeaery" localSheetId="4">#REF!</definedName>
    <definedName name="ayeaery" localSheetId="3">#REF!</definedName>
    <definedName name="ayeaery" localSheetId="6">#REF!</definedName>
    <definedName name="ayeaery" localSheetId="5">#REF!</definedName>
    <definedName name="ayeaery" localSheetId="10">#REF!</definedName>
    <definedName name="ayeaery" localSheetId="9">#REF!</definedName>
    <definedName name="ayeaery" localSheetId="8">#REF!</definedName>
    <definedName name="ayeaery" localSheetId="7">#REF!</definedName>
    <definedName name="ayeaery" localSheetId="2">#REF!</definedName>
    <definedName name="ayeaery" localSheetId="1">#REF!</definedName>
    <definedName name="ayeaery" localSheetId="0">#REF!</definedName>
    <definedName name="ayeaery">#REF!</definedName>
    <definedName name="B" localSheetId="4">#REF!</definedName>
    <definedName name="B" localSheetId="3">#REF!</definedName>
    <definedName name="B" localSheetId="6">#REF!</definedName>
    <definedName name="B" localSheetId="5">#REF!</definedName>
    <definedName name="B" localSheetId="10">#REF!</definedName>
    <definedName name="B" localSheetId="9">#REF!</definedName>
    <definedName name="B" localSheetId="8">#REF!</definedName>
    <definedName name="B" localSheetId="7">#REF!</definedName>
    <definedName name="B" localSheetId="2">#REF!</definedName>
    <definedName name="B" localSheetId="1">#REF!</definedName>
    <definedName name="B" localSheetId="0">#REF!</definedName>
    <definedName name="B">#REF!</definedName>
    <definedName name="badran" localSheetId="4">#REF!</definedName>
    <definedName name="badran" localSheetId="3">#REF!</definedName>
    <definedName name="badran" localSheetId="6">#REF!</definedName>
    <definedName name="badran" localSheetId="5">#REF!</definedName>
    <definedName name="badran" localSheetId="10">#REF!</definedName>
    <definedName name="badran" localSheetId="9">#REF!</definedName>
    <definedName name="badran" localSheetId="8">#REF!</definedName>
    <definedName name="badran" localSheetId="7">#REF!</definedName>
    <definedName name="badran" localSheetId="2">#REF!</definedName>
    <definedName name="badran" localSheetId="1">#REF!</definedName>
    <definedName name="badran" localSheetId="0">#REF!</definedName>
    <definedName name="badran">#REF!</definedName>
    <definedName name="bahaa" localSheetId="4">#REF!</definedName>
    <definedName name="bahaa" localSheetId="3">#REF!</definedName>
    <definedName name="bahaa" localSheetId="6">#REF!</definedName>
    <definedName name="bahaa" localSheetId="5">#REF!</definedName>
    <definedName name="bahaa" localSheetId="10">#REF!</definedName>
    <definedName name="bahaa" localSheetId="9">#REF!</definedName>
    <definedName name="bahaa" localSheetId="8">#REF!</definedName>
    <definedName name="bahaa" localSheetId="7">#REF!</definedName>
    <definedName name="bahaa" localSheetId="2">#REF!</definedName>
    <definedName name="bahaa" localSheetId="1">#REF!</definedName>
    <definedName name="bahaa" localSheetId="0">#REF!</definedName>
    <definedName name="bahaa">#REF!</definedName>
    <definedName name="barcodee" localSheetId="4">OFFSET(Full_Print,0,0,Last_Row)</definedName>
    <definedName name="barcodee" localSheetId="3">OFFSET(Full_Print,0,0,Last_Row)</definedName>
    <definedName name="barcodee" localSheetId="6">OFFSET(Full_Print,0,0,Last_Row)</definedName>
    <definedName name="barcodee" localSheetId="5">OFFSET(Full_Print,0,0,Last_Row)</definedName>
    <definedName name="barcodee" localSheetId="10">OFFSET(Full_Print,0,0,Last_Row)</definedName>
    <definedName name="barcodee" localSheetId="9">OFFSET(Full_Print,0,0,Last_Row)</definedName>
    <definedName name="barcodee" localSheetId="8">OFFSET(Full_Print,0,0,Last_Row)</definedName>
    <definedName name="barcodee" localSheetId="7">OFFSET(Full_Print,0,0,Last_Row)</definedName>
    <definedName name="barcodee" localSheetId="2">OFFSET(Full_Print,0,0,Last_Row)</definedName>
    <definedName name="barcodee" localSheetId="1">OFFSET(Full_Print,0,0,Last_Row)</definedName>
    <definedName name="barcodee" localSheetId="0">OFFSET([0]!Full_Print,0,0,[0]!Last_Row)</definedName>
    <definedName name="barcodee">OFFSET(Full_Print,0,0,Last_Row)</definedName>
    <definedName name="BaseWeight" localSheetId="6">'[6]AFW Plan'!$J$5</definedName>
    <definedName name="BaseWeight" localSheetId="5">'[6]AFW Plan'!$J$5</definedName>
    <definedName name="BaseWeight">'[7]AFW Plan'!$J$5</definedName>
    <definedName name="BB" localSheetId="4">#REF!</definedName>
    <definedName name="BB" localSheetId="3">#REF!</definedName>
    <definedName name="BB" localSheetId="6">#REF!</definedName>
    <definedName name="BB" localSheetId="5">#REF!</definedName>
    <definedName name="BB" localSheetId="10">#REF!</definedName>
    <definedName name="BB" localSheetId="9">#REF!</definedName>
    <definedName name="BB" localSheetId="8">#REF!</definedName>
    <definedName name="BB" localSheetId="7">#REF!</definedName>
    <definedName name="BB" localSheetId="2">#REF!</definedName>
    <definedName name="BB" localSheetId="1">#REF!</definedName>
    <definedName name="BB" localSheetId="0">#REF!</definedName>
    <definedName name="BB">#REF!</definedName>
    <definedName name="BBB" localSheetId="4">#REF!</definedName>
    <definedName name="BBB" localSheetId="3">#REF!</definedName>
    <definedName name="BBB" localSheetId="6">#REF!</definedName>
    <definedName name="BBB" localSheetId="5">#REF!</definedName>
    <definedName name="BBB" localSheetId="10">#REF!</definedName>
    <definedName name="BBB" localSheetId="9">#REF!</definedName>
    <definedName name="BBB" localSheetId="8">#REF!</definedName>
    <definedName name="BBB" localSheetId="7">#REF!</definedName>
    <definedName name="BBB" localSheetId="2">#REF!</definedName>
    <definedName name="BBB" localSheetId="1">#REF!</definedName>
    <definedName name="BBB" localSheetId="0">#REF!</definedName>
    <definedName name="BBB">#REF!</definedName>
    <definedName name="Beg_Bal">'[3]Loan Amortization Schedule'!$C$18:$C$497</definedName>
    <definedName name="bekheit" localSheetId="4">#REF!</definedName>
    <definedName name="bekheit" localSheetId="3">#REF!</definedName>
    <definedName name="bekheit" localSheetId="6">#REF!</definedName>
    <definedName name="bekheit" localSheetId="5">#REF!</definedName>
    <definedName name="bekheit" localSheetId="10">#REF!</definedName>
    <definedName name="bekheit" localSheetId="9">#REF!</definedName>
    <definedName name="bekheit" localSheetId="8">#REF!</definedName>
    <definedName name="bekheit" localSheetId="7">#REF!</definedName>
    <definedName name="bekheit" localSheetId="2">#REF!</definedName>
    <definedName name="bekheit" localSheetId="1">#REF!</definedName>
    <definedName name="bekheit" localSheetId="0">#REF!</definedName>
    <definedName name="bekheit">#REF!</definedName>
    <definedName name="BOOK" localSheetId="4">{0,1,2,3,4,5,6} + {0;1;2;3;4;5}*7</definedName>
    <definedName name="BOOK" localSheetId="3">{0,1,2,3,4,5,6} + {0;1;2;3;4;5}*7</definedName>
    <definedName name="BOOK" localSheetId="6">{0,1,2,3,4,5,6} + {0;1;2;3;4;5}*7</definedName>
    <definedName name="BOOK" localSheetId="5">{0,1,2,3,4,5,6} + {0;1;2;3;4;5}*7</definedName>
    <definedName name="BOOK" localSheetId="10">{0,1,2,3,4,5,6} + {0;1;2;3;4;5}*7</definedName>
    <definedName name="BOOK" localSheetId="9">{0,1,2,3,4,5,6} + {0;1;2;3;4;5}*7</definedName>
    <definedName name="BOOK" localSheetId="8">{0,1,2,3,4,5,6} + {0;1;2;3;4;5}*7</definedName>
    <definedName name="BOOK" localSheetId="7">{0,1,2,3,4,5,6} + {0;1;2;3;4;5}*7</definedName>
    <definedName name="BOOK" localSheetId="2">{0,1,2,3,4,5,6} + {0;1;2;3;4;5}*7</definedName>
    <definedName name="BOOK" localSheetId="1">{0,1,2,3,4,5,6} + {0;1;2;3;4;5}*7</definedName>
    <definedName name="BOOK" localSheetId="0">{0,1,2,3,4,5,6} + {0;1;2;3;4;5}*7</definedName>
    <definedName name="BOOK">{0,1,2,3,4,5,6} + {0;1;2;3;4;5}*7</definedName>
    <definedName name="BUDGETITEM">[8]!BUDGETITEEMS[[#All],[BUDGET ITEM LIST]]</definedName>
    <definedName name="CalendarYear">[9]Calendar!$X$3</definedName>
    <definedName name="Callcenter" localSheetId="4">MEDIAN(OFFSET('ADC-DTD'!chtData,'ADC-DTD'!valCodespot,0,ROWS('ADC-DTD'!chtData)-'ADC-DTD'!valCodespot,1))</definedName>
    <definedName name="Callcenter" localSheetId="3">MEDIAN(OFFSET('ADC-MTD'!chtData,'ADC-MTD'!valCodespot,0,ROWS('ADC-MTD'!chtData)-'ADC-MTD'!valCodespot,1))</definedName>
    <definedName name="Callcenter" localSheetId="6">MEDIAN(OFFSET('AFW-DTD'!chtData,'AFW-DTD'!valCodespot,0,ROWS('AFW-DTD'!chtData)-'AFW-DTD'!valCodespot,1))</definedName>
    <definedName name="Callcenter" localSheetId="5">MEDIAN(OFFSET('AFW-MTD'!chtData,'AFW-MTD'!valCodespot,0,ROWS('AFW-MTD'!chtData)-'AFW-MTD'!valCodespot,1))</definedName>
    <definedName name="Callcenter" localSheetId="10">MEDIAN(OFFSET('AKW-DTD'!chtData,'AKW-DTD'!valCodespot,0,ROWS('AKW-DTD'!chtData)-'AKW-DTD'!valCodespot,1))</definedName>
    <definedName name="Callcenter" localSheetId="9">MEDIAN(OFFSET('AKW-MTD'!chtData,'AKW-MTD'!valCodespot,0,ROWS('AKW-MTD'!chtData)-'AKW-MTD'!valCodespot,1))</definedName>
    <definedName name="Callcenter" localSheetId="8">MEDIAN(OFFSET('ALW-DTD'!chtData,'ALW-DTD'!valCodespot,0,ROWS('ALW-DTD'!chtData)-'ALW-DTD'!valCodespot,1))</definedName>
    <definedName name="Callcenter" localSheetId="7">MEDIAN(OFFSET('ALW-MTD'!chtData,'ALW-MTD'!valCodespot,0,ROWS('ALW-MTD'!chtData)-'ALW-MTD'!valCodespot,1))</definedName>
    <definedName name="Callcenter" localSheetId="2">MEDIAN(OFFSET('HJH-DTD'!chtData,'HJH-DTD'!valCodespot,0,ROWS('HJH-DTD'!chtData)-'HJH-DTD'!valCodespot,1))</definedName>
    <definedName name="Callcenter" localSheetId="1">MEDIAN(OFFSET('HJH-MTD'!chtData,'HJH-MTD'!valCodespot,0,ROWS('HJH-MTD'!chtData)-'HJH-MTD'!valCodespot,1))</definedName>
    <definedName name="Callcenter" localSheetId="0">MEDIAN(OFFSET('KSA Dashboard'!chtData,'KSA Dashboard'!valCodespot,0,ROWS('KSA Dashboard'!chtData)-'KSA Dashboard'!valCodespot,1))</definedName>
    <definedName name="Callcenter">MEDIAN(OFFSET([0]!chtData,[0]!valCodespot,0,ROWS([0]!chtData)-[0]!valCodespot,1))</definedName>
    <definedName name="Cardiology" localSheetId="4">#REF!</definedName>
    <definedName name="Cardiology" localSheetId="3">#REF!</definedName>
    <definedName name="Cardiology" localSheetId="6">#REF!</definedName>
    <definedName name="Cardiology" localSheetId="5">#REF!</definedName>
    <definedName name="Cardiology" localSheetId="10">#REF!</definedName>
    <definedName name="Cardiology" localSheetId="9">#REF!</definedName>
    <definedName name="Cardiology" localSheetId="8">#REF!</definedName>
    <definedName name="Cardiology" localSheetId="7">#REF!</definedName>
    <definedName name="Cardiology" localSheetId="2">#REF!</definedName>
    <definedName name="Cardiology" localSheetId="1">#REF!</definedName>
    <definedName name="Cardiology" localSheetId="0">#REF!</definedName>
    <definedName name="Cardiology">#REF!</definedName>
    <definedName name="CCC" localSheetId="4">#REF!</definedName>
    <definedName name="CCC" localSheetId="3">#REF!</definedName>
    <definedName name="CCC" localSheetId="6">#REF!</definedName>
    <definedName name="CCC" localSheetId="5">#REF!</definedName>
    <definedName name="CCC" localSheetId="10">#REF!</definedName>
    <definedName name="CCC" localSheetId="9">#REF!</definedName>
    <definedName name="CCC" localSheetId="8">#REF!</definedName>
    <definedName name="CCC" localSheetId="7">#REF!</definedName>
    <definedName name="CCC" localSheetId="2">#REF!</definedName>
    <definedName name="CCC" localSheetId="1">#REF!</definedName>
    <definedName name="CCC" localSheetId="0">#REF!</definedName>
    <definedName name="CCC">#REF!</definedName>
    <definedName name="Chest" localSheetId="4">#REF!</definedName>
    <definedName name="Chest" localSheetId="3">#REF!</definedName>
    <definedName name="Chest" localSheetId="6">#REF!</definedName>
    <definedName name="Chest" localSheetId="5">#REF!</definedName>
    <definedName name="Chest" localSheetId="10">#REF!</definedName>
    <definedName name="Chest" localSheetId="9">#REF!</definedName>
    <definedName name="Chest" localSheetId="8">#REF!</definedName>
    <definedName name="Chest" localSheetId="7">#REF!</definedName>
    <definedName name="Chest" localSheetId="2">#REF!</definedName>
    <definedName name="Chest" localSheetId="1">#REF!</definedName>
    <definedName name="Chest" localSheetId="0">#REF!</definedName>
    <definedName name="Chest">#REF!</definedName>
    <definedName name="chtData" localSheetId="4">OFFSET('ADC-DTD'!chtObs,0,1)</definedName>
    <definedName name="chtData" localSheetId="3">OFFSET('ADC-MTD'!chtObs,0,1)</definedName>
    <definedName name="chtData" localSheetId="6">OFFSET('AFW-DTD'!chtObs,0,1)</definedName>
    <definedName name="chtData" localSheetId="5">OFFSET('AFW-MTD'!chtObs,0,1)</definedName>
    <definedName name="chtData" localSheetId="10">OFFSET('AKW-DTD'!chtObs,0,1)</definedName>
    <definedName name="chtData" localSheetId="9">OFFSET('AKW-MTD'!chtObs,0,1)</definedName>
    <definedName name="chtData" localSheetId="8">OFFSET('ALW-DTD'!chtObs,0,1)</definedName>
    <definedName name="chtData" localSheetId="7">OFFSET('ALW-MTD'!chtObs,0,1)</definedName>
    <definedName name="chtData" localSheetId="2">OFFSET('HJH-DTD'!chtObs,0,1)</definedName>
    <definedName name="chtData" localSheetId="1">OFFSET('HJH-MTD'!chtObs,0,1)</definedName>
    <definedName name="chtData" localSheetId="0">OFFSET('KSA Dashboard'!chtObs,0,1)</definedName>
    <definedName name="chtData">OFFSET([0]!chtObs,0,1)</definedName>
    <definedName name="chtExtend" localSheetId="4">OFFSET('ADC-DTD'!chtObs,0,4)</definedName>
    <definedName name="chtExtend" localSheetId="3">OFFSET('ADC-MTD'!chtObs,0,4)</definedName>
    <definedName name="chtExtend" localSheetId="6">OFFSET('AFW-DTD'!chtObs,0,4)</definedName>
    <definedName name="chtExtend" localSheetId="5">OFFSET('AFW-MTD'!chtObs,0,4)</definedName>
    <definedName name="chtExtend" localSheetId="10">OFFSET('AKW-DTD'!chtObs,0,4)</definedName>
    <definedName name="chtExtend" localSheetId="9">OFFSET('AKW-MTD'!chtObs,0,4)</definedName>
    <definedName name="chtExtend" localSheetId="8">OFFSET('ALW-DTD'!chtObs,0,4)</definedName>
    <definedName name="chtExtend" localSheetId="7">OFFSET('ALW-MTD'!chtObs,0,4)</definedName>
    <definedName name="chtExtend" localSheetId="2">OFFSET('HJH-DTD'!chtObs,0,4)</definedName>
    <definedName name="chtExtend" localSheetId="1">OFFSET('HJH-MTD'!chtObs,0,4)</definedName>
    <definedName name="chtExtend" localSheetId="0">OFFSET('KSA Dashboard'!chtObs,0,4)</definedName>
    <definedName name="chtExtend">OFFSET([0]!chtObs,0,4)</definedName>
    <definedName name="chtMedian" localSheetId="4">IF(ROW(('[10]Run Chart'!chtData))&lt;='ADC-DTD'!valCoderow,'ADC-DTD'!arrMed1,IF('ADC-DTD'!valCode="N",'ADC-DTD'!arrMed2,'ADC-DTD'!arrMed1))</definedName>
    <definedName name="chtMedian" localSheetId="3">IF(ROW(('[10]Run Chart'!chtData))&lt;='ADC-MTD'!valCoderow,'ADC-MTD'!arrMed1,IF('ADC-MTD'!valCode="N",'ADC-MTD'!arrMed2,'ADC-MTD'!arrMed1))</definedName>
    <definedName name="chtMedian" localSheetId="6">IF(ROW(('[10]Run Chart'!chtData))&lt;='AFW-DTD'!valCoderow,'AFW-DTD'!arrMed1,IF('AFW-DTD'!valCode="N",'AFW-DTD'!arrMed2,'AFW-DTD'!arrMed1))</definedName>
    <definedName name="chtMedian" localSheetId="5">IF(ROW(('[10]Run Chart'!chtData))&lt;='AFW-MTD'!valCoderow,'AFW-MTD'!arrMed1,IF('AFW-MTD'!valCode="N",'AFW-MTD'!arrMed2,'AFW-MTD'!arrMed1))</definedName>
    <definedName name="chtMedian" localSheetId="10">IF(ROW(('[10]Run Chart'!chtData))&lt;='AKW-DTD'!valCoderow,'AKW-DTD'!arrMed1,IF('AKW-DTD'!valCode="N",'AKW-DTD'!arrMed2,'AKW-DTD'!arrMed1))</definedName>
    <definedName name="chtMedian" localSheetId="9">IF(ROW(('[10]Run Chart'!chtData))&lt;='AKW-MTD'!valCoderow,'AKW-MTD'!arrMed1,IF('AKW-MTD'!valCode="N",'AKW-MTD'!arrMed2,'AKW-MTD'!arrMed1))</definedName>
    <definedName name="chtMedian" localSheetId="8">IF(ROW(('[10]Run Chart'!chtData))&lt;='ALW-DTD'!valCoderow,'ALW-DTD'!arrMed1,IF('ALW-DTD'!valCode="N",'ALW-DTD'!arrMed2,'ALW-DTD'!arrMed1))</definedName>
    <definedName name="chtMedian" localSheetId="7">IF(ROW(('[10]Run Chart'!chtData))&lt;='ALW-MTD'!valCoderow,'ALW-MTD'!arrMed1,IF('ALW-MTD'!valCode="N",'ALW-MTD'!arrMed2,'ALW-MTD'!arrMed1))</definedName>
    <definedName name="chtMedian" localSheetId="2">IF(ROW(('[10]Run Chart'!chtData))&lt;='HJH-DTD'!valCoderow,'HJH-DTD'!arrMed1,IF('HJH-DTD'!valCode="N",'HJH-DTD'!arrMed2,'HJH-DTD'!arrMed1))</definedName>
    <definedName name="chtMedian" localSheetId="1">IF(ROW(('[10]Run Chart'!chtData))&lt;='HJH-MTD'!valCoderow,'HJH-MTD'!arrMed1,IF('HJH-MTD'!valCode="N",'HJH-MTD'!arrMed2,'HJH-MTD'!arrMed1))</definedName>
    <definedName name="chtMedian" localSheetId="0">#N/A</definedName>
    <definedName name="chtMedian">IF(ROW(('[10]Run Chart'!chtData))&lt;=[0]!valCoderow,[0]!arrMed1,IF([0]!valCode="N",[0]!arrMed2,[0]!arrMed1))</definedName>
    <definedName name="chtObs" localSheetId="4">OFFSET(#REF!,1,0,MAX(1,COUNTA(#REF!)),1)</definedName>
    <definedName name="chtObs" localSheetId="3">OFFSET(#REF!,1,0,MAX(1,COUNTA(#REF!)),1)</definedName>
    <definedName name="chtObs" localSheetId="6">OFFSET(#REF!,1,0,MAX(1,COUNTA(#REF!)),1)</definedName>
    <definedName name="chtObs" localSheetId="5">OFFSET(#REF!,1,0,MAX(1,COUNTA(#REF!)),1)</definedName>
    <definedName name="chtObs" localSheetId="10">OFFSET(#REF!,1,0,MAX(1,COUNTA(#REF!)),1)</definedName>
    <definedName name="chtObs" localSheetId="9">OFFSET(#REF!,1,0,MAX(1,COUNTA(#REF!)),1)</definedName>
    <definedName name="chtObs" localSheetId="8">OFFSET(#REF!,1,0,MAX(1,COUNTA(#REF!)),1)</definedName>
    <definedName name="chtObs" localSheetId="7">OFFSET(#REF!,1,0,MAX(1,COUNTA(#REF!)),1)</definedName>
    <definedName name="chtObs" localSheetId="2">OFFSET(#REF!,1,0,MAX(1,COUNTA(#REF!)),1)</definedName>
    <definedName name="chtObs" localSheetId="1">OFFSET(#REF!,1,0,MAX(1,COUNTA(#REF!)),1)</definedName>
    <definedName name="chtObs" localSheetId="0">OFFSET(#REF!,1,0,MAX(1,COUNTA(#REF!)),1)</definedName>
    <definedName name="chtObs">OFFSET(#REF!,1,0,MAX(1,COUNTA(#REF!)),1)</definedName>
    <definedName name="Classification" localSheetId="4">DATE(YEAR([0]!Loan_Start),MONTH([0]!Loan_Start)+Payment_Number,DAY([0]!Loan_Start))</definedName>
    <definedName name="Classification" localSheetId="3">DATE(YEAR([0]!Loan_Start),MONTH([0]!Loan_Start)+Payment_Number,DAY([0]!Loan_Start))</definedName>
    <definedName name="Classification" localSheetId="6">DATE(YEAR([0]!Loan_Start),MONTH([0]!Loan_Start)+Payment_Number,DAY([0]!Loan_Start))</definedName>
    <definedName name="Classification" localSheetId="5">DATE(YEAR([0]!Loan_Start),MONTH([0]!Loan_Start)+Payment_Number,DAY([0]!Loan_Start))</definedName>
    <definedName name="Classification" localSheetId="10">DATE(YEAR([0]!Loan_Start),MONTH([0]!Loan_Start)+Payment_Number,DAY([0]!Loan_Start))</definedName>
    <definedName name="Classification" localSheetId="9">DATE(YEAR([0]!Loan_Start),MONTH([0]!Loan_Start)+Payment_Number,DAY([0]!Loan_Start))</definedName>
    <definedName name="Classification" localSheetId="8">DATE(YEAR([0]!Loan_Start),MONTH([0]!Loan_Start)+Payment_Number,DAY([0]!Loan_Start))</definedName>
    <definedName name="Classification" localSheetId="7">DATE(YEAR([0]!Loan_Start),MONTH([0]!Loan_Start)+Payment_Number,DAY([0]!Loan_Start))</definedName>
    <definedName name="Classification" localSheetId="2">DATE(YEAR([0]!Loan_Start),MONTH([0]!Loan_Start)+Payment_Number,DAY([0]!Loan_Start))</definedName>
    <definedName name="Classification" localSheetId="1">DATE(YEAR([0]!Loan_Start),MONTH([0]!Loan_Start)+Payment_Number,DAY([0]!Loan_Start))</definedName>
    <definedName name="Classification" localSheetId="0">DATE(YEAR([0]!Loan_Start),MONTH([0]!Loan_Start)+Payment_Number,DAY([0]!Loan_Start))</definedName>
    <definedName name="Classification">DATE(YEAR([0]!Loan_Start),MONTH([0]!Loan_Start)+Payment_Number,DAY([0]!Loan_Start))</definedName>
    <definedName name="Co" localSheetId="4">#REF!</definedName>
    <definedName name="Co" localSheetId="3">#REF!</definedName>
    <definedName name="Co" localSheetId="6">#REF!</definedName>
    <definedName name="Co" localSheetId="5">#REF!</definedName>
    <definedName name="Co" localSheetId="10">#REF!</definedName>
    <definedName name="Co" localSheetId="9">#REF!</definedName>
    <definedName name="Co" localSheetId="8">#REF!</definedName>
    <definedName name="Co" localSheetId="7">#REF!</definedName>
    <definedName name="Co" localSheetId="2">#REF!</definedName>
    <definedName name="Co" localSheetId="1">#REF!</definedName>
    <definedName name="Co" localSheetId="0">#REF!</definedName>
    <definedName name="Co">#REF!</definedName>
    <definedName name="code">[11]Sheet2!$A:$C</definedName>
    <definedName name="conv">IF('[12]General  (3)'!Loan_Amount*'[12]General  (3)'!Interest_Rate*'[12]General  (3)'!Loan_Years*'[12]General  (3)'!Loan_Start&gt;0,1,0)</definedName>
    <definedName name="Conversion">IF([13]!Loan_Amount*[13]!Interest_Rate*[13]!Loan_Years*[13]!Loan_Start&gt;0,1,0)</definedName>
    <definedName name="Cover">'[3]Loan Amortization Schedule'!$D$7</definedName>
    <definedName name="Cum_Int" localSheetId="4">#REF!</definedName>
    <definedName name="Cum_Int" localSheetId="3">#REF!</definedName>
    <definedName name="Cum_Int" localSheetId="6">#REF!</definedName>
    <definedName name="Cum_Int" localSheetId="5">#REF!</definedName>
    <definedName name="Cum_Int" localSheetId="10">#REF!</definedName>
    <definedName name="Cum_Int" localSheetId="9">#REF!</definedName>
    <definedName name="Cum_Int" localSheetId="8">#REF!</definedName>
    <definedName name="Cum_Int" localSheetId="7">#REF!</definedName>
    <definedName name="Cum_Int" localSheetId="2">#REF!</definedName>
    <definedName name="Cum_Int" localSheetId="1">#REF!</definedName>
    <definedName name="Cum_Int" localSheetId="0">#REF!</definedName>
    <definedName name="Cum_Int">#REF!</definedName>
    <definedName name="currency" localSheetId="4">#REF!</definedName>
    <definedName name="currency" localSheetId="3">#REF!</definedName>
    <definedName name="currency" localSheetId="6">#REF!</definedName>
    <definedName name="currency" localSheetId="5">#REF!</definedName>
    <definedName name="currency" localSheetId="10">#REF!</definedName>
    <definedName name="currency" localSheetId="9">#REF!</definedName>
    <definedName name="currency" localSheetId="8">#REF!</definedName>
    <definedName name="currency" localSheetId="7">#REF!</definedName>
    <definedName name="currency" localSheetId="2">#REF!</definedName>
    <definedName name="currency" localSheetId="1">#REF!</definedName>
    <definedName name="currency" localSheetId="0">#REF!</definedName>
    <definedName name="currency">#REF!</definedName>
    <definedName name="cuurre" localSheetId="4">'[14]Costi Variabili'!#REF!</definedName>
    <definedName name="cuurre" localSheetId="3">'[14]Costi Variabili'!#REF!</definedName>
    <definedName name="cuurre" localSheetId="6">'[14]Costi Variabili'!#REF!</definedName>
    <definedName name="cuurre" localSheetId="5">'[14]Costi Variabili'!#REF!</definedName>
    <definedName name="cuurre" localSheetId="10">'[14]Costi Variabili'!#REF!</definedName>
    <definedName name="cuurre" localSheetId="9">'[14]Costi Variabili'!#REF!</definedName>
    <definedName name="cuurre" localSheetId="8">'[14]Costi Variabili'!#REF!</definedName>
    <definedName name="cuurre" localSheetId="7">'[14]Costi Variabili'!#REF!</definedName>
    <definedName name="cuurre" localSheetId="2">'[14]Costi Variabili'!#REF!</definedName>
    <definedName name="cuurre" localSheetId="1">'[14]Costi Variabili'!#REF!</definedName>
    <definedName name="cuurre" localSheetId="0">'[14]Costi Variabili'!#REF!</definedName>
    <definedName name="cuurre">'[14]Costi Variabili'!#REF!</definedName>
    <definedName name="d">#N/A</definedName>
    <definedName name="Data" localSheetId="4">#REF!</definedName>
    <definedName name="Data" localSheetId="3">#REF!</definedName>
    <definedName name="Data" localSheetId="6">#REF!</definedName>
    <definedName name="Data" localSheetId="5">#REF!</definedName>
    <definedName name="Data" localSheetId="10">#REF!</definedName>
    <definedName name="Data" localSheetId="9">#REF!</definedName>
    <definedName name="Data" localSheetId="8">#REF!</definedName>
    <definedName name="Data" localSheetId="7">#REF!</definedName>
    <definedName name="Data" localSheetId="2">#REF!</definedName>
    <definedName name="Data" localSheetId="1">#REF!</definedName>
    <definedName name="Data" localSheetId="0">#REF!</definedName>
    <definedName name="Data">#REF!</definedName>
    <definedName name="Data.Dump" localSheetId="4" hidden="1">OFFSET([15]!Data.Top.Left,1,0)</definedName>
    <definedName name="Data.Dump" localSheetId="6" hidden="1">OFFSET([15]!Data.Top.Left,1,0)</definedName>
    <definedName name="Data.Dump" localSheetId="10" hidden="1">OFFSET([15]!Data.Top.Left,1,0)</definedName>
    <definedName name="Data.Dump" localSheetId="8" hidden="1">OFFSET([15]!Data.Top.Left,1,0)</definedName>
    <definedName name="Data.Dump" localSheetId="2" hidden="1">OFFSET([15]!Data.Top.Left,1,0)</definedName>
    <definedName name="Data.Dump" localSheetId="0" hidden="1">OFFSET([15]!Data.Top.Left,1,0)</definedName>
    <definedName name="Data.Dump" hidden="1">OFFSET([15]!Data.Top.Left,1,0)</definedName>
    <definedName name="DaysAndWeeks" localSheetId="4">{0,1,2,3,4,5,6} + {0;1;2;3;4;5}*7</definedName>
    <definedName name="DaysAndWeeks" localSheetId="3">{0,1,2,3,4,5,6} + {0;1;2;3;4;5}*7</definedName>
    <definedName name="DaysAndWeeks" localSheetId="6">{0,1,2,3,4,5,6} + {0;1;2;3;4;5}*7</definedName>
    <definedName name="DaysAndWeeks" localSheetId="5">{0,1,2,3,4,5,6} + {0;1;2;3;4;5}*7</definedName>
    <definedName name="DaysAndWeeks" localSheetId="10">{0,1,2,3,4,5,6} + {0;1;2;3;4;5}*7</definedName>
    <definedName name="DaysAndWeeks" localSheetId="9">{0,1,2,3,4,5,6} + {0;1;2;3;4;5}*7</definedName>
    <definedName name="DaysAndWeeks" localSheetId="8">{0,1,2,3,4,5,6} + {0;1;2;3;4;5}*7</definedName>
    <definedName name="DaysAndWeeks" localSheetId="7">{0,1,2,3,4,5,6} + {0;1;2;3;4;5}*7</definedName>
    <definedName name="DaysAndWeeks" localSheetId="2">{0,1,2,3,4,5,6} + {0;1;2;3;4;5}*7</definedName>
    <definedName name="DaysAndWeeks" localSheetId="1">{0,1,2,3,4,5,6} + {0;1;2;3;4;5}*7</definedName>
    <definedName name="DaysAndWeeks" localSheetId="0">{0,1,2,3,4,5,6} + {0;1;2;3;4;5}*7</definedName>
    <definedName name="DaysAndWeeks">{0,1,2,3,4,5,6} + {0;1;2;3;4;5}*7</definedName>
    <definedName name="dd" localSheetId="4">#REF!</definedName>
    <definedName name="dd" localSheetId="3">#REF!</definedName>
    <definedName name="dd" localSheetId="6">#REF!</definedName>
    <definedName name="dd" localSheetId="5">#REF!</definedName>
    <definedName name="dd" localSheetId="10">#REF!</definedName>
    <definedName name="dd" localSheetId="9">#REF!</definedName>
    <definedName name="dd" localSheetId="8">#REF!</definedName>
    <definedName name="dd" localSheetId="7">#REF!</definedName>
    <definedName name="dd" localSheetId="2">#REF!</definedName>
    <definedName name="dd" localSheetId="1">#REF!</definedName>
    <definedName name="dd" localSheetId="0">#REF!</definedName>
    <definedName name="dd">#REF!</definedName>
    <definedName name="DDFH" localSheetId="4">#REF!</definedName>
    <definedName name="DDFH" localSheetId="3">#REF!</definedName>
    <definedName name="DDFH" localSheetId="6">#REF!</definedName>
    <definedName name="DDFH" localSheetId="5">#REF!</definedName>
    <definedName name="DDFH" localSheetId="10">#REF!</definedName>
    <definedName name="DDFH" localSheetId="9">#REF!</definedName>
    <definedName name="DDFH" localSheetId="8">#REF!</definedName>
    <definedName name="DDFH" localSheetId="7">#REF!</definedName>
    <definedName name="DDFH" localSheetId="2">#REF!</definedName>
    <definedName name="DDFH" localSheetId="1">#REF!</definedName>
    <definedName name="DDFH" localSheetId="0">#REF!</definedName>
    <definedName name="DDFH">#REF!</definedName>
    <definedName name="DecSun1" localSheetId="4">DATE(TheYear,12,1)-WEEKDAY(DATE(TheYear,12,1))+1</definedName>
    <definedName name="DecSun1" localSheetId="3">DATE(TheYear,12,1)-WEEKDAY(DATE(TheYear,12,1))+1</definedName>
    <definedName name="DecSun1" localSheetId="6">DATE(TheYear,12,1)-WEEKDAY(DATE(TheYear,12,1))+1</definedName>
    <definedName name="DecSun1" localSheetId="5">DATE(TheYear,12,1)-WEEKDAY(DATE(TheYear,12,1))+1</definedName>
    <definedName name="DecSun1" localSheetId="10">DATE(TheYear,12,1)-WEEKDAY(DATE(TheYear,12,1))+1</definedName>
    <definedName name="DecSun1" localSheetId="9">DATE(TheYear,12,1)-WEEKDAY(DATE(TheYear,12,1))+1</definedName>
    <definedName name="DecSun1" localSheetId="8">DATE(TheYear,12,1)-WEEKDAY(DATE(TheYear,12,1))+1</definedName>
    <definedName name="DecSun1" localSheetId="7">DATE(TheYear,12,1)-WEEKDAY(DATE(TheYear,12,1))+1</definedName>
    <definedName name="DecSun1" localSheetId="2">DATE(TheYear,12,1)-WEEKDAY(DATE(TheYear,12,1))+1</definedName>
    <definedName name="DecSun1" localSheetId="1">DATE(TheYear,12,1)-WEEKDAY(DATE(TheYear,12,1))+1</definedName>
    <definedName name="DecSun1" localSheetId="0">DATE([0]!TheYear,12,1)-WEEKDAY(DATE([0]!TheYear,12,1))+1</definedName>
    <definedName name="DecSun1">DATE(TheYear,12,1)-WEEKDAY(DATE(TheYear,12,1))+1</definedName>
    <definedName name="DENTISTRY" localSheetId="4">#REF!</definedName>
    <definedName name="DENTISTRY" localSheetId="3">#REF!</definedName>
    <definedName name="DENTISTRY" localSheetId="6">#REF!</definedName>
    <definedName name="DENTISTRY" localSheetId="5">#REF!</definedName>
    <definedName name="DENTISTRY" localSheetId="10">#REF!</definedName>
    <definedName name="DENTISTRY" localSheetId="9">#REF!</definedName>
    <definedName name="DENTISTRY" localSheetId="8">#REF!</definedName>
    <definedName name="DENTISTRY" localSheetId="7">#REF!</definedName>
    <definedName name="DENTISTRY" localSheetId="2">#REF!</definedName>
    <definedName name="DENTISTRY" localSheetId="1">#REF!</definedName>
    <definedName name="DENTISTRY" localSheetId="0">#REF!</definedName>
    <definedName name="DENTISTRY">#REF!</definedName>
    <definedName name="Dep" localSheetId="4">#REF!</definedName>
    <definedName name="Dep" localSheetId="3">#REF!</definedName>
    <definedName name="Dep" localSheetId="6">#REF!</definedName>
    <definedName name="Dep" localSheetId="5">#REF!</definedName>
    <definedName name="Dep" localSheetId="10">#REF!</definedName>
    <definedName name="Dep" localSheetId="9">#REF!</definedName>
    <definedName name="Dep" localSheetId="8">#REF!</definedName>
    <definedName name="Dep" localSheetId="7">#REF!</definedName>
    <definedName name="Dep" localSheetId="2">#REF!</definedName>
    <definedName name="Dep" localSheetId="1">#REF!</definedName>
    <definedName name="Dep" localSheetId="0">#REF!</definedName>
    <definedName name="Dep">#REF!</definedName>
    <definedName name="Dermatology" localSheetId="4">#REF!</definedName>
    <definedName name="Dermatology" localSheetId="3">#REF!</definedName>
    <definedName name="Dermatology" localSheetId="6">#REF!</definedName>
    <definedName name="Dermatology" localSheetId="5">#REF!</definedName>
    <definedName name="Dermatology" localSheetId="10">#REF!</definedName>
    <definedName name="Dermatology" localSheetId="9">#REF!</definedName>
    <definedName name="Dermatology" localSheetId="8">#REF!</definedName>
    <definedName name="Dermatology" localSheetId="7">#REF!</definedName>
    <definedName name="Dermatology" localSheetId="2">#REF!</definedName>
    <definedName name="Dermatology" localSheetId="1">#REF!</definedName>
    <definedName name="Dermatology" localSheetId="0">#REF!</definedName>
    <definedName name="Dermatology">#REF!</definedName>
    <definedName name="df" localSheetId="4">#REF!</definedName>
    <definedName name="df" localSheetId="3">#REF!</definedName>
    <definedName name="df" localSheetId="6">#REF!</definedName>
    <definedName name="df" localSheetId="5">#REF!</definedName>
    <definedName name="df" localSheetId="10">#REF!</definedName>
    <definedName name="df" localSheetId="9">#REF!</definedName>
    <definedName name="df" localSheetId="8">#REF!</definedName>
    <definedName name="df" localSheetId="7">#REF!</definedName>
    <definedName name="df" localSheetId="2">#REF!</definedName>
    <definedName name="df" localSheetId="1">#REF!</definedName>
    <definedName name="df" localSheetId="0">#REF!</definedName>
    <definedName name="df">#REF!</definedName>
    <definedName name="dffff" localSheetId="4">#REF!</definedName>
    <definedName name="dffff" localSheetId="3">#REF!</definedName>
    <definedName name="dffff" localSheetId="6">#REF!</definedName>
    <definedName name="dffff" localSheetId="5">#REF!</definedName>
    <definedName name="dffff" localSheetId="10">#REF!</definedName>
    <definedName name="dffff" localSheetId="9">#REF!</definedName>
    <definedName name="dffff" localSheetId="8">#REF!</definedName>
    <definedName name="dffff" localSheetId="7">#REF!</definedName>
    <definedName name="dffff" localSheetId="2">#REF!</definedName>
    <definedName name="dffff" localSheetId="1">#REF!</definedName>
    <definedName name="dffff" localSheetId="0">#REF!</definedName>
    <definedName name="dffff">#REF!</definedName>
    <definedName name="DFGHDSH" localSheetId="4">#REF!</definedName>
    <definedName name="DFGHDSH" localSheetId="3">#REF!</definedName>
    <definedName name="DFGHDSH" localSheetId="6">#REF!</definedName>
    <definedName name="DFGHDSH" localSheetId="5">#REF!</definedName>
    <definedName name="DFGHDSH" localSheetId="10">#REF!</definedName>
    <definedName name="DFGHDSH" localSheetId="9">#REF!</definedName>
    <definedName name="DFGHDSH" localSheetId="8">#REF!</definedName>
    <definedName name="DFGHDSH" localSheetId="7">#REF!</definedName>
    <definedName name="DFGHDSH" localSheetId="2">#REF!</definedName>
    <definedName name="DFGHDSH" localSheetId="1">#REF!</definedName>
    <definedName name="DFGHDSH" localSheetId="0">#REF!</definedName>
    <definedName name="DFGHDSH">#REF!</definedName>
    <definedName name="dfhdfh" localSheetId="4">#REF!</definedName>
    <definedName name="dfhdfh" localSheetId="3">#REF!</definedName>
    <definedName name="dfhdfh" localSheetId="6">#REF!</definedName>
    <definedName name="dfhdfh" localSheetId="5">#REF!</definedName>
    <definedName name="dfhdfh" localSheetId="10">#REF!</definedName>
    <definedName name="dfhdfh" localSheetId="9">#REF!</definedName>
    <definedName name="dfhdfh" localSheetId="8">#REF!</definedName>
    <definedName name="dfhdfh" localSheetId="7">#REF!</definedName>
    <definedName name="dfhdfh" localSheetId="2">#REF!</definedName>
    <definedName name="dfhdfh" localSheetId="1">#REF!</definedName>
    <definedName name="dfhdfh" localSheetId="0">#REF!</definedName>
    <definedName name="dfhdfh">#REF!</definedName>
    <definedName name="dfhgh" localSheetId="4">#REF!</definedName>
    <definedName name="dfhgh" localSheetId="3">#REF!</definedName>
    <definedName name="dfhgh" localSheetId="6">#REF!</definedName>
    <definedName name="dfhgh" localSheetId="5">#REF!</definedName>
    <definedName name="dfhgh" localSheetId="10">#REF!</definedName>
    <definedName name="dfhgh" localSheetId="9">#REF!</definedName>
    <definedName name="dfhgh" localSheetId="8">#REF!</definedName>
    <definedName name="dfhgh" localSheetId="7">#REF!</definedName>
    <definedName name="dfhgh" localSheetId="2">#REF!</definedName>
    <definedName name="dfhgh" localSheetId="1">#REF!</definedName>
    <definedName name="dfhgh" localSheetId="0">#REF!</definedName>
    <definedName name="dfhgh">#REF!</definedName>
    <definedName name="dfhhahayerh" localSheetId="4">#REF!</definedName>
    <definedName name="dfhhahayerh" localSheetId="3">#REF!</definedName>
    <definedName name="dfhhahayerh" localSheetId="6">#REF!</definedName>
    <definedName name="dfhhahayerh" localSheetId="5">#REF!</definedName>
    <definedName name="dfhhahayerh" localSheetId="10">#REF!</definedName>
    <definedName name="dfhhahayerh" localSheetId="9">#REF!</definedName>
    <definedName name="dfhhahayerh" localSheetId="8">#REF!</definedName>
    <definedName name="dfhhahayerh" localSheetId="7">#REF!</definedName>
    <definedName name="dfhhahayerh" localSheetId="2">#REF!</definedName>
    <definedName name="dfhhahayerh" localSheetId="1">#REF!</definedName>
    <definedName name="dfhhahayerh" localSheetId="0">#REF!</definedName>
    <definedName name="dfhhahayerh">#REF!</definedName>
    <definedName name="dfhsdfh">MATCH(0.01,'[12]General  (3)'!End_Bal,-1)+1</definedName>
    <definedName name="DFJDJ">'[3]Loan Amortization Schedule'!$D$6</definedName>
    <definedName name="dgfhdsfh" localSheetId="4">#REF!</definedName>
    <definedName name="dgfhdsfh" localSheetId="3">#REF!</definedName>
    <definedName name="dgfhdsfh" localSheetId="6">#REF!</definedName>
    <definedName name="dgfhdsfh" localSheetId="5">#REF!</definedName>
    <definedName name="dgfhdsfh" localSheetId="10">#REF!</definedName>
    <definedName name="dgfhdsfh" localSheetId="9">#REF!</definedName>
    <definedName name="dgfhdsfh" localSheetId="8">#REF!</definedName>
    <definedName name="dgfhdsfh" localSheetId="7">#REF!</definedName>
    <definedName name="dgfhdsfh" localSheetId="2">#REF!</definedName>
    <definedName name="dgfhdsfh" localSheetId="1">#REF!</definedName>
    <definedName name="dgfhdsfh" localSheetId="0">#REF!</definedName>
    <definedName name="dgfhdsfh">#REF!</definedName>
    <definedName name="didtiufy" localSheetId="4">#REF!</definedName>
    <definedName name="didtiufy" localSheetId="3">#REF!</definedName>
    <definedName name="didtiufy" localSheetId="6">#REF!</definedName>
    <definedName name="didtiufy" localSheetId="5">#REF!</definedName>
    <definedName name="didtiufy" localSheetId="10">#REF!</definedName>
    <definedName name="didtiufy" localSheetId="9">#REF!</definedName>
    <definedName name="didtiufy" localSheetId="8">#REF!</definedName>
    <definedName name="didtiufy" localSheetId="7">#REF!</definedName>
    <definedName name="didtiufy" localSheetId="2">#REF!</definedName>
    <definedName name="didtiufy" localSheetId="1">#REF!</definedName>
    <definedName name="didtiufy" localSheetId="0">#REF!</definedName>
    <definedName name="didtiufy">#REF!</definedName>
    <definedName name="Discount_Rate" localSheetId="4">[16]BEP!#REF!</definedName>
    <definedName name="Discount_Rate" localSheetId="3">[16]BEP!#REF!</definedName>
    <definedName name="Discount_Rate" localSheetId="6">[16]BEP!#REF!</definedName>
    <definedName name="Discount_Rate" localSheetId="5">[16]BEP!#REF!</definedName>
    <definedName name="Discount_Rate" localSheetId="10">[16]BEP!#REF!</definedName>
    <definedName name="Discount_Rate" localSheetId="9">[16]BEP!#REF!</definedName>
    <definedName name="Discount_Rate" localSheetId="8">[16]BEP!#REF!</definedName>
    <definedName name="Discount_Rate" localSheetId="7">[16]BEP!#REF!</definedName>
    <definedName name="Discount_Rate" localSheetId="2">[16]BEP!#REF!</definedName>
    <definedName name="Discount_Rate" localSheetId="1">[16]BEP!#REF!</definedName>
    <definedName name="Discount_Rate" localSheetId="0">[16]BEP!#REF!</definedName>
    <definedName name="Discount_Rate">[16]BEP!#REF!</definedName>
    <definedName name="diyufo" localSheetId="4">#REF!</definedName>
    <definedName name="diyufo" localSheetId="3">#REF!</definedName>
    <definedName name="diyufo" localSheetId="6">#REF!</definedName>
    <definedName name="diyufo" localSheetId="5">#REF!</definedName>
    <definedName name="diyufo" localSheetId="10">#REF!</definedName>
    <definedName name="diyufo" localSheetId="9">#REF!</definedName>
    <definedName name="diyufo" localSheetId="8">#REF!</definedName>
    <definedName name="diyufo" localSheetId="7">#REF!</definedName>
    <definedName name="diyufo" localSheetId="2">#REF!</definedName>
    <definedName name="diyufo" localSheetId="1">#REF!</definedName>
    <definedName name="diyufo" localSheetId="0">#REF!</definedName>
    <definedName name="diyufo">#REF!</definedName>
    <definedName name="doaa" localSheetId="4">#REF!</definedName>
    <definedName name="doaa" localSheetId="3">#REF!</definedName>
    <definedName name="doaa" localSheetId="6">#REF!</definedName>
    <definedName name="doaa" localSheetId="5">#REF!</definedName>
    <definedName name="doaa" localSheetId="10">#REF!</definedName>
    <definedName name="doaa" localSheetId="9">#REF!</definedName>
    <definedName name="doaa" localSheetId="8">#REF!</definedName>
    <definedName name="doaa" localSheetId="7">#REF!</definedName>
    <definedName name="doaa" localSheetId="2">#REF!</definedName>
    <definedName name="doaa" localSheetId="1">#REF!</definedName>
    <definedName name="doaa" localSheetId="0">#REF!</definedName>
    <definedName name="doaa">#REF!</definedName>
    <definedName name="dridtyi" localSheetId="4">#REF!</definedName>
    <definedName name="dridtyi" localSheetId="3">#REF!</definedName>
    <definedName name="dridtyi" localSheetId="6">#REF!</definedName>
    <definedName name="dridtyi" localSheetId="5">#REF!</definedName>
    <definedName name="dridtyi" localSheetId="10">#REF!</definedName>
    <definedName name="dridtyi" localSheetId="9">#REF!</definedName>
    <definedName name="dridtyi" localSheetId="8">#REF!</definedName>
    <definedName name="dridtyi" localSheetId="7">#REF!</definedName>
    <definedName name="dridtyi" localSheetId="2">#REF!</definedName>
    <definedName name="dridtyi" localSheetId="1">#REF!</definedName>
    <definedName name="dridtyi" localSheetId="0">#REF!</definedName>
    <definedName name="dridtyi">#REF!</definedName>
    <definedName name="dsgdfgdf" localSheetId="4">[17]Calender!#REF!</definedName>
    <definedName name="dsgdfgdf" localSheetId="3">[17]Calender!#REF!</definedName>
    <definedName name="dsgdfgdf" localSheetId="6">[17]Calender!#REF!</definedName>
    <definedName name="dsgdfgdf" localSheetId="5">[17]Calender!#REF!</definedName>
    <definedName name="dsgdfgdf" localSheetId="10">[17]Calender!#REF!</definedName>
    <definedName name="dsgdfgdf" localSheetId="9">[17]Calender!#REF!</definedName>
    <definedName name="dsgdfgdf" localSheetId="8">[17]Calender!#REF!</definedName>
    <definedName name="dsgdfgdf" localSheetId="7">[17]Calender!#REF!</definedName>
    <definedName name="dsgdfgdf" localSheetId="2">[17]Calender!#REF!</definedName>
    <definedName name="dsgdfgdf" localSheetId="1">[17]Calender!#REF!</definedName>
    <definedName name="dsgdfgdf" localSheetId="0">[17]Calender!#REF!</definedName>
    <definedName name="dsgdfgdf">[17]Calender!#REF!</definedName>
    <definedName name="DTDHistorical" localSheetId="4">#REF!</definedName>
    <definedName name="DTDHistorical" localSheetId="3">#REF!</definedName>
    <definedName name="DTDHistorical" localSheetId="6">#REF!</definedName>
    <definedName name="DTDHistorical" localSheetId="5">#REF!</definedName>
    <definedName name="DTDHistorical" localSheetId="10">#REF!</definedName>
    <definedName name="DTDHistorical" localSheetId="9">#REF!</definedName>
    <definedName name="DTDHistorical" localSheetId="8">#REF!</definedName>
    <definedName name="DTDHistorical" localSheetId="7">#REF!</definedName>
    <definedName name="DTDHistorical" localSheetId="2">#REF!</definedName>
    <definedName name="DTDHistorical" localSheetId="1">#REF!</definedName>
    <definedName name="DTDHistorical" localSheetId="0">#REF!</definedName>
    <definedName name="DTDHistorical">#REF!</definedName>
    <definedName name="DTDNow" localSheetId="4">#REF!</definedName>
    <definedName name="DTDNow" localSheetId="3">#REF!</definedName>
    <definedName name="DTDNow" localSheetId="6">#REF!</definedName>
    <definedName name="DTDNow" localSheetId="5">#REF!</definedName>
    <definedName name="DTDNow" localSheetId="10">#REF!</definedName>
    <definedName name="DTDNow" localSheetId="9">#REF!</definedName>
    <definedName name="DTDNow" localSheetId="8">#REF!</definedName>
    <definedName name="DTDNow" localSheetId="7">#REF!</definedName>
    <definedName name="DTDNow" localSheetId="2">#REF!</definedName>
    <definedName name="DTDNow" localSheetId="1">#REF!</definedName>
    <definedName name="DTDNow" localSheetId="0">#REF!</definedName>
    <definedName name="DTDNow">#REF!</definedName>
    <definedName name="dtio7d7e" localSheetId="4">#REF!</definedName>
    <definedName name="dtio7d7e" localSheetId="3">#REF!</definedName>
    <definedName name="dtio7d7e" localSheetId="6">#REF!</definedName>
    <definedName name="dtio7d7e" localSheetId="5">#REF!</definedName>
    <definedName name="dtio7d7e" localSheetId="10">#REF!</definedName>
    <definedName name="dtio7d7e" localSheetId="9">#REF!</definedName>
    <definedName name="dtio7d7e" localSheetId="8">#REF!</definedName>
    <definedName name="dtio7d7e" localSheetId="7">#REF!</definedName>
    <definedName name="dtio7d7e" localSheetId="2">#REF!</definedName>
    <definedName name="dtio7d7e" localSheetId="1">#REF!</definedName>
    <definedName name="dtio7d7e" localSheetId="0">#REF!</definedName>
    <definedName name="dtio7d7e">#REF!</definedName>
    <definedName name="dtyifti" localSheetId="4">#REF!</definedName>
    <definedName name="dtyifti" localSheetId="3">#REF!</definedName>
    <definedName name="dtyifti" localSheetId="6">#REF!</definedName>
    <definedName name="dtyifti" localSheetId="5">#REF!</definedName>
    <definedName name="dtyifti" localSheetId="10">#REF!</definedName>
    <definedName name="dtyifti" localSheetId="9">#REF!</definedName>
    <definedName name="dtyifti" localSheetId="8">#REF!</definedName>
    <definedName name="dtyifti" localSheetId="7">#REF!</definedName>
    <definedName name="dtyifti" localSheetId="2">#REF!</definedName>
    <definedName name="dtyifti" localSheetId="1">#REF!</definedName>
    <definedName name="dtyifti" localSheetId="0">#REF!</definedName>
    <definedName name="dtyifti">#REF!</definedName>
    <definedName name="Duty" localSheetId="4">#REF!</definedName>
    <definedName name="Duty" localSheetId="3">#REF!</definedName>
    <definedName name="Duty" localSheetId="6">#REF!</definedName>
    <definedName name="Duty" localSheetId="5">#REF!</definedName>
    <definedName name="Duty" localSheetId="10">#REF!</definedName>
    <definedName name="Duty" localSheetId="9">#REF!</definedName>
    <definedName name="Duty" localSheetId="8">#REF!</definedName>
    <definedName name="Duty" localSheetId="7">#REF!</definedName>
    <definedName name="Duty" localSheetId="2">#REF!</definedName>
    <definedName name="Duty" localSheetId="1">#REF!</definedName>
    <definedName name="Duty" localSheetId="0">#REF!</definedName>
    <definedName name="Duty">#REF!</definedName>
    <definedName name="dy" localSheetId="4">#REF!</definedName>
    <definedName name="dy" localSheetId="3">#REF!</definedName>
    <definedName name="dy" localSheetId="6">#REF!</definedName>
    <definedName name="dy" localSheetId="5">#REF!</definedName>
    <definedName name="dy" localSheetId="10">#REF!</definedName>
    <definedName name="dy" localSheetId="9">#REF!</definedName>
    <definedName name="dy" localSheetId="8">#REF!</definedName>
    <definedName name="dy" localSheetId="7">#REF!</definedName>
    <definedName name="dy" localSheetId="2">#REF!</definedName>
    <definedName name="dy" localSheetId="1">#REF!</definedName>
    <definedName name="dy" localSheetId="0">#REF!</definedName>
    <definedName name="dy">#REF!</definedName>
    <definedName name="DYTIDTI" localSheetId="4">#REF!</definedName>
    <definedName name="DYTIDTI" localSheetId="3">#REF!</definedName>
    <definedName name="DYTIDTI" localSheetId="6">#REF!</definedName>
    <definedName name="DYTIDTI" localSheetId="5">#REF!</definedName>
    <definedName name="DYTIDTI" localSheetId="10">#REF!</definedName>
    <definedName name="DYTIDTI" localSheetId="9">#REF!</definedName>
    <definedName name="DYTIDTI" localSheetId="8">#REF!</definedName>
    <definedName name="DYTIDTI" localSheetId="7">#REF!</definedName>
    <definedName name="DYTIDTI" localSheetId="2">#REF!</definedName>
    <definedName name="DYTIDTI" localSheetId="1">#REF!</definedName>
    <definedName name="DYTIDTI" localSheetId="0">#REF!</definedName>
    <definedName name="DYTIDTI">#REF!</definedName>
    <definedName name="DZJGGGGGGGFH" localSheetId="4">#REF!</definedName>
    <definedName name="DZJGGGGGGGFH" localSheetId="3">#REF!</definedName>
    <definedName name="DZJGGGGGGGFH" localSheetId="6">#REF!</definedName>
    <definedName name="DZJGGGGGGGFH" localSheetId="5">#REF!</definedName>
    <definedName name="DZJGGGGGGGFH" localSheetId="10">#REF!</definedName>
    <definedName name="DZJGGGGGGGFH" localSheetId="9">#REF!</definedName>
    <definedName name="DZJGGGGGGGFH" localSheetId="8">#REF!</definedName>
    <definedName name="DZJGGGGGGGFH" localSheetId="7">#REF!</definedName>
    <definedName name="DZJGGGGGGGFH" localSheetId="2">#REF!</definedName>
    <definedName name="DZJGGGGGGGFH" localSheetId="1">#REF!</definedName>
    <definedName name="DZJGGGGGGGFH" localSheetId="0">#REF!</definedName>
    <definedName name="DZJGGGGGGGFH">#REF!</definedName>
    <definedName name="ed" localSheetId="4">#REF!</definedName>
    <definedName name="ed" localSheetId="3">#REF!</definedName>
    <definedName name="ed" localSheetId="6">#REF!</definedName>
    <definedName name="ed" localSheetId="5">#REF!</definedName>
    <definedName name="ed" localSheetId="10">#REF!</definedName>
    <definedName name="ed" localSheetId="9">#REF!</definedName>
    <definedName name="ed" localSheetId="8">#REF!</definedName>
    <definedName name="ed" localSheetId="7">#REF!</definedName>
    <definedName name="ed" localSheetId="2">#REF!</definedName>
    <definedName name="ed" localSheetId="1">#REF!</definedName>
    <definedName name="ed" localSheetId="0">#REF!</definedName>
    <definedName name="ed">#REF!</definedName>
    <definedName name="eeee">#N/A</definedName>
    <definedName name="eeeeeeeeeeee">#N/A</definedName>
    <definedName name="eman">'[18]Loan Amortization Schedule'!$C$18:$C$497</definedName>
    <definedName name="End">'[19]Final Sheet '!$E$1</definedName>
    <definedName name="End_Bal">'[3]Loan Amortization Schedule'!$I$18:$I$497</definedName>
    <definedName name="ENT" localSheetId="4">#REF!</definedName>
    <definedName name="ENT" localSheetId="3">#REF!</definedName>
    <definedName name="ENT" localSheetId="6">#REF!</definedName>
    <definedName name="ENT" localSheetId="5">#REF!</definedName>
    <definedName name="ENT" localSheetId="10">#REF!</definedName>
    <definedName name="ENT" localSheetId="9">#REF!</definedName>
    <definedName name="ENT" localSheetId="8">#REF!</definedName>
    <definedName name="ENT" localSheetId="7">#REF!</definedName>
    <definedName name="ENT" localSheetId="2">#REF!</definedName>
    <definedName name="ENT" localSheetId="1">#REF!</definedName>
    <definedName name="ENT" localSheetId="0">#REF!</definedName>
    <definedName name="ENT">#REF!</definedName>
    <definedName name="er" localSheetId="4">#REF!</definedName>
    <definedName name="er" localSheetId="3">#REF!</definedName>
    <definedName name="er" localSheetId="6">#REF!</definedName>
    <definedName name="er" localSheetId="5">#REF!</definedName>
    <definedName name="er" localSheetId="10">#REF!</definedName>
    <definedName name="er" localSheetId="9">#REF!</definedName>
    <definedName name="er" localSheetId="8">#REF!</definedName>
    <definedName name="er" localSheetId="7">#REF!</definedName>
    <definedName name="er" localSheetId="2">#REF!</definedName>
    <definedName name="er" localSheetId="1">#REF!</definedName>
    <definedName name="er" localSheetId="0">#REF!</definedName>
    <definedName name="er">#REF!</definedName>
    <definedName name="eti8e579" localSheetId="4">#REF!</definedName>
    <definedName name="eti8e579" localSheetId="3">#REF!</definedName>
    <definedName name="eti8e579" localSheetId="6">#REF!</definedName>
    <definedName name="eti8e579" localSheetId="5">#REF!</definedName>
    <definedName name="eti8e579" localSheetId="10">#REF!</definedName>
    <definedName name="eti8e579" localSheetId="9">#REF!</definedName>
    <definedName name="eti8e579" localSheetId="8">#REF!</definedName>
    <definedName name="eti8e579" localSheetId="7">#REF!</definedName>
    <definedName name="eti8e579" localSheetId="2">#REF!</definedName>
    <definedName name="eti8e579" localSheetId="1">#REF!</definedName>
    <definedName name="eti8e579" localSheetId="0">#REF!</definedName>
    <definedName name="eti8e579">#REF!</definedName>
    <definedName name="ew">#N/A</definedName>
    <definedName name="eXclusiv" localSheetId="4" hidden="1">OFFSET([15]!Data.Top.Left,1,0)</definedName>
    <definedName name="eXclusiv" localSheetId="6" hidden="1">OFFSET([15]!Data.Top.Left,1,0)</definedName>
    <definedName name="eXclusiv" localSheetId="10" hidden="1">OFFSET([15]!Data.Top.Left,1,0)</definedName>
    <definedName name="eXclusiv" localSheetId="8" hidden="1">OFFSET([15]!Data.Top.Left,1,0)</definedName>
    <definedName name="eXclusiv" localSheetId="2" hidden="1">OFFSET([15]!Data.Top.Left,1,0)</definedName>
    <definedName name="eXclusiv" localSheetId="0" hidden="1">OFFSET([15]!Data.Top.Left,1,0)</definedName>
    <definedName name="eXclusiv" hidden="1">OFFSET([15]!Data.Top.Left,1,0)</definedName>
    <definedName name="EXPENSEITEM">[8]!EXPENSEITEEMS[[#All],[EXPENSE ITEM LIST]]</definedName>
    <definedName name="EXPENSEITEMS">[8]!EXPENSEITEEMS[[#All],[EXPENSE ITEM LIST]]</definedName>
    <definedName name="Extra_Pay">'[3]Loan Amortization Schedule'!$E$18:$E$497</definedName>
    <definedName name="EYEAYU" localSheetId="4">#REF!</definedName>
    <definedName name="EYEAYU" localSheetId="3">#REF!</definedName>
    <definedName name="EYEAYU" localSheetId="6">#REF!</definedName>
    <definedName name="EYEAYU" localSheetId="5">#REF!</definedName>
    <definedName name="EYEAYU" localSheetId="10">#REF!</definedName>
    <definedName name="EYEAYU" localSheetId="9">#REF!</definedName>
    <definedName name="EYEAYU" localSheetId="8">#REF!</definedName>
    <definedName name="EYEAYU" localSheetId="7">#REF!</definedName>
    <definedName name="EYEAYU" localSheetId="2">#REF!</definedName>
    <definedName name="EYEAYU" localSheetId="1">#REF!</definedName>
    <definedName name="EYEAYU" localSheetId="0">#REF!</definedName>
    <definedName name="EYEAYU">#REF!</definedName>
    <definedName name="fageWT">MATCH(0.01,'[12]General  (3)'!End_Bal,-1)+1</definedName>
    <definedName name="fd" localSheetId="4">#REF!</definedName>
    <definedName name="fd" localSheetId="3">#REF!</definedName>
    <definedName name="fd" localSheetId="6">#REF!</definedName>
    <definedName name="fd" localSheetId="5">#REF!</definedName>
    <definedName name="fd" localSheetId="10">#REF!</definedName>
    <definedName name="fd" localSheetId="9">#REF!</definedName>
    <definedName name="fd" localSheetId="8">#REF!</definedName>
    <definedName name="fd" localSheetId="7">#REF!</definedName>
    <definedName name="fd" localSheetId="2">#REF!</definedName>
    <definedName name="fd" localSheetId="1">#REF!</definedName>
    <definedName name="fd" localSheetId="0">#REF!</definedName>
    <definedName name="fd">#REF!</definedName>
    <definedName name="fdgdsfh" localSheetId="4">#REF!</definedName>
    <definedName name="fdgdsfh" localSheetId="3">#REF!</definedName>
    <definedName name="fdgdsfh" localSheetId="6">#REF!</definedName>
    <definedName name="fdgdsfh" localSheetId="5">#REF!</definedName>
    <definedName name="fdgdsfh" localSheetId="10">#REF!</definedName>
    <definedName name="fdgdsfh" localSheetId="9">#REF!</definedName>
    <definedName name="fdgdsfh" localSheetId="8">#REF!</definedName>
    <definedName name="fdgdsfh" localSheetId="7">#REF!</definedName>
    <definedName name="fdgdsfh" localSheetId="2">#REF!</definedName>
    <definedName name="fdgdsfh" localSheetId="1">#REF!</definedName>
    <definedName name="fdgdsfh" localSheetId="0">#REF!</definedName>
    <definedName name="fdgdsfh">#REF!</definedName>
    <definedName name="fdgfgfzdg" localSheetId="4">#REF!</definedName>
    <definedName name="fdgfgfzdg" localSheetId="3">#REF!</definedName>
    <definedName name="fdgfgfzdg" localSheetId="6">#REF!</definedName>
    <definedName name="fdgfgfzdg" localSheetId="5">#REF!</definedName>
    <definedName name="fdgfgfzdg" localSheetId="10">#REF!</definedName>
    <definedName name="fdgfgfzdg" localSheetId="9">#REF!</definedName>
    <definedName name="fdgfgfzdg" localSheetId="8">#REF!</definedName>
    <definedName name="fdgfgfzdg" localSheetId="7">#REF!</definedName>
    <definedName name="fdgfgfzdg" localSheetId="2">#REF!</definedName>
    <definedName name="fdgfgfzdg" localSheetId="1">#REF!</definedName>
    <definedName name="fdgfgfzdg" localSheetId="0">#REF!</definedName>
    <definedName name="fdgfgfzdg">#REF!</definedName>
    <definedName name="fdhdfh" localSheetId="4">#REF!</definedName>
    <definedName name="fdhdfh" localSheetId="3">#REF!</definedName>
    <definedName name="fdhdfh" localSheetId="6">#REF!</definedName>
    <definedName name="fdhdfh" localSheetId="5">#REF!</definedName>
    <definedName name="fdhdfh" localSheetId="10">#REF!</definedName>
    <definedName name="fdhdfh" localSheetId="9">#REF!</definedName>
    <definedName name="fdhdfh" localSheetId="8">#REF!</definedName>
    <definedName name="fdhdfh" localSheetId="7">#REF!</definedName>
    <definedName name="fdhdfh" localSheetId="2">#REF!</definedName>
    <definedName name="fdhdfh" localSheetId="1">#REF!</definedName>
    <definedName name="fdhdfh" localSheetId="0">#REF!</definedName>
    <definedName name="fdhdfh">#REF!</definedName>
    <definedName name="fdhfdh" localSheetId="4">#REF!</definedName>
    <definedName name="fdhfdh" localSheetId="3">#REF!</definedName>
    <definedName name="fdhfdh" localSheetId="6">#REF!</definedName>
    <definedName name="fdhfdh" localSheetId="5">#REF!</definedName>
    <definedName name="fdhfdh" localSheetId="10">#REF!</definedName>
    <definedName name="fdhfdh" localSheetId="9">#REF!</definedName>
    <definedName name="fdhfdh" localSheetId="8">#REF!</definedName>
    <definedName name="fdhfdh" localSheetId="7">#REF!</definedName>
    <definedName name="fdhfdh" localSheetId="2">#REF!</definedName>
    <definedName name="fdhfdh" localSheetId="1">#REF!</definedName>
    <definedName name="fdhfdh" localSheetId="0">#REF!</definedName>
    <definedName name="fdhfdh">#REF!</definedName>
    <definedName name="fdhhshff" localSheetId="4">#REF!</definedName>
    <definedName name="fdhhshff" localSheetId="3">#REF!</definedName>
    <definedName name="fdhhshff" localSheetId="6">#REF!</definedName>
    <definedName name="fdhhshff" localSheetId="5">#REF!</definedName>
    <definedName name="fdhhshff" localSheetId="10">#REF!</definedName>
    <definedName name="fdhhshff" localSheetId="9">#REF!</definedName>
    <definedName name="fdhhshff" localSheetId="8">#REF!</definedName>
    <definedName name="fdhhshff" localSheetId="7">#REF!</definedName>
    <definedName name="fdhhshff" localSheetId="2">#REF!</definedName>
    <definedName name="fdhhshff" localSheetId="1">#REF!</definedName>
    <definedName name="fdhhshff" localSheetId="0">#REF!</definedName>
    <definedName name="fdhhshff">#REF!</definedName>
    <definedName name="FDHZDHSR" localSheetId="4">#REF!</definedName>
    <definedName name="FDHZDHSR" localSheetId="3">#REF!</definedName>
    <definedName name="FDHZDHSR" localSheetId="6">#REF!</definedName>
    <definedName name="FDHZDHSR" localSheetId="5">#REF!</definedName>
    <definedName name="FDHZDHSR" localSheetId="10">#REF!</definedName>
    <definedName name="FDHZDHSR" localSheetId="9">#REF!</definedName>
    <definedName name="FDHZDHSR" localSheetId="8">#REF!</definedName>
    <definedName name="FDHZDHSR" localSheetId="7">#REF!</definedName>
    <definedName name="FDHZDHSR" localSheetId="2">#REF!</definedName>
    <definedName name="FDHZDHSR" localSheetId="1">#REF!</definedName>
    <definedName name="FDHZDHSR" localSheetId="0">#REF!</definedName>
    <definedName name="FDHZDHSR">#REF!</definedName>
    <definedName name="fdzhae5t" localSheetId="4">#REF!</definedName>
    <definedName name="fdzhae5t" localSheetId="3">#REF!</definedName>
    <definedName name="fdzhae5t" localSheetId="6">#REF!</definedName>
    <definedName name="fdzhae5t" localSheetId="5">#REF!</definedName>
    <definedName name="fdzhae5t" localSheetId="10">#REF!</definedName>
    <definedName name="fdzhae5t" localSheetId="9">#REF!</definedName>
    <definedName name="fdzhae5t" localSheetId="8">#REF!</definedName>
    <definedName name="fdzhae5t" localSheetId="7">#REF!</definedName>
    <definedName name="fdzhae5t" localSheetId="2">#REF!</definedName>
    <definedName name="fdzhae5t" localSheetId="1">#REF!</definedName>
    <definedName name="fdzhae5t" localSheetId="0">#REF!</definedName>
    <definedName name="fdzhae5t">#REF!</definedName>
    <definedName name="FebSun1" localSheetId="4">DATE(TheYear,2,1)-WEEKDAY(DATE(TheYear,2,1))+1</definedName>
    <definedName name="FebSun1" localSheetId="3">DATE(TheYear,2,1)-WEEKDAY(DATE(TheYear,2,1))+1</definedName>
    <definedName name="FebSun1" localSheetId="6">DATE(TheYear,2,1)-WEEKDAY(DATE(TheYear,2,1))+1</definedName>
    <definedName name="FebSun1" localSheetId="5">DATE(TheYear,2,1)-WEEKDAY(DATE(TheYear,2,1))+1</definedName>
    <definedName name="FebSun1" localSheetId="10">DATE(TheYear,2,1)-WEEKDAY(DATE(TheYear,2,1))+1</definedName>
    <definedName name="FebSun1" localSheetId="9">DATE(TheYear,2,1)-WEEKDAY(DATE(TheYear,2,1))+1</definedName>
    <definedName name="FebSun1" localSheetId="8">DATE(TheYear,2,1)-WEEKDAY(DATE(TheYear,2,1))+1</definedName>
    <definedName name="FebSun1" localSheetId="7">DATE(TheYear,2,1)-WEEKDAY(DATE(TheYear,2,1))+1</definedName>
    <definedName name="FebSun1" localSheetId="2">DATE(TheYear,2,1)-WEEKDAY(DATE(TheYear,2,1))+1</definedName>
    <definedName name="FebSun1" localSheetId="1">DATE(TheYear,2,1)-WEEKDAY(DATE(TheYear,2,1))+1</definedName>
    <definedName name="FebSun1" localSheetId="0">DATE([0]!TheYear,2,1)-WEEKDAY(DATE([0]!TheYear,2,1))+1</definedName>
    <definedName name="FebSun1">DATE(TheYear,2,1)-WEEKDAY(DATE(TheYear,2,1))+1</definedName>
    <definedName name="ff" localSheetId="4">#REF!</definedName>
    <definedName name="ff" localSheetId="3">#REF!</definedName>
    <definedName name="ff" localSheetId="6">#REF!</definedName>
    <definedName name="ff" localSheetId="5">#REF!</definedName>
    <definedName name="ff" localSheetId="10">#REF!</definedName>
    <definedName name="ff" localSheetId="9">#REF!</definedName>
    <definedName name="ff" localSheetId="8">#REF!</definedName>
    <definedName name="ff" localSheetId="7">#REF!</definedName>
    <definedName name="ff" localSheetId="2">#REF!</definedName>
    <definedName name="ff" localSheetId="1">#REF!</definedName>
    <definedName name="ff" localSheetId="0">#REF!</definedName>
    <definedName name="ff">#REF!</definedName>
    <definedName name="fff" localSheetId="4">#REF!</definedName>
    <definedName name="fff" localSheetId="3">#REF!</definedName>
    <definedName name="fff" localSheetId="6">#REF!</definedName>
    <definedName name="fff" localSheetId="5">#REF!</definedName>
    <definedName name="fff" localSheetId="10">#REF!</definedName>
    <definedName name="fff" localSheetId="9">#REF!</definedName>
    <definedName name="fff" localSheetId="8">#REF!</definedName>
    <definedName name="fff" localSheetId="7">#REF!</definedName>
    <definedName name="fff" localSheetId="2">#REF!</definedName>
    <definedName name="fff" localSheetId="1">#REF!</definedName>
    <definedName name="fff" localSheetId="0">#REF!</definedName>
    <definedName name="fff">#REF!</definedName>
    <definedName name="fgdgds" localSheetId="4">#REF!</definedName>
    <definedName name="fgdgds" localSheetId="3">#REF!</definedName>
    <definedName name="fgdgds" localSheetId="6">#REF!</definedName>
    <definedName name="fgdgds" localSheetId="5">#REF!</definedName>
    <definedName name="fgdgds" localSheetId="10">#REF!</definedName>
    <definedName name="fgdgds" localSheetId="9">#REF!</definedName>
    <definedName name="fgdgds" localSheetId="8">#REF!</definedName>
    <definedName name="fgdgds" localSheetId="7">#REF!</definedName>
    <definedName name="fgdgds" localSheetId="2">#REF!</definedName>
    <definedName name="fgdgds" localSheetId="1">#REF!</definedName>
    <definedName name="fgdgds" localSheetId="0">#REF!</definedName>
    <definedName name="fgdgds">#REF!</definedName>
    <definedName name="FGHFDJ" localSheetId="4">#REF!</definedName>
    <definedName name="FGHFDJ" localSheetId="3">#REF!</definedName>
    <definedName name="FGHFDJ" localSheetId="6">#REF!</definedName>
    <definedName name="FGHFDJ" localSheetId="5">#REF!</definedName>
    <definedName name="FGHFDJ" localSheetId="10">#REF!</definedName>
    <definedName name="FGHFDJ" localSheetId="9">#REF!</definedName>
    <definedName name="FGHFDJ" localSheetId="8">#REF!</definedName>
    <definedName name="FGHFDJ" localSheetId="7">#REF!</definedName>
    <definedName name="FGHFDJ" localSheetId="2">#REF!</definedName>
    <definedName name="FGHFDJ" localSheetId="1">#REF!</definedName>
    <definedName name="FGHFDJ" localSheetId="0">#REF!</definedName>
    <definedName name="FGHFDJ">#REF!</definedName>
    <definedName name="FGJGSFJ" localSheetId="4">#REF!</definedName>
    <definedName name="FGJGSFJ" localSheetId="3">#REF!</definedName>
    <definedName name="FGJGSFJ" localSheetId="6">#REF!</definedName>
    <definedName name="FGJGSFJ" localSheetId="5">#REF!</definedName>
    <definedName name="FGJGSFJ" localSheetId="10">#REF!</definedName>
    <definedName name="FGJGSFJ" localSheetId="9">#REF!</definedName>
    <definedName name="FGJGSFJ" localSheetId="8">#REF!</definedName>
    <definedName name="FGJGSFJ" localSheetId="7">#REF!</definedName>
    <definedName name="FGJGSFJ" localSheetId="2">#REF!</definedName>
    <definedName name="FGJGSFJ" localSheetId="1">#REF!</definedName>
    <definedName name="FGJGSFJ" localSheetId="0">#REF!</definedName>
    <definedName name="FGJGSFJ">#REF!</definedName>
    <definedName name="fgufiofyo" localSheetId="4">#REF!</definedName>
    <definedName name="fgufiofyo" localSheetId="3">#REF!</definedName>
    <definedName name="fgufiofyo" localSheetId="6">#REF!</definedName>
    <definedName name="fgufiofyo" localSheetId="5">#REF!</definedName>
    <definedName name="fgufiofyo" localSheetId="10">#REF!</definedName>
    <definedName name="fgufiofyo" localSheetId="9">#REF!</definedName>
    <definedName name="fgufiofyo" localSheetId="8">#REF!</definedName>
    <definedName name="fgufiofyo" localSheetId="7">#REF!</definedName>
    <definedName name="fgufiofyo" localSheetId="2">#REF!</definedName>
    <definedName name="fgufiofyo" localSheetId="1">#REF!</definedName>
    <definedName name="fgufiofyo" localSheetId="0">#REF!</definedName>
    <definedName name="fgufiofyo">#REF!</definedName>
    <definedName name="Finance">#N/A</definedName>
    <definedName name="finance_ok">#N/A</definedName>
    <definedName name="Finance2015">#N/A</definedName>
    <definedName name="fivehundred" localSheetId="4">#REF!</definedName>
    <definedName name="fivehundred" localSheetId="3">#REF!</definedName>
    <definedName name="fivehundred" localSheetId="6">#REF!</definedName>
    <definedName name="fivehundred" localSheetId="5">#REF!</definedName>
    <definedName name="fivehundred" localSheetId="10">#REF!</definedName>
    <definedName name="fivehundred" localSheetId="9">#REF!</definedName>
    <definedName name="fivehundred" localSheetId="8">#REF!</definedName>
    <definedName name="fivehundred" localSheetId="7">#REF!</definedName>
    <definedName name="fivehundred" localSheetId="2">#REF!</definedName>
    <definedName name="fivehundred" localSheetId="1">#REF!</definedName>
    <definedName name="fivehundred" localSheetId="0">#REF!</definedName>
    <definedName name="fivehundred">#REF!</definedName>
    <definedName name="FJEY">'[3]Loan Amortization Schedule'!$D$7</definedName>
    <definedName name="FJFGJ" localSheetId="4">{0,1,2,3,4,5,6} + {0;1;2;3;4;5}*7</definedName>
    <definedName name="FJFGJ" localSheetId="3">{0,1,2,3,4,5,6} + {0;1;2;3;4;5}*7</definedName>
    <definedName name="FJFGJ" localSheetId="6">{0,1,2,3,4,5,6} + {0;1;2;3;4;5}*7</definedName>
    <definedName name="FJFGJ" localSheetId="5">{0,1,2,3,4,5,6} + {0;1;2;3;4;5}*7</definedName>
    <definedName name="FJFGJ" localSheetId="10">{0,1,2,3,4,5,6} + {0;1;2;3;4;5}*7</definedName>
    <definedName name="FJFGJ" localSheetId="9">{0,1,2,3,4,5,6} + {0;1;2;3;4;5}*7</definedName>
    <definedName name="FJFGJ" localSheetId="8">{0,1,2,3,4,5,6} + {0;1;2;3;4;5}*7</definedName>
    <definedName name="FJFGJ" localSheetId="7">{0,1,2,3,4,5,6} + {0;1;2;3;4;5}*7</definedName>
    <definedName name="FJFGJ" localSheetId="2">{0,1,2,3,4,5,6} + {0;1;2;3;4;5}*7</definedName>
    <definedName name="FJFGJ" localSheetId="1">{0,1,2,3,4,5,6} + {0;1;2;3;4;5}*7</definedName>
    <definedName name="FJFGJ" localSheetId="0">{0,1,2,3,4,5,6} + {0;1;2;3;4;5}*7</definedName>
    <definedName name="FJFGJ">{0,1,2,3,4,5,6} + {0;1;2;3;4;5}*7</definedName>
    <definedName name="FJGKGK">IF('[12]General  (3)'!Loan_Amount*'[12]General  (3)'!Interest_Rate*'[12]General  (3)'!Loan_Years*'[12]General  (3)'!Loan_Start&gt;0,1,0)</definedName>
    <definedName name="fjhyf">#N/A</definedName>
    <definedName name="fksajlkhflksah" localSheetId="4">#REF!</definedName>
    <definedName name="fksajlkhflksah" localSheetId="3">#REF!</definedName>
    <definedName name="fksajlkhflksah" localSheetId="6">#REF!</definedName>
    <definedName name="fksajlkhflksah" localSheetId="5">#REF!</definedName>
    <definedName name="fksajlkhflksah" localSheetId="10">#REF!</definedName>
    <definedName name="fksajlkhflksah" localSheetId="9">#REF!</definedName>
    <definedName name="fksajlkhflksah" localSheetId="8">#REF!</definedName>
    <definedName name="fksajlkhflksah" localSheetId="7">#REF!</definedName>
    <definedName name="fksajlkhflksah" localSheetId="2">#REF!</definedName>
    <definedName name="fksajlkhflksah" localSheetId="1">#REF!</definedName>
    <definedName name="fksajlkhflksah" localSheetId="0">#REF!</definedName>
    <definedName name="fksajlkhflksah">#REF!</definedName>
    <definedName name="fr" localSheetId="4">#REF!</definedName>
    <definedName name="fr" localSheetId="3">#REF!</definedName>
    <definedName name="fr" localSheetId="6">#REF!</definedName>
    <definedName name="fr" localSheetId="5">#REF!</definedName>
    <definedName name="fr" localSheetId="10">#REF!</definedName>
    <definedName name="fr" localSheetId="9">#REF!</definedName>
    <definedName name="fr" localSheetId="8">#REF!</definedName>
    <definedName name="fr" localSheetId="7">#REF!</definedName>
    <definedName name="fr" localSheetId="2">#REF!</definedName>
    <definedName name="fr" localSheetId="1">#REF!</definedName>
    <definedName name="fr" localSheetId="0">#REF!</definedName>
    <definedName name="fr">#REF!</definedName>
    <definedName name="frl" localSheetId="4">[20]Calender!#REF!</definedName>
    <definedName name="frl" localSheetId="3">[20]Calender!#REF!</definedName>
    <definedName name="frl" localSheetId="6">[20]Calender!#REF!</definedName>
    <definedName name="frl" localSheetId="5">[20]Calender!#REF!</definedName>
    <definedName name="frl" localSheetId="10">[20]Calender!#REF!</definedName>
    <definedName name="frl" localSheetId="9">[20]Calender!#REF!</definedName>
    <definedName name="frl" localSheetId="8">[20]Calender!#REF!</definedName>
    <definedName name="frl" localSheetId="7">[20]Calender!#REF!</definedName>
    <definedName name="frl" localSheetId="2">[20]Calender!#REF!</definedName>
    <definedName name="frl" localSheetId="1">[20]Calender!#REF!</definedName>
    <definedName name="frl">[20]Calender!#REF!</definedName>
    <definedName name="FTGTJDR">#N/A</definedName>
    <definedName name="ftifti" localSheetId="4">#REF!</definedName>
    <definedName name="ftifti" localSheetId="3">#REF!</definedName>
    <definedName name="ftifti" localSheetId="6">#REF!</definedName>
    <definedName name="ftifti" localSheetId="5">#REF!</definedName>
    <definedName name="ftifti" localSheetId="10">#REF!</definedName>
    <definedName name="ftifti" localSheetId="9">#REF!</definedName>
    <definedName name="ftifti" localSheetId="8">#REF!</definedName>
    <definedName name="ftifti" localSheetId="7">#REF!</definedName>
    <definedName name="ftifti" localSheetId="2">#REF!</definedName>
    <definedName name="ftifti" localSheetId="1">#REF!</definedName>
    <definedName name="ftifti" localSheetId="0">#REF!</definedName>
    <definedName name="ftifti">#REF!</definedName>
    <definedName name="Full_Print">'[3]Loan Amortization Schedule'!$A$1:$J$497</definedName>
    <definedName name="fuoyo" localSheetId="4">#REF!</definedName>
    <definedName name="fuoyo" localSheetId="3">#REF!</definedName>
    <definedName name="fuoyo" localSheetId="6">#REF!</definedName>
    <definedName name="fuoyo" localSheetId="5">#REF!</definedName>
    <definedName name="fuoyo" localSheetId="10">#REF!</definedName>
    <definedName name="fuoyo" localSheetId="9">#REF!</definedName>
    <definedName name="fuoyo" localSheetId="8">#REF!</definedName>
    <definedName name="fuoyo" localSheetId="7">#REF!</definedName>
    <definedName name="fuoyo" localSheetId="2">#REF!</definedName>
    <definedName name="fuoyo" localSheetId="1">#REF!</definedName>
    <definedName name="fuoyo" localSheetId="0">#REF!</definedName>
    <definedName name="fuoyo">#REF!</definedName>
    <definedName name="fyuofy" localSheetId="4">#REF!</definedName>
    <definedName name="fyuofy" localSheetId="3">#REF!</definedName>
    <definedName name="fyuofy" localSheetId="6">#REF!</definedName>
    <definedName name="fyuofy" localSheetId="5">#REF!</definedName>
    <definedName name="fyuofy" localSheetId="10">#REF!</definedName>
    <definedName name="fyuofy" localSheetId="9">#REF!</definedName>
    <definedName name="fyuofy" localSheetId="8">#REF!</definedName>
    <definedName name="fyuofy" localSheetId="7">#REF!</definedName>
    <definedName name="fyuofy" localSheetId="2">#REF!</definedName>
    <definedName name="fyuofy" localSheetId="1">#REF!</definedName>
    <definedName name="fyuofy" localSheetId="0">#REF!</definedName>
    <definedName name="fyuofy">#REF!</definedName>
    <definedName name="fyuopipu" localSheetId="4">#REF!</definedName>
    <definedName name="fyuopipu" localSheetId="3">#REF!</definedName>
    <definedName name="fyuopipu" localSheetId="6">#REF!</definedName>
    <definedName name="fyuopipu" localSheetId="5">#REF!</definedName>
    <definedName name="fyuopipu" localSheetId="10">#REF!</definedName>
    <definedName name="fyuopipu" localSheetId="9">#REF!</definedName>
    <definedName name="fyuopipu" localSheetId="8">#REF!</definedName>
    <definedName name="fyuopipu" localSheetId="7">#REF!</definedName>
    <definedName name="fyuopipu" localSheetId="2">#REF!</definedName>
    <definedName name="fyuopipu" localSheetId="1">#REF!</definedName>
    <definedName name="fyuopipu" localSheetId="0">#REF!</definedName>
    <definedName name="fyuopipu">#REF!</definedName>
    <definedName name="g" localSheetId="4">[21]Calender!#REF!</definedName>
    <definedName name="g" localSheetId="3">[21]Calender!#REF!</definedName>
    <definedName name="g" localSheetId="6">[21]Calender!#REF!</definedName>
    <definedName name="g" localSheetId="5">[21]Calender!#REF!</definedName>
    <definedName name="g" localSheetId="10">[21]Calender!#REF!</definedName>
    <definedName name="g" localSheetId="9">[21]Calender!#REF!</definedName>
    <definedName name="g" localSheetId="8">[21]Calender!#REF!</definedName>
    <definedName name="g" localSheetId="7">[21]Calender!#REF!</definedName>
    <definedName name="g" localSheetId="2">[21]Calender!#REF!</definedName>
    <definedName name="g" localSheetId="1">[21]Calender!#REF!</definedName>
    <definedName name="g" localSheetId="0">[21]Calender!#REF!</definedName>
    <definedName name="g">[21]Calender!#REF!</definedName>
    <definedName name="gaeryae" localSheetId="4">#REF!</definedName>
    <definedName name="gaeryae" localSheetId="3">#REF!</definedName>
    <definedName name="gaeryae" localSheetId="6">#REF!</definedName>
    <definedName name="gaeryae" localSheetId="5">#REF!</definedName>
    <definedName name="gaeryae" localSheetId="10">#REF!</definedName>
    <definedName name="gaeryae" localSheetId="9">#REF!</definedName>
    <definedName name="gaeryae" localSheetId="8">#REF!</definedName>
    <definedName name="gaeryae" localSheetId="7">#REF!</definedName>
    <definedName name="gaeryae" localSheetId="2">#REF!</definedName>
    <definedName name="gaeryae" localSheetId="1">#REF!</definedName>
    <definedName name="gaeryae" localSheetId="0">#REF!</definedName>
    <definedName name="gaeryae">#REF!</definedName>
    <definedName name="gaidi" localSheetId="4">#REF!</definedName>
    <definedName name="gaidi" localSheetId="3">#REF!</definedName>
    <definedName name="gaidi" localSheetId="6">#REF!</definedName>
    <definedName name="gaidi" localSheetId="5">#REF!</definedName>
    <definedName name="gaidi" localSheetId="10">#REF!</definedName>
    <definedName name="gaidi" localSheetId="9">#REF!</definedName>
    <definedName name="gaidi" localSheetId="8">#REF!</definedName>
    <definedName name="gaidi" localSheetId="7">#REF!</definedName>
    <definedName name="gaidi" localSheetId="2">#REF!</definedName>
    <definedName name="gaidi" localSheetId="1">#REF!</definedName>
    <definedName name="gaidi" localSheetId="0">#REF!</definedName>
    <definedName name="gaidi">#REF!</definedName>
    <definedName name="gamal" localSheetId="4">#REF!</definedName>
    <definedName name="gamal" localSheetId="3">#REF!</definedName>
    <definedName name="gamal" localSheetId="6">#REF!</definedName>
    <definedName name="gamal" localSheetId="5">#REF!</definedName>
    <definedName name="gamal" localSheetId="10">#REF!</definedName>
    <definedName name="gamal" localSheetId="9">#REF!</definedName>
    <definedName name="gamal" localSheetId="8">#REF!</definedName>
    <definedName name="gamal" localSheetId="7">#REF!</definedName>
    <definedName name="gamal" localSheetId="2">#REF!</definedName>
    <definedName name="gamal" localSheetId="1">#REF!</definedName>
    <definedName name="gamal" localSheetId="0">#REF!</definedName>
    <definedName name="gamal">#REF!</definedName>
    <definedName name="GCHKC" localSheetId="4">#REF!</definedName>
    <definedName name="GCHKC" localSheetId="3">#REF!</definedName>
    <definedName name="GCHKC" localSheetId="6">#REF!</definedName>
    <definedName name="GCHKC" localSheetId="5">#REF!</definedName>
    <definedName name="GCHKC" localSheetId="10">#REF!</definedName>
    <definedName name="GCHKC" localSheetId="9">#REF!</definedName>
    <definedName name="GCHKC" localSheetId="8">#REF!</definedName>
    <definedName name="GCHKC" localSheetId="7">#REF!</definedName>
    <definedName name="GCHKC" localSheetId="2">#REF!</definedName>
    <definedName name="GCHKC" localSheetId="1">#REF!</definedName>
    <definedName name="GCHKC" localSheetId="0">#REF!</definedName>
    <definedName name="GCHKC">#REF!</definedName>
    <definedName name="GDSF">MATCH(0.01,'[12]General  (3)'!End_Bal,-1)+1</definedName>
    <definedName name="General" localSheetId="4">#REF!</definedName>
    <definedName name="General" localSheetId="3">#REF!</definedName>
    <definedName name="General" localSheetId="6">#REF!</definedName>
    <definedName name="General" localSheetId="5">#REF!</definedName>
    <definedName name="General" localSheetId="10">#REF!</definedName>
    <definedName name="General" localSheetId="9">#REF!</definedName>
    <definedName name="General" localSheetId="8">#REF!</definedName>
    <definedName name="General" localSheetId="7">#REF!</definedName>
    <definedName name="General" localSheetId="2">#REF!</definedName>
    <definedName name="General" localSheetId="1">#REF!</definedName>
    <definedName name="General" localSheetId="0">#REF!</definedName>
    <definedName name="General">#REF!</definedName>
    <definedName name="general_surgery" localSheetId="4">#REF!</definedName>
    <definedName name="general_surgery" localSheetId="3">#REF!</definedName>
    <definedName name="general_surgery" localSheetId="6">#REF!</definedName>
    <definedName name="general_surgery" localSheetId="5">#REF!</definedName>
    <definedName name="general_surgery" localSheetId="10">#REF!</definedName>
    <definedName name="general_surgery" localSheetId="9">#REF!</definedName>
    <definedName name="general_surgery" localSheetId="8">#REF!</definedName>
    <definedName name="general_surgery" localSheetId="7">#REF!</definedName>
    <definedName name="general_surgery" localSheetId="2">#REF!</definedName>
    <definedName name="general_surgery" localSheetId="1">#REF!</definedName>
    <definedName name="general_surgery" localSheetId="0">#REF!</definedName>
    <definedName name="general_surgery">#REF!</definedName>
    <definedName name="GF">'[3]Loan Amortization Schedule'!$D$5</definedName>
    <definedName name="GFHDFJ">ROW('[3]Loan Amortization Schedule'!$17:$17)</definedName>
    <definedName name="GFHFSJH" localSheetId="4">#REF!</definedName>
    <definedName name="GFHFSJH" localSheetId="3">#REF!</definedName>
    <definedName name="GFHFSJH" localSheetId="6">#REF!</definedName>
    <definedName name="GFHFSJH" localSheetId="5">#REF!</definedName>
    <definedName name="GFHFSJH" localSheetId="10">#REF!</definedName>
    <definedName name="GFHFSJH" localSheetId="9">#REF!</definedName>
    <definedName name="GFHFSJH" localSheetId="8">#REF!</definedName>
    <definedName name="GFHFSJH" localSheetId="7">#REF!</definedName>
    <definedName name="GFHFSJH" localSheetId="2">#REF!</definedName>
    <definedName name="GFHFSJH" localSheetId="1">#REF!</definedName>
    <definedName name="GFHFSJH" localSheetId="0">#REF!</definedName>
    <definedName name="GFHFSJH">#REF!</definedName>
    <definedName name="GFJDFJ" localSheetId="4">#REF!</definedName>
    <definedName name="GFJDFJ" localSheetId="3">#REF!</definedName>
    <definedName name="GFJDFJ" localSheetId="6">#REF!</definedName>
    <definedName name="GFJDFJ" localSheetId="5">#REF!</definedName>
    <definedName name="GFJDFJ" localSheetId="10">#REF!</definedName>
    <definedName name="GFJDFJ" localSheetId="9">#REF!</definedName>
    <definedName name="GFJDFJ" localSheetId="8">#REF!</definedName>
    <definedName name="GFJDFJ" localSheetId="7">#REF!</definedName>
    <definedName name="GFJDFJ" localSheetId="2">#REF!</definedName>
    <definedName name="GFJDFJ" localSheetId="1">#REF!</definedName>
    <definedName name="GFJDFJ" localSheetId="0">#REF!</definedName>
    <definedName name="GFJDFJ">#REF!</definedName>
    <definedName name="GFJDTJ" localSheetId="4">#REF!</definedName>
    <definedName name="GFJDTJ" localSheetId="3">#REF!</definedName>
    <definedName name="GFJDTJ" localSheetId="6">#REF!</definedName>
    <definedName name="GFJDTJ" localSheetId="5">#REF!</definedName>
    <definedName name="GFJDTJ" localSheetId="10">#REF!</definedName>
    <definedName name="GFJDTJ" localSheetId="9">#REF!</definedName>
    <definedName name="GFJDTJ" localSheetId="8">#REF!</definedName>
    <definedName name="GFJDTJ" localSheetId="7">#REF!</definedName>
    <definedName name="GFJDTJ" localSheetId="2">#REF!</definedName>
    <definedName name="GFJDTJ" localSheetId="1">#REF!</definedName>
    <definedName name="GFJDTJ" localSheetId="0">#REF!</definedName>
    <definedName name="GFJDTJ">#REF!</definedName>
    <definedName name="GFJGDFJ">'[3]Loan Amortization Schedule'!$A$1:$J$497</definedName>
    <definedName name="GFJGDJ">'[3]Loan Amortization Schedule'!$D$9</definedName>
    <definedName name="gg">[22]!EXPENSEITEEMS[[#All],[EXPENSE ITEM LIST]]</definedName>
    <definedName name="gggg" localSheetId="4">MATCH(0.01,End_Bal,-1)+1</definedName>
    <definedName name="gggg" localSheetId="3">MATCH(0.01,End_Bal,-1)+1</definedName>
    <definedName name="gggg" localSheetId="6">MATCH(0.01,End_Bal,-1)+1</definedName>
    <definedName name="gggg" localSheetId="5">MATCH(0.01,End_Bal,-1)+1</definedName>
    <definedName name="gggg" localSheetId="10">MATCH(0.01,End_Bal,-1)+1</definedName>
    <definedName name="gggg" localSheetId="9">MATCH(0.01,End_Bal,-1)+1</definedName>
    <definedName name="gggg" localSheetId="8">MATCH(0.01,End_Bal,-1)+1</definedName>
    <definedName name="gggg" localSheetId="7">MATCH(0.01,End_Bal,-1)+1</definedName>
    <definedName name="gggg" localSheetId="2">MATCH(0.01,End_Bal,-1)+1</definedName>
    <definedName name="gggg" localSheetId="1">MATCH(0.01,End_Bal,-1)+1</definedName>
    <definedName name="gggg" localSheetId="0">MATCH(0.01,[0]!End_Bal,-1)+1</definedName>
    <definedName name="gggg">MATCH(0.01,End_Bal,-1)+1</definedName>
    <definedName name="ghjghj" localSheetId="4">#REF!</definedName>
    <definedName name="ghjghj" localSheetId="3">#REF!</definedName>
    <definedName name="ghjghj" localSheetId="6">#REF!</definedName>
    <definedName name="ghjghj" localSheetId="5">#REF!</definedName>
    <definedName name="ghjghj" localSheetId="10">#REF!</definedName>
    <definedName name="ghjghj" localSheetId="9">#REF!</definedName>
    <definedName name="ghjghj" localSheetId="8">#REF!</definedName>
    <definedName name="ghjghj" localSheetId="7">#REF!</definedName>
    <definedName name="ghjghj" localSheetId="2">#REF!</definedName>
    <definedName name="ghjghj" localSheetId="1">#REF!</definedName>
    <definedName name="ghjghj" localSheetId="0">#REF!</definedName>
    <definedName name="ghjghj">#REF!</definedName>
    <definedName name="gipgp" localSheetId="4">#REF!</definedName>
    <definedName name="gipgp" localSheetId="3">#REF!</definedName>
    <definedName name="gipgp" localSheetId="6">#REF!</definedName>
    <definedName name="gipgp" localSheetId="5">#REF!</definedName>
    <definedName name="gipgp" localSheetId="10">#REF!</definedName>
    <definedName name="gipgp" localSheetId="9">#REF!</definedName>
    <definedName name="gipgp" localSheetId="8">#REF!</definedName>
    <definedName name="gipgp" localSheetId="7">#REF!</definedName>
    <definedName name="gipgp" localSheetId="2">#REF!</definedName>
    <definedName name="gipgp" localSheetId="1">#REF!</definedName>
    <definedName name="gipgp" localSheetId="0">#REF!</definedName>
    <definedName name="gipgp">#REF!</definedName>
    <definedName name="GIT" localSheetId="4">#REF!</definedName>
    <definedName name="GIT" localSheetId="3">#REF!</definedName>
    <definedName name="GIT" localSheetId="6">#REF!</definedName>
    <definedName name="GIT" localSheetId="5">#REF!</definedName>
    <definedName name="GIT" localSheetId="10">#REF!</definedName>
    <definedName name="GIT" localSheetId="9">#REF!</definedName>
    <definedName name="GIT" localSheetId="8">#REF!</definedName>
    <definedName name="GIT" localSheetId="7">#REF!</definedName>
    <definedName name="GIT" localSheetId="2">#REF!</definedName>
    <definedName name="GIT" localSheetId="1">#REF!</definedName>
    <definedName name="GIT" localSheetId="0">#REF!</definedName>
    <definedName name="GIT">#REF!</definedName>
    <definedName name="giuppigp" localSheetId="4">#REF!</definedName>
    <definedName name="giuppigp" localSheetId="3">#REF!</definedName>
    <definedName name="giuppigp" localSheetId="6">#REF!</definedName>
    <definedName name="giuppigp" localSheetId="5">#REF!</definedName>
    <definedName name="giuppigp" localSheetId="10">#REF!</definedName>
    <definedName name="giuppigp" localSheetId="9">#REF!</definedName>
    <definedName name="giuppigp" localSheetId="8">#REF!</definedName>
    <definedName name="giuppigp" localSheetId="7">#REF!</definedName>
    <definedName name="giuppigp" localSheetId="2">#REF!</definedName>
    <definedName name="giuppigp" localSheetId="1">#REF!</definedName>
    <definedName name="giuppigp" localSheetId="0">#REF!</definedName>
    <definedName name="giuppigp">#REF!</definedName>
    <definedName name="GKFY" localSheetId="4">#REF!</definedName>
    <definedName name="GKFY" localSheetId="3">#REF!</definedName>
    <definedName name="GKFY" localSheetId="6">#REF!</definedName>
    <definedName name="GKFY" localSheetId="5">#REF!</definedName>
    <definedName name="GKFY" localSheetId="10">#REF!</definedName>
    <definedName name="GKFY" localSheetId="9">#REF!</definedName>
    <definedName name="GKFY" localSheetId="8">#REF!</definedName>
    <definedName name="GKFY" localSheetId="7">#REF!</definedName>
    <definedName name="GKFY" localSheetId="2">#REF!</definedName>
    <definedName name="GKFY" localSheetId="1">#REF!</definedName>
    <definedName name="GKFY" localSheetId="0">#REF!</definedName>
    <definedName name="GKFY">#REF!</definedName>
    <definedName name="gkfylofy" localSheetId="4">#REF!</definedName>
    <definedName name="gkfylofy" localSheetId="3">#REF!</definedName>
    <definedName name="gkfylofy" localSheetId="6">#REF!</definedName>
    <definedName name="gkfylofy" localSheetId="5">#REF!</definedName>
    <definedName name="gkfylofy" localSheetId="10">#REF!</definedName>
    <definedName name="gkfylofy" localSheetId="9">#REF!</definedName>
    <definedName name="gkfylofy" localSheetId="8">#REF!</definedName>
    <definedName name="gkfylofy" localSheetId="7">#REF!</definedName>
    <definedName name="gkfylofy" localSheetId="2">#REF!</definedName>
    <definedName name="gkfylofy" localSheetId="1">#REF!</definedName>
    <definedName name="gkfylofy" localSheetId="0">#REF!</definedName>
    <definedName name="gkfylofy">#REF!</definedName>
    <definedName name="GS" localSheetId="4">#REF!</definedName>
    <definedName name="GS" localSheetId="3">#REF!</definedName>
    <definedName name="GS" localSheetId="6">#REF!</definedName>
    <definedName name="GS" localSheetId="5">#REF!</definedName>
    <definedName name="GS" localSheetId="10">#REF!</definedName>
    <definedName name="GS" localSheetId="9">#REF!</definedName>
    <definedName name="GS" localSheetId="8">#REF!</definedName>
    <definedName name="GS" localSheetId="7">#REF!</definedName>
    <definedName name="GS" localSheetId="2">#REF!</definedName>
    <definedName name="GS" localSheetId="1">#REF!</definedName>
    <definedName name="GS" localSheetId="0">#REF!</definedName>
    <definedName name="GS">#REF!</definedName>
    <definedName name="guipggui" localSheetId="4">#REF!</definedName>
    <definedName name="guipggui" localSheetId="3">#REF!</definedName>
    <definedName name="guipggui" localSheetId="6">#REF!</definedName>
    <definedName name="guipggui" localSheetId="5">#REF!</definedName>
    <definedName name="guipggui" localSheetId="10">#REF!</definedName>
    <definedName name="guipggui" localSheetId="9">#REF!</definedName>
    <definedName name="guipggui" localSheetId="8">#REF!</definedName>
    <definedName name="guipggui" localSheetId="7">#REF!</definedName>
    <definedName name="guipggui" localSheetId="2">#REF!</definedName>
    <definedName name="guipggui" localSheetId="1">#REF!</definedName>
    <definedName name="guipggui" localSheetId="0">#REF!</definedName>
    <definedName name="guipggui">#REF!</definedName>
    <definedName name="guipuiop" localSheetId="4">#REF!</definedName>
    <definedName name="guipuiop" localSheetId="3">#REF!</definedName>
    <definedName name="guipuiop" localSheetId="6">#REF!</definedName>
    <definedName name="guipuiop" localSheetId="5">#REF!</definedName>
    <definedName name="guipuiop" localSheetId="10">#REF!</definedName>
    <definedName name="guipuiop" localSheetId="9">#REF!</definedName>
    <definedName name="guipuiop" localSheetId="8">#REF!</definedName>
    <definedName name="guipuiop" localSheetId="7">#REF!</definedName>
    <definedName name="guipuiop" localSheetId="2">#REF!</definedName>
    <definedName name="guipuiop" localSheetId="1">#REF!</definedName>
    <definedName name="guipuiop" localSheetId="0">#REF!</definedName>
    <definedName name="guipuiop">#REF!</definedName>
    <definedName name="haeryaeu" localSheetId="4">#REF!</definedName>
    <definedName name="haeryaeu" localSheetId="3">#REF!</definedName>
    <definedName name="haeryaeu" localSheetId="6">#REF!</definedName>
    <definedName name="haeryaeu" localSheetId="5">#REF!</definedName>
    <definedName name="haeryaeu" localSheetId="10">#REF!</definedName>
    <definedName name="haeryaeu" localSheetId="9">#REF!</definedName>
    <definedName name="haeryaeu" localSheetId="8">#REF!</definedName>
    <definedName name="haeryaeu" localSheetId="7">#REF!</definedName>
    <definedName name="haeryaeu" localSheetId="2">#REF!</definedName>
    <definedName name="haeryaeu" localSheetId="1">#REF!</definedName>
    <definedName name="haeryaeu" localSheetId="0">#REF!</definedName>
    <definedName name="haeryaeu">#REF!</definedName>
    <definedName name="haitham" localSheetId="4">#REF!</definedName>
    <definedName name="haitham" localSheetId="3">#REF!</definedName>
    <definedName name="haitham" localSheetId="6">#REF!</definedName>
    <definedName name="haitham" localSheetId="5">#REF!</definedName>
    <definedName name="haitham" localSheetId="10">#REF!</definedName>
    <definedName name="haitham" localSheetId="9">#REF!</definedName>
    <definedName name="haitham" localSheetId="8">#REF!</definedName>
    <definedName name="haitham" localSheetId="7">#REF!</definedName>
    <definedName name="haitham" localSheetId="2">#REF!</definedName>
    <definedName name="haitham" localSheetId="1">#REF!</definedName>
    <definedName name="haitham" localSheetId="0">#REF!</definedName>
    <definedName name="haitham">#REF!</definedName>
    <definedName name="hany" localSheetId="4">#REF!</definedName>
    <definedName name="hany" localSheetId="3">#REF!</definedName>
    <definedName name="hany" localSheetId="6">#REF!</definedName>
    <definedName name="hany" localSheetId="5">#REF!</definedName>
    <definedName name="hany" localSheetId="10">#REF!</definedName>
    <definedName name="hany" localSheetId="9">#REF!</definedName>
    <definedName name="hany" localSheetId="8">#REF!</definedName>
    <definedName name="hany" localSheetId="7">#REF!</definedName>
    <definedName name="hany" localSheetId="2">#REF!</definedName>
    <definedName name="hany" localSheetId="1">#REF!</definedName>
    <definedName name="hany" localSheetId="0">#REF!</definedName>
    <definedName name="hany">#REF!</definedName>
    <definedName name="Header_Row">ROW('[3]Loan Amortization Schedule'!$17:$17)</definedName>
    <definedName name="heba" localSheetId="4">#REF!</definedName>
    <definedName name="heba" localSheetId="3">#REF!</definedName>
    <definedName name="heba" localSheetId="6">#REF!</definedName>
    <definedName name="heba" localSheetId="5">#REF!</definedName>
    <definedName name="heba" localSheetId="10">#REF!</definedName>
    <definedName name="heba" localSheetId="9">#REF!</definedName>
    <definedName name="heba" localSheetId="8">#REF!</definedName>
    <definedName name="heba" localSheetId="7">#REF!</definedName>
    <definedName name="heba" localSheetId="2">#REF!</definedName>
    <definedName name="heba" localSheetId="1">#REF!</definedName>
    <definedName name="heba" localSheetId="0">#REF!</definedName>
    <definedName name="heba">#REF!</definedName>
    <definedName name="Hematology" localSheetId="4">#REF!</definedName>
    <definedName name="Hematology" localSheetId="3">#REF!</definedName>
    <definedName name="Hematology" localSheetId="6">#REF!</definedName>
    <definedName name="Hematology" localSheetId="5">#REF!</definedName>
    <definedName name="Hematology" localSheetId="10">#REF!</definedName>
    <definedName name="Hematology" localSheetId="9">#REF!</definedName>
    <definedName name="Hematology" localSheetId="8">#REF!</definedName>
    <definedName name="Hematology" localSheetId="7">#REF!</definedName>
    <definedName name="Hematology" localSheetId="2">#REF!</definedName>
    <definedName name="Hematology" localSheetId="1">#REF!</definedName>
    <definedName name="Hematology" localSheetId="0">#REF!</definedName>
    <definedName name="Hematology">#REF!</definedName>
    <definedName name="HFGJ">#N/A</definedName>
    <definedName name="hggg" localSheetId="4">#REF!</definedName>
    <definedName name="hggg" localSheetId="3">#REF!</definedName>
    <definedName name="hggg" localSheetId="6">#REF!</definedName>
    <definedName name="hggg" localSheetId="5">#REF!</definedName>
    <definedName name="hggg" localSheetId="10">#REF!</definedName>
    <definedName name="hggg" localSheetId="9">#REF!</definedName>
    <definedName name="hggg" localSheetId="8">#REF!</definedName>
    <definedName name="hggg" localSheetId="7">#REF!</definedName>
    <definedName name="hggg" localSheetId="2">#REF!</definedName>
    <definedName name="hggg" localSheetId="1">#REF!</definedName>
    <definedName name="hggg" localSheetId="0">#REF!</definedName>
    <definedName name="hggg">#REF!</definedName>
    <definedName name="HGKK" localSheetId="4">#REF!</definedName>
    <definedName name="HGKK" localSheetId="3">#REF!</definedName>
    <definedName name="HGKK" localSheetId="6">#REF!</definedName>
    <definedName name="HGKK" localSheetId="5">#REF!</definedName>
    <definedName name="HGKK" localSheetId="10">#REF!</definedName>
    <definedName name="HGKK" localSheetId="9">#REF!</definedName>
    <definedName name="HGKK" localSheetId="8">#REF!</definedName>
    <definedName name="HGKK" localSheetId="7">#REF!</definedName>
    <definedName name="HGKK" localSheetId="2">#REF!</definedName>
    <definedName name="HGKK" localSheetId="1">#REF!</definedName>
    <definedName name="HGKK" localSheetId="0">#REF!</definedName>
    <definedName name="HGKK">#REF!</definedName>
    <definedName name="HH" localSheetId="4">DATE(YEAR([0]!Loan_Start),MONTH([0]!Loan_Start)+Payment_Number,DAY([0]!Loan_Start))</definedName>
    <definedName name="HH" localSheetId="3">DATE(YEAR(Loan_Start),MONTH(Loan_Start)+Payment_Number,DAY(Loan_Start))</definedName>
    <definedName name="HH" localSheetId="6">DATE(YEAR([0]!Loan_Start),MONTH([0]!Loan_Start)+Payment_Number,DAY([0]!Loan_Start))</definedName>
    <definedName name="HH" localSheetId="5">DATE(YEAR(Loan_Start),MONTH(Loan_Start)+Payment_Number,DAY(Loan_Start))</definedName>
    <definedName name="HH" localSheetId="10">DATE(YEAR([0]!Loan_Start),MONTH([0]!Loan_Start)+Payment_Number,DAY([0]!Loan_Start))</definedName>
    <definedName name="HH" localSheetId="9">DATE(YEAR(Loan_Start),MONTH(Loan_Start)+Payment_Number,DAY(Loan_Start))</definedName>
    <definedName name="HH" localSheetId="8">DATE(YEAR([0]!Loan_Start),MONTH([0]!Loan_Start)+Payment_Number,DAY([0]!Loan_Start))</definedName>
    <definedName name="HH" localSheetId="7">DATE(YEAR(Loan_Start),MONTH(Loan_Start)+Payment_Number,DAY(Loan_Start))</definedName>
    <definedName name="HH" localSheetId="2">DATE(YEAR([0]!Loan_Start),MONTH([0]!Loan_Start)+Payment_Number,DAY([0]!Loan_Start))</definedName>
    <definedName name="HH" localSheetId="1">DATE(YEAR(Loan_Start),MONTH(Loan_Start)+Payment_Number,DAY(Loan_Start))</definedName>
    <definedName name="HH" localSheetId="0">DATE(YEAR([0]!Loan_Start),MONTH([0]!Loan_Start)+Payment_Number,DAY([0]!Loan_Start))</definedName>
    <definedName name="HH">DATE(YEAR(Loan_Start),MONTH(Loan_Start)+Payment_Number,DAY(Loan_Start))</definedName>
    <definedName name="hhh" localSheetId="4">#REF!</definedName>
    <definedName name="hhh" localSheetId="3">#REF!</definedName>
    <definedName name="hhh" localSheetId="6">#REF!</definedName>
    <definedName name="hhh" localSheetId="5">#REF!</definedName>
    <definedName name="hhh" localSheetId="10">#REF!</definedName>
    <definedName name="hhh" localSheetId="9">#REF!</definedName>
    <definedName name="hhh" localSheetId="8">#REF!</definedName>
    <definedName name="hhh" localSheetId="7">#REF!</definedName>
    <definedName name="hhh" localSheetId="2">#REF!</definedName>
    <definedName name="hhh" localSheetId="1">#REF!</definedName>
    <definedName name="hhh" localSheetId="0">#REF!</definedName>
    <definedName name="hhh">#REF!</definedName>
    <definedName name="hhhh" localSheetId="4">#REF!</definedName>
    <definedName name="hhhh" localSheetId="3">#REF!</definedName>
    <definedName name="hhhh" localSheetId="6">#REF!</definedName>
    <definedName name="hhhh" localSheetId="5">#REF!</definedName>
    <definedName name="hhhh" localSheetId="10">#REF!</definedName>
    <definedName name="hhhh" localSheetId="9">#REF!</definedName>
    <definedName name="hhhh" localSheetId="8">#REF!</definedName>
    <definedName name="hhhh" localSheetId="7">#REF!</definedName>
    <definedName name="hhhh" localSheetId="2">#REF!</definedName>
    <definedName name="hhhh" localSheetId="1">#REF!</definedName>
    <definedName name="hhhh" localSheetId="0">#REF!</definedName>
    <definedName name="hhhh">#REF!</definedName>
    <definedName name="hhhhh" localSheetId="4">#REF!</definedName>
    <definedName name="hhhhh" localSheetId="3">#REF!</definedName>
    <definedName name="hhhhh" localSheetId="6">#REF!</definedName>
    <definedName name="hhhhh" localSheetId="5">#REF!</definedName>
    <definedName name="hhhhh" localSheetId="10">#REF!</definedName>
    <definedName name="hhhhh" localSheetId="9">#REF!</definedName>
    <definedName name="hhhhh" localSheetId="8">#REF!</definedName>
    <definedName name="hhhhh" localSheetId="7">#REF!</definedName>
    <definedName name="hhhhh" localSheetId="2">#REF!</definedName>
    <definedName name="hhhhh" localSheetId="1">#REF!</definedName>
    <definedName name="hhhhh" localSheetId="0">#REF!</definedName>
    <definedName name="hhhhh">#REF!</definedName>
    <definedName name="hhhhhh" localSheetId="4">#REF!</definedName>
    <definedName name="hhhhhh" localSheetId="3">#REF!</definedName>
    <definedName name="hhhhhh" localSheetId="6">#REF!</definedName>
    <definedName name="hhhhhh" localSheetId="5">#REF!</definedName>
    <definedName name="hhhhhh" localSheetId="10">#REF!</definedName>
    <definedName name="hhhhhh" localSheetId="9">#REF!</definedName>
    <definedName name="hhhhhh" localSheetId="8">#REF!</definedName>
    <definedName name="hhhhhh" localSheetId="7">#REF!</definedName>
    <definedName name="hhhhhh" localSheetId="2">#REF!</definedName>
    <definedName name="hhhhhh" localSheetId="1">#REF!</definedName>
    <definedName name="hhhhhh" localSheetId="0">#REF!</definedName>
    <definedName name="hhhhhh">#REF!</definedName>
    <definedName name="hjhgjagfg" localSheetId="4">#REF!</definedName>
    <definedName name="hjhgjagfg" localSheetId="3">#REF!</definedName>
    <definedName name="hjhgjagfg" localSheetId="6">#REF!</definedName>
    <definedName name="hjhgjagfg" localSheetId="5">#REF!</definedName>
    <definedName name="hjhgjagfg" localSheetId="10">#REF!</definedName>
    <definedName name="hjhgjagfg" localSheetId="9">#REF!</definedName>
    <definedName name="hjhgjagfg" localSheetId="8">#REF!</definedName>
    <definedName name="hjhgjagfg" localSheetId="7">#REF!</definedName>
    <definedName name="hjhgjagfg" localSheetId="2">#REF!</definedName>
    <definedName name="hjhgjagfg" localSheetId="1">#REF!</definedName>
    <definedName name="hjhgjagfg" localSheetId="0">#REF!</definedName>
    <definedName name="hjhgjagfg">#REF!</definedName>
    <definedName name="HJK" localSheetId="4">MEDIAN(OFFSET('ADC-DTD'!chtData,0,0,'ADC-DTD'!valCodespot-1,1))</definedName>
    <definedName name="HJK" localSheetId="3">MEDIAN(OFFSET('ADC-MTD'!chtData,0,0,'ADC-MTD'!valCodespot-1,1))</definedName>
    <definedName name="HJK" localSheetId="6">MEDIAN(OFFSET('AFW-DTD'!chtData,0,0,'AFW-DTD'!valCodespot-1,1))</definedName>
    <definedName name="HJK" localSheetId="5">MEDIAN(OFFSET('AFW-MTD'!chtData,0,0,'AFW-MTD'!valCodespot-1,1))</definedName>
    <definedName name="HJK" localSheetId="10">MEDIAN(OFFSET('AKW-DTD'!chtData,0,0,'AKW-DTD'!valCodespot-1,1))</definedName>
    <definedName name="HJK" localSheetId="9">MEDIAN(OFFSET('AKW-MTD'!chtData,0,0,'AKW-MTD'!valCodespot-1,1))</definedName>
    <definedName name="HJK" localSheetId="8">MEDIAN(OFFSET('ALW-DTD'!chtData,0,0,'ALW-DTD'!valCodespot-1,1))</definedName>
    <definedName name="HJK" localSheetId="7">MEDIAN(OFFSET('ALW-MTD'!chtData,0,0,'ALW-MTD'!valCodespot-1,1))</definedName>
    <definedName name="HJK" localSheetId="2">MEDIAN(OFFSET('HJH-DTD'!chtData,0,0,'HJH-DTD'!valCodespot-1,1))</definedName>
    <definedName name="HJK" localSheetId="1">MEDIAN(OFFSET('HJH-MTD'!chtData,0,0,'HJH-MTD'!valCodespot-1,1))</definedName>
    <definedName name="HJK" localSheetId="0">MEDIAN(OFFSET('KSA Dashboard'!chtData,0,0,'KSA Dashboard'!valCodespot-1,1))</definedName>
    <definedName name="HJK">MEDIAN(OFFSET([0]!chtData,0,0,[0]!valCodespot-1,1))</definedName>
    <definedName name="HKHGK" localSheetId="4">#REF!</definedName>
    <definedName name="HKHGK" localSheetId="3">#REF!</definedName>
    <definedName name="HKHGK" localSheetId="6">#REF!</definedName>
    <definedName name="HKHGK" localSheetId="5">#REF!</definedName>
    <definedName name="HKHGK" localSheetId="10">#REF!</definedName>
    <definedName name="HKHGK" localSheetId="9">#REF!</definedName>
    <definedName name="HKHGK" localSheetId="8">#REF!</definedName>
    <definedName name="HKHGK" localSheetId="7">#REF!</definedName>
    <definedName name="HKHGK" localSheetId="2">#REF!</definedName>
    <definedName name="HKHGK" localSheetId="1">#REF!</definedName>
    <definedName name="HKHGK" localSheetId="0">#REF!</definedName>
    <definedName name="HKHGK">#REF!</definedName>
    <definedName name="hosny" localSheetId="4">#REF!</definedName>
    <definedName name="hosny" localSheetId="3">#REF!</definedName>
    <definedName name="hosny" localSheetId="6">#REF!</definedName>
    <definedName name="hosny" localSheetId="5">#REF!</definedName>
    <definedName name="hosny" localSheetId="10">#REF!</definedName>
    <definedName name="hosny" localSheetId="9">#REF!</definedName>
    <definedName name="hosny" localSheetId="8">#REF!</definedName>
    <definedName name="hosny" localSheetId="7">#REF!</definedName>
    <definedName name="hosny" localSheetId="2">#REF!</definedName>
    <definedName name="hosny" localSheetId="1">#REF!</definedName>
    <definedName name="hosny" localSheetId="0">#REF!</definedName>
    <definedName name="hosny">#REF!</definedName>
    <definedName name="hour">'[23]ايام الدنيا'!$U$2</definedName>
    <definedName name="HSTAYH">MATCH(0.01,'[12]General  (3)'!End_Bal,-1)+1</definedName>
    <definedName name="HTML_CodePage">1252</definedName>
    <definedName name="HTML_Control" localSheetId="4">{"'Leverage'!$B$2:$M$418"}</definedName>
    <definedName name="HTML_Control" localSheetId="3">{"'Leverage'!$B$2:$M$418"}</definedName>
    <definedName name="HTML_Control" localSheetId="6">{"'Leverage'!$B$2:$M$418"}</definedName>
    <definedName name="HTML_Control" localSheetId="5">{"'Leverage'!$B$2:$M$418"}</definedName>
    <definedName name="HTML_Control" localSheetId="10">{"'Leverage'!$B$2:$M$418"}</definedName>
    <definedName name="HTML_Control" localSheetId="9">{"'Leverage'!$B$2:$M$418"}</definedName>
    <definedName name="HTML_Control" localSheetId="8">{"'Leverage'!$B$2:$M$418"}</definedName>
    <definedName name="HTML_Control" localSheetId="7">{"'Leverage'!$B$2:$M$418"}</definedName>
    <definedName name="HTML_Control" localSheetId="2">{"'Leverage'!$B$2:$M$418"}</definedName>
    <definedName name="HTML_Control" localSheetId="1">{"'Leverage'!$B$2:$M$418"}</definedName>
    <definedName name="HTML_Control" localSheetId="0">{"'Leverage'!$B$2:$M$418"}</definedName>
    <definedName name="HTML_Control">{"'Leverage'!$B$2:$M$418"}</definedName>
    <definedName name="HTML_Description">""</definedName>
    <definedName name="HTML_Email">""</definedName>
    <definedName name="HTML_Header">"Leverage"</definedName>
    <definedName name="HTML_LastUpdate">"8/21/00"</definedName>
    <definedName name="HTML_LineAfter">FALSE</definedName>
    <definedName name="HTML_LineBefore">FALSE</definedName>
    <definedName name="HTML_Name">"Frank Vickers"</definedName>
    <definedName name="HTML_OBDlg2">TRUE</definedName>
    <definedName name="HTML_OBDlg4">TRUE</definedName>
    <definedName name="HTML_OS">0</definedName>
    <definedName name="HTML_PathFile">"C:\my documents\lever.htm"</definedName>
    <definedName name="HTML_Title">"leverage"</definedName>
    <definedName name="idris" localSheetId="4">#REF!</definedName>
    <definedName name="idris" localSheetId="3">#REF!</definedName>
    <definedName name="idris" localSheetId="6">#REF!</definedName>
    <definedName name="idris" localSheetId="5">#REF!</definedName>
    <definedName name="idris" localSheetId="10">#REF!</definedName>
    <definedName name="idris" localSheetId="9">#REF!</definedName>
    <definedName name="idris" localSheetId="8">#REF!</definedName>
    <definedName name="idris" localSheetId="7">#REF!</definedName>
    <definedName name="idris" localSheetId="2">#REF!</definedName>
    <definedName name="idris" localSheetId="1">#REF!</definedName>
    <definedName name="idris" localSheetId="0">#REF!</definedName>
    <definedName name="idris">#REF!</definedName>
    <definedName name="IJIJIJIJ" localSheetId="4">#REF!</definedName>
    <definedName name="IJIJIJIJ" localSheetId="3">#REF!</definedName>
    <definedName name="IJIJIJIJ" localSheetId="6">#REF!</definedName>
    <definedName name="IJIJIJIJ" localSheetId="5">#REF!</definedName>
    <definedName name="IJIJIJIJ" localSheetId="10">#REF!</definedName>
    <definedName name="IJIJIJIJ" localSheetId="9">#REF!</definedName>
    <definedName name="IJIJIJIJ" localSheetId="8">#REF!</definedName>
    <definedName name="IJIJIJIJ" localSheetId="7">#REF!</definedName>
    <definedName name="IJIJIJIJ" localSheetId="2">#REF!</definedName>
    <definedName name="IJIJIJIJ" localSheetId="1">#REF!</definedName>
    <definedName name="IJIJIJIJ" localSheetId="0">#REF!</definedName>
    <definedName name="IJIJIJIJ">#REF!</definedName>
    <definedName name="IM" localSheetId="4">#REF!</definedName>
    <definedName name="IM" localSheetId="3">#REF!</definedName>
    <definedName name="IM" localSheetId="6">#REF!</definedName>
    <definedName name="IM" localSheetId="5">#REF!</definedName>
    <definedName name="IM" localSheetId="10">#REF!</definedName>
    <definedName name="IM" localSheetId="9">#REF!</definedName>
    <definedName name="IM" localSheetId="8">#REF!</definedName>
    <definedName name="IM" localSheetId="7">#REF!</definedName>
    <definedName name="IM" localSheetId="2">#REF!</definedName>
    <definedName name="IM" localSheetId="1">#REF!</definedName>
    <definedName name="IM" localSheetId="0">#REF!</definedName>
    <definedName name="IM">#REF!</definedName>
    <definedName name="ini" localSheetId="4">#REF!</definedName>
    <definedName name="ini" localSheetId="3">#REF!</definedName>
    <definedName name="ini" localSheetId="6">#REF!</definedName>
    <definedName name="ini" localSheetId="5">#REF!</definedName>
    <definedName name="ini" localSheetId="10">#REF!</definedName>
    <definedName name="ini" localSheetId="9">#REF!</definedName>
    <definedName name="ini" localSheetId="8">#REF!</definedName>
    <definedName name="ini" localSheetId="7">#REF!</definedName>
    <definedName name="ini" localSheetId="2">#REF!</definedName>
    <definedName name="ini" localSheetId="1">#REF!</definedName>
    <definedName name="ini" localSheetId="0">#REF!</definedName>
    <definedName name="ini">#REF!</definedName>
    <definedName name="inpatient">IF([24]!Loan_Amount*[24]!Interest_Rate*[24]!Loan_Years*[24]!Loan_Start&gt;0,1,0)</definedName>
    <definedName name="Int">'[3]Loan Amortization Schedule'!$H$18:$H$497</definedName>
    <definedName name="Interest_Rate">'[3]Loan Amortization Schedule'!$D$6</definedName>
    <definedName name="INTERNAL_MEDICINE" localSheetId="4">#REF!</definedName>
    <definedName name="INTERNAL_MEDICINE" localSheetId="3">#REF!</definedName>
    <definedName name="INTERNAL_MEDICINE" localSheetId="6">#REF!</definedName>
    <definedName name="INTERNAL_MEDICINE" localSheetId="5">#REF!</definedName>
    <definedName name="INTERNAL_MEDICINE" localSheetId="10">#REF!</definedName>
    <definedName name="INTERNAL_MEDICINE" localSheetId="9">#REF!</definedName>
    <definedName name="INTERNAL_MEDICINE" localSheetId="8">#REF!</definedName>
    <definedName name="INTERNAL_MEDICINE" localSheetId="7">#REF!</definedName>
    <definedName name="INTERNAL_MEDICINE" localSheetId="2">#REF!</definedName>
    <definedName name="INTERNAL_MEDICINE" localSheetId="1">#REF!</definedName>
    <definedName name="INTERNAL_MEDICINE" localSheetId="0">#REF!</definedName>
    <definedName name="INTERNAL_MEDICINE">#REF!</definedName>
    <definedName name="Internal_Rate_of_Return" localSheetId="4">[16]BEP!#REF!</definedName>
    <definedName name="Internal_Rate_of_Return" localSheetId="3">[16]BEP!#REF!</definedName>
    <definedName name="Internal_Rate_of_Return" localSheetId="6">[16]BEP!#REF!</definedName>
    <definedName name="Internal_Rate_of_Return" localSheetId="5">[16]BEP!#REF!</definedName>
    <definedName name="Internal_Rate_of_Return" localSheetId="10">[16]BEP!#REF!</definedName>
    <definedName name="Internal_Rate_of_Return" localSheetId="9">[16]BEP!#REF!</definedName>
    <definedName name="Internal_Rate_of_Return" localSheetId="8">[16]BEP!#REF!</definedName>
    <definedName name="Internal_Rate_of_Return" localSheetId="7">[16]BEP!#REF!</definedName>
    <definedName name="Internal_Rate_of_Return" localSheetId="2">[16]BEP!#REF!</definedName>
    <definedName name="Internal_Rate_of_Return" localSheetId="1">[16]BEP!#REF!</definedName>
    <definedName name="Internal_Rate_of_Return">[16]BEP!#REF!</definedName>
    <definedName name="ioupupi" localSheetId="4">#REF!</definedName>
    <definedName name="ioupupi" localSheetId="3">#REF!</definedName>
    <definedName name="ioupupi" localSheetId="6">#REF!</definedName>
    <definedName name="ioupupi" localSheetId="5">#REF!</definedName>
    <definedName name="ioupupi" localSheetId="10">#REF!</definedName>
    <definedName name="ioupupi" localSheetId="9">#REF!</definedName>
    <definedName name="ioupupi" localSheetId="8">#REF!</definedName>
    <definedName name="ioupupi" localSheetId="7">#REF!</definedName>
    <definedName name="ioupupi" localSheetId="2">#REF!</definedName>
    <definedName name="ioupupi" localSheetId="1">#REF!</definedName>
    <definedName name="ioupupi" localSheetId="0">#REF!</definedName>
    <definedName name="ioupupi">#REF!</definedName>
    <definedName name="IRIRY" localSheetId="4">#REF!</definedName>
    <definedName name="IRIRY" localSheetId="3">#REF!</definedName>
    <definedName name="IRIRY" localSheetId="6">#REF!</definedName>
    <definedName name="IRIRY" localSheetId="5">#REF!</definedName>
    <definedName name="IRIRY" localSheetId="10">#REF!</definedName>
    <definedName name="IRIRY" localSheetId="9">#REF!</definedName>
    <definedName name="IRIRY" localSheetId="8">#REF!</definedName>
    <definedName name="IRIRY" localSheetId="7">#REF!</definedName>
    <definedName name="IRIRY" localSheetId="2">#REF!</definedName>
    <definedName name="IRIRY" localSheetId="1">#REF!</definedName>
    <definedName name="IRIRY" localSheetId="0">#REF!</definedName>
    <definedName name="IRIRY">#REF!</definedName>
    <definedName name="IRITYU" localSheetId="4">#REF!</definedName>
    <definedName name="IRITYU" localSheetId="3">#REF!</definedName>
    <definedName name="IRITYU" localSheetId="6">#REF!</definedName>
    <definedName name="IRITYU" localSheetId="5">#REF!</definedName>
    <definedName name="IRITYU" localSheetId="10">#REF!</definedName>
    <definedName name="IRITYU" localSheetId="9">#REF!</definedName>
    <definedName name="IRITYU" localSheetId="8">#REF!</definedName>
    <definedName name="IRITYU" localSheetId="7">#REF!</definedName>
    <definedName name="IRITYU" localSheetId="2">#REF!</definedName>
    <definedName name="IRITYU" localSheetId="1">#REF!</definedName>
    <definedName name="IRITYU" localSheetId="0">#REF!</definedName>
    <definedName name="IRITYU">#REF!</definedName>
    <definedName name="IRYIRY" localSheetId="4">#REF!</definedName>
    <definedName name="IRYIRY" localSheetId="3">#REF!</definedName>
    <definedName name="IRYIRY" localSheetId="6">#REF!</definedName>
    <definedName name="IRYIRY" localSheetId="5">#REF!</definedName>
    <definedName name="IRYIRY" localSheetId="10">#REF!</definedName>
    <definedName name="IRYIRY" localSheetId="9">#REF!</definedName>
    <definedName name="IRYIRY" localSheetId="8">#REF!</definedName>
    <definedName name="IRYIRY" localSheetId="7">#REF!</definedName>
    <definedName name="IRYIRY" localSheetId="2">#REF!</definedName>
    <definedName name="IRYIRY" localSheetId="1">#REF!</definedName>
    <definedName name="IRYIRY" localSheetId="0">#REF!</definedName>
    <definedName name="IRYIRY">#REF!</definedName>
    <definedName name="ismail" localSheetId="4">#REF!</definedName>
    <definedName name="ismail" localSheetId="3">#REF!</definedName>
    <definedName name="ismail" localSheetId="6">#REF!</definedName>
    <definedName name="ismail" localSheetId="5">#REF!</definedName>
    <definedName name="ismail" localSheetId="10">#REF!</definedName>
    <definedName name="ismail" localSheetId="9">#REF!</definedName>
    <definedName name="ismail" localSheetId="8">#REF!</definedName>
    <definedName name="ismail" localSheetId="7">#REF!</definedName>
    <definedName name="ismail" localSheetId="2">#REF!</definedName>
    <definedName name="ismail" localSheetId="1">#REF!</definedName>
    <definedName name="ismail" localSheetId="0">#REF!</definedName>
    <definedName name="ismail">#REF!</definedName>
    <definedName name="ITEMS">[8]!Database[ITEM]</definedName>
    <definedName name="iupopio" localSheetId="4">#REF!</definedName>
    <definedName name="iupopio" localSheetId="3">#REF!</definedName>
    <definedName name="iupopio" localSheetId="6">#REF!</definedName>
    <definedName name="iupopio" localSheetId="5">#REF!</definedName>
    <definedName name="iupopio" localSheetId="10">#REF!</definedName>
    <definedName name="iupopio" localSheetId="9">#REF!</definedName>
    <definedName name="iupopio" localSheetId="8">#REF!</definedName>
    <definedName name="iupopio" localSheetId="7">#REF!</definedName>
    <definedName name="iupopio" localSheetId="2">#REF!</definedName>
    <definedName name="iupopio" localSheetId="1">#REF!</definedName>
    <definedName name="iupopio" localSheetId="0">#REF!</definedName>
    <definedName name="iupopio">#REF!</definedName>
    <definedName name="JanSun1" localSheetId="4">DATE(TheYear,1,1)-WEEKDAY(DATE(TheYear,1,1))+1</definedName>
    <definedName name="JanSun1" localSheetId="3">DATE(TheYear,1,1)-WEEKDAY(DATE(TheYear,1,1))+1</definedName>
    <definedName name="JanSun1" localSheetId="6">DATE(TheYear,1,1)-WEEKDAY(DATE(TheYear,1,1))+1</definedName>
    <definedName name="JanSun1" localSheetId="5">DATE(TheYear,1,1)-WEEKDAY(DATE(TheYear,1,1))+1</definedName>
    <definedName name="JanSun1" localSheetId="10">DATE(TheYear,1,1)-WEEKDAY(DATE(TheYear,1,1))+1</definedName>
    <definedName name="JanSun1" localSheetId="9">DATE(TheYear,1,1)-WEEKDAY(DATE(TheYear,1,1))+1</definedName>
    <definedName name="JanSun1" localSheetId="8">DATE(TheYear,1,1)-WEEKDAY(DATE(TheYear,1,1))+1</definedName>
    <definedName name="JanSun1" localSheetId="7">DATE(TheYear,1,1)-WEEKDAY(DATE(TheYear,1,1))+1</definedName>
    <definedName name="JanSun1" localSheetId="2">DATE(TheYear,1,1)-WEEKDAY(DATE(TheYear,1,1))+1</definedName>
    <definedName name="JanSun1" localSheetId="1">DATE(TheYear,1,1)-WEEKDAY(DATE(TheYear,1,1))+1</definedName>
    <definedName name="JanSun1" localSheetId="0">DATE([0]!TheYear,1,1)-WEEKDAY(DATE([0]!TheYear,1,1))+1</definedName>
    <definedName name="JanSun1">DATE(TheYear,1,1)-WEEKDAY(DATE(TheYear,1,1))+1</definedName>
    <definedName name="jjhuk" localSheetId="4">#REF!</definedName>
    <definedName name="jjhuk" localSheetId="3">#REF!</definedName>
    <definedName name="jjhuk" localSheetId="6">#REF!</definedName>
    <definedName name="jjhuk" localSheetId="5">#REF!</definedName>
    <definedName name="jjhuk" localSheetId="10">#REF!</definedName>
    <definedName name="jjhuk" localSheetId="9">#REF!</definedName>
    <definedName name="jjhuk" localSheetId="8">#REF!</definedName>
    <definedName name="jjhuk" localSheetId="7">#REF!</definedName>
    <definedName name="jjhuk" localSheetId="2">#REF!</definedName>
    <definedName name="jjhuk" localSheetId="1">#REF!</definedName>
    <definedName name="jjhuk" localSheetId="0">#REF!</definedName>
    <definedName name="jjhuk">#REF!</definedName>
    <definedName name="jjj">#N/A</definedName>
    <definedName name="jjjj">[25]Calendar!$X$3</definedName>
    <definedName name="jlkhku" localSheetId="4">#REF!</definedName>
    <definedName name="jlkhku" localSheetId="3">#REF!</definedName>
    <definedName name="jlkhku" localSheetId="6">#REF!</definedName>
    <definedName name="jlkhku" localSheetId="5">#REF!</definedName>
    <definedName name="jlkhku" localSheetId="10">#REF!</definedName>
    <definedName name="jlkhku" localSheetId="9">#REF!</definedName>
    <definedName name="jlkhku" localSheetId="8">#REF!</definedName>
    <definedName name="jlkhku" localSheetId="7">#REF!</definedName>
    <definedName name="jlkhku" localSheetId="2">#REF!</definedName>
    <definedName name="jlkhku" localSheetId="1">#REF!</definedName>
    <definedName name="jlkhku" localSheetId="0">#REF!</definedName>
    <definedName name="jlkhku">#REF!</definedName>
    <definedName name="JTFXJN">IF('[12]General  (3)'!Loan_Amount*'[12]General  (3)'!Interest_Rate*'[12]General  (3)'!Loan_Years*'[12]General  (3)'!Loan_Start&gt;0,1,0)</definedName>
    <definedName name="JulSun1" localSheetId="4">DATE(TheYear,7,1)-WEEKDAY(DATE(TheYear,7,1))+1</definedName>
    <definedName name="JulSun1" localSheetId="3">DATE(TheYear,7,1)-WEEKDAY(DATE(TheYear,7,1))+1</definedName>
    <definedName name="JulSun1" localSheetId="6">DATE(TheYear,7,1)-WEEKDAY(DATE(TheYear,7,1))+1</definedName>
    <definedName name="JulSun1" localSheetId="5">DATE(TheYear,7,1)-WEEKDAY(DATE(TheYear,7,1))+1</definedName>
    <definedName name="JulSun1" localSheetId="10">DATE(TheYear,7,1)-WEEKDAY(DATE(TheYear,7,1))+1</definedName>
    <definedName name="JulSun1" localSheetId="9">DATE(TheYear,7,1)-WEEKDAY(DATE(TheYear,7,1))+1</definedName>
    <definedName name="JulSun1" localSheetId="8">DATE(TheYear,7,1)-WEEKDAY(DATE(TheYear,7,1))+1</definedName>
    <definedName name="JulSun1" localSheetId="7">DATE(TheYear,7,1)-WEEKDAY(DATE(TheYear,7,1))+1</definedName>
    <definedName name="JulSun1" localSheetId="2">DATE(TheYear,7,1)-WEEKDAY(DATE(TheYear,7,1))+1</definedName>
    <definedName name="JulSun1" localSheetId="1">DATE(TheYear,7,1)-WEEKDAY(DATE(TheYear,7,1))+1</definedName>
    <definedName name="JulSun1" localSheetId="0">DATE([0]!TheYear,7,1)-WEEKDAY(DATE([0]!TheYear,7,1))+1</definedName>
    <definedName name="JulSun1">DATE(TheYear,7,1)-WEEKDAY(DATE(TheYear,7,1))+1</definedName>
    <definedName name="JunSun1" localSheetId="4">DATE(TheYear,6,1)-WEEKDAY(DATE(TheYear,6,1))+1</definedName>
    <definedName name="JunSun1" localSheetId="3">DATE(TheYear,6,1)-WEEKDAY(DATE(TheYear,6,1))+1</definedName>
    <definedName name="JunSun1" localSheetId="6">DATE(TheYear,6,1)-WEEKDAY(DATE(TheYear,6,1))+1</definedName>
    <definedName name="JunSun1" localSheetId="5">DATE(TheYear,6,1)-WEEKDAY(DATE(TheYear,6,1))+1</definedName>
    <definedName name="JunSun1" localSheetId="10">DATE(TheYear,6,1)-WEEKDAY(DATE(TheYear,6,1))+1</definedName>
    <definedName name="JunSun1" localSheetId="9">DATE(TheYear,6,1)-WEEKDAY(DATE(TheYear,6,1))+1</definedName>
    <definedName name="JunSun1" localSheetId="8">DATE(TheYear,6,1)-WEEKDAY(DATE(TheYear,6,1))+1</definedName>
    <definedName name="JunSun1" localSheetId="7">DATE(TheYear,6,1)-WEEKDAY(DATE(TheYear,6,1))+1</definedName>
    <definedName name="JunSun1" localSheetId="2">DATE(TheYear,6,1)-WEEKDAY(DATE(TheYear,6,1))+1</definedName>
    <definedName name="JunSun1" localSheetId="1">DATE(TheYear,6,1)-WEEKDAY(DATE(TheYear,6,1))+1</definedName>
    <definedName name="JunSun1" localSheetId="0">DATE([0]!TheYear,6,1)-WEEKDAY(DATE([0]!TheYear,6,1))+1</definedName>
    <definedName name="JunSun1">DATE(TheYear,6,1)-WEEKDAY(DATE(TheYear,6,1))+1</definedName>
    <definedName name="juolkjuij" localSheetId="4">#REF!</definedName>
    <definedName name="juolkjuij" localSheetId="3">#REF!</definedName>
    <definedName name="juolkjuij" localSheetId="6">#REF!</definedName>
    <definedName name="juolkjuij" localSheetId="5">#REF!</definedName>
    <definedName name="juolkjuij" localSheetId="10">#REF!</definedName>
    <definedName name="juolkjuij" localSheetId="9">#REF!</definedName>
    <definedName name="juolkjuij" localSheetId="8">#REF!</definedName>
    <definedName name="juolkjuij" localSheetId="7">#REF!</definedName>
    <definedName name="juolkjuij" localSheetId="2">#REF!</definedName>
    <definedName name="juolkjuij" localSheetId="1">#REF!</definedName>
    <definedName name="juolkjuij" localSheetId="0">#REF!</definedName>
    <definedName name="juolkjuij">#REF!</definedName>
    <definedName name="Justification" localSheetId="4">#REF!</definedName>
    <definedName name="Justification" localSheetId="3">#REF!</definedName>
    <definedName name="Justification" localSheetId="6">#REF!</definedName>
    <definedName name="Justification" localSheetId="5">#REF!</definedName>
    <definedName name="Justification" localSheetId="10">#REF!</definedName>
    <definedName name="Justification" localSheetId="9">#REF!</definedName>
    <definedName name="Justification" localSheetId="8">#REF!</definedName>
    <definedName name="Justification" localSheetId="7">#REF!</definedName>
    <definedName name="Justification" localSheetId="2">#REF!</definedName>
    <definedName name="Justification" localSheetId="1">#REF!</definedName>
    <definedName name="Justification" localSheetId="0">#REF!</definedName>
    <definedName name="Justification">#REF!</definedName>
    <definedName name="KGHKJK">IF([12]!GF*[12]!DFJDJ*[12]!FJEY*[12]!GFJGDJ&gt;0,1,0)</definedName>
    <definedName name="khhhh">[26]Calender!#REF!</definedName>
    <definedName name="khhhjh" localSheetId="4">#REF!</definedName>
    <definedName name="khhhjh" localSheetId="3">#REF!</definedName>
    <definedName name="khhhjh" localSheetId="6">#REF!</definedName>
    <definedName name="khhhjh" localSheetId="5">#REF!</definedName>
    <definedName name="khhhjh" localSheetId="10">#REF!</definedName>
    <definedName name="khhhjh" localSheetId="9">#REF!</definedName>
    <definedName name="khhhjh" localSheetId="8">#REF!</definedName>
    <definedName name="khhhjh" localSheetId="7">#REF!</definedName>
    <definedName name="khhhjh" localSheetId="2">#REF!</definedName>
    <definedName name="khhhjh" localSheetId="1">#REF!</definedName>
    <definedName name="khhhjh" localSheetId="0">#REF!</definedName>
    <definedName name="khhhjh">#REF!</definedName>
    <definedName name="KHJKHK" localSheetId="4">#REF!</definedName>
    <definedName name="KHJKHK" localSheetId="3">#REF!</definedName>
    <definedName name="KHJKHK" localSheetId="6">#REF!</definedName>
    <definedName name="KHJKHK" localSheetId="5">#REF!</definedName>
    <definedName name="KHJKHK" localSheetId="10">#REF!</definedName>
    <definedName name="KHJKHK" localSheetId="9">#REF!</definedName>
    <definedName name="KHJKHK" localSheetId="8">#REF!</definedName>
    <definedName name="KHJKHK" localSheetId="7">#REF!</definedName>
    <definedName name="KHJKHK" localSheetId="2">#REF!</definedName>
    <definedName name="KHJKHK" localSheetId="1">#REF!</definedName>
    <definedName name="KHJKHK" localSheetId="0">#REF!</definedName>
    <definedName name="KHJKHK">#REF!</definedName>
    <definedName name="KIUYR" localSheetId="4">#REF!</definedName>
    <definedName name="KIUYR" localSheetId="3">#REF!</definedName>
    <definedName name="KIUYR" localSheetId="6">#REF!</definedName>
    <definedName name="KIUYR" localSheetId="5">#REF!</definedName>
    <definedName name="KIUYR" localSheetId="10">#REF!</definedName>
    <definedName name="KIUYR" localSheetId="9">#REF!</definedName>
    <definedName name="KIUYR" localSheetId="8">#REF!</definedName>
    <definedName name="KIUYR" localSheetId="7">#REF!</definedName>
    <definedName name="KIUYR" localSheetId="2">#REF!</definedName>
    <definedName name="KIUYR" localSheetId="1">#REF!</definedName>
    <definedName name="KIUYR" localSheetId="0">#REF!</definedName>
    <definedName name="KIUYR">#REF!</definedName>
    <definedName name="kkkk" localSheetId="4">DATE(TheYear,6,1)-WEEKDAY(DATE(TheYear,6,1))+1</definedName>
    <definedName name="kkkk" localSheetId="3">DATE(TheYear,6,1)-WEEKDAY(DATE(TheYear,6,1))+1</definedName>
    <definedName name="kkkk" localSheetId="6">DATE(TheYear,6,1)-WEEKDAY(DATE(TheYear,6,1))+1</definedName>
    <definedName name="kkkk" localSheetId="5">DATE(TheYear,6,1)-WEEKDAY(DATE(TheYear,6,1))+1</definedName>
    <definedName name="kkkk" localSheetId="10">DATE(TheYear,6,1)-WEEKDAY(DATE(TheYear,6,1))+1</definedName>
    <definedName name="kkkk" localSheetId="9">DATE(TheYear,6,1)-WEEKDAY(DATE(TheYear,6,1))+1</definedName>
    <definedName name="kkkk" localSheetId="8">DATE(TheYear,6,1)-WEEKDAY(DATE(TheYear,6,1))+1</definedName>
    <definedName name="kkkk" localSheetId="7">DATE(TheYear,6,1)-WEEKDAY(DATE(TheYear,6,1))+1</definedName>
    <definedName name="kkkk" localSheetId="2">DATE(TheYear,6,1)-WEEKDAY(DATE(TheYear,6,1))+1</definedName>
    <definedName name="kkkk" localSheetId="1">DATE(TheYear,6,1)-WEEKDAY(DATE(TheYear,6,1))+1</definedName>
    <definedName name="kkkk" localSheetId="0">DATE([0]!TheYear,6,1)-WEEKDAY(DATE([0]!TheYear,6,1))+1</definedName>
    <definedName name="kkkk">DATE(TheYear,6,1)-WEEKDAY(DATE(TheYear,6,1))+1</definedName>
    <definedName name="ksmdksdnwknd" localSheetId="4">#REF!</definedName>
    <definedName name="ksmdksdnwknd" localSheetId="3">#REF!</definedName>
    <definedName name="ksmdksdnwknd" localSheetId="6">#REF!</definedName>
    <definedName name="ksmdksdnwknd" localSheetId="5">#REF!</definedName>
    <definedName name="ksmdksdnwknd" localSheetId="10">#REF!</definedName>
    <definedName name="ksmdksdnwknd" localSheetId="9">#REF!</definedName>
    <definedName name="ksmdksdnwknd" localSheetId="8">#REF!</definedName>
    <definedName name="ksmdksdnwknd" localSheetId="7">#REF!</definedName>
    <definedName name="ksmdksdnwknd" localSheetId="2">#REF!</definedName>
    <definedName name="ksmdksdnwknd" localSheetId="1">#REF!</definedName>
    <definedName name="ksmdksdnwknd" localSheetId="0">#REF!</definedName>
    <definedName name="ksmdksdnwknd">#REF!</definedName>
    <definedName name="l" localSheetId="4">MATCH(0.01,End_Bal,-1)+1</definedName>
    <definedName name="l" localSheetId="3">MATCH(0.01,End_Bal,-1)+1</definedName>
    <definedName name="l" localSheetId="6">MATCH(0.01,End_Bal,-1)+1</definedName>
    <definedName name="l" localSheetId="5">MATCH(0.01,End_Bal,-1)+1</definedName>
    <definedName name="l" localSheetId="10">MATCH(0.01,End_Bal,-1)+1</definedName>
    <definedName name="l" localSheetId="9">MATCH(0.01,End_Bal,-1)+1</definedName>
    <definedName name="l" localSheetId="8">MATCH(0.01,End_Bal,-1)+1</definedName>
    <definedName name="l" localSheetId="7">MATCH(0.01,End_Bal,-1)+1</definedName>
    <definedName name="l" localSheetId="2">MATCH(0.01,End_Bal,-1)+1</definedName>
    <definedName name="l" localSheetId="1">MATCH(0.01,End_Bal,-1)+1</definedName>
    <definedName name="l" localSheetId="0">MATCH(0.01,[0]!End_Bal,-1)+1</definedName>
    <definedName name="l">MATCH(0.01,End_Bal,-1)+1</definedName>
    <definedName name="Last_Row">#N/A</definedName>
    <definedName name="leleyaeeny" localSheetId="4">#REF!</definedName>
    <definedName name="leleyaeeny" localSheetId="3">#REF!</definedName>
    <definedName name="leleyaeeny" localSheetId="6">#REF!</definedName>
    <definedName name="leleyaeeny" localSheetId="5">#REF!</definedName>
    <definedName name="leleyaeeny" localSheetId="10">#REF!</definedName>
    <definedName name="leleyaeeny" localSheetId="9">#REF!</definedName>
    <definedName name="leleyaeeny" localSheetId="8">#REF!</definedName>
    <definedName name="leleyaeeny" localSheetId="7">#REF!</definedName>
    <definedName name="leleyaeeny" localSheetId="2">#REF!</definedName>
    <definedName name="leleyaeeny" localSheetId="1">#REF!</definedName>
    <definedName name="leleyaeeny" localSheetId="0">#REF!</definedName>
    <definedName name="leleyaeeny">#REF!</definedName>
    <definedName name="ljkgj">IF('[12]General  (3)'!Loan_Amount*'[12]General  (3)'!Interest_Rate*'[12]General  (3)'!Loan_Years*'[12]General  (3)'!Loan_Start&gt;0,1,0)</definedName>
    <definedName name="lllllll" localSheetId="4">#REF!</definedName>
    <definedName name="lllllll" localSheetId="3">#REF!</definedName>
    <definedName name="lllllll" localSheetId="6">#REF!</definedName>
    <definedName name="lllllll" localSheetId="5">#REF!</definedName>
    <definedName name="lllllll" localSheetId="10">#REF!</definedName>
    <definedName name="lllllll" localSheetId="9">#REF!</definedName>
    <definedName name="lllllll" localSheetId="8">#REF!</definedName>
    <definedName name="lllllll" localSheetId="7">#REF!</definedName>
    <definedName name="lllllll" localSheetId="2">#REF!</definedName>
    <definedName name="lllllll" localSheetId="1">#REF!</definedName>
    <definedName name="lllllll" localSheetId="0">#REF!</definedName>
    <definedName name="lllllll">#REF!</definedName>
    <definedName name="lllllllllllllllllllllllll" localSheetId="4">#REF!</definedName>
    <definedName name="lllllllllllllllllllllllll" localSheetId="3">#REF!</definedName>
    <definedName name="lllllllllllllllllllllllll" localSheetId="6">#REF!</definedName>
    <definedName name="lllllllllllllllllllllllll" localSheetId="5">#REF!</definedName>
    <definedName name="lllllllllllllllllllllllll" localSheetId="10">#REF!</definedName>
    <definedName name="lllllllllllllllllllllllll" localSheetId="9">#REF!</definedName>
    <definedName name="lllllllllllllllllllllllll" localSheetId="8">#REF!</definedName>
    <definedName name="lllllllllllllllllllllllll" localSheetId="7">#REF!</definedName>
    <definedName name="lllllllllllllllllllllllll" localSheetId="2">#REF!</definedName>
    <definedName name="lllllllllllllllllllllllll" localSheetId="1">#REF!</definedName>
    <definedName name="lllllllllllllllllllllllll" localSheetId="0">#REF!</definedName>
    <definedName name="lllllllllllllllllllllllll">#REF!</definedName>
    <definedName name="Loan_Amount">'[3]Loan Amortization Schedule'!$D$5</definedName>
    <definedName name="Loan_Start">'[3]Loan Amortization Schedule'!$D$9</definedName>
    <definedName name="Loan_Years">'[3]Loan Amortization Schedule'!$D$7</definedName>
    <definedName name="lopiut" localSheetId="4">#REF!</definedName>
    <definedName name="lopiut" localSheetId="3">#REF!</definedName>
    <definedName name="lopiut" localSheetId="6">#REF!</definedName>
    <definedName name="lopiut" localSheetId="5">#REF!</definedName>
    <definedName name="lopiut" localSheetId="10">#REF!</definedName>
    <definedName name="lopiut" localSheetId="9">#REF!</definedName>
    <definedName name="lopiut" localSheetId="8">#REF!</definedName>
    <definedName name="lopiut" localSheetId="7">#REF!</definedName>
    <definedName name="lopiut" localSheetId="2">#REF!</definedName>
    <definedName name="lopiut" localSheetId="1">#REF!</definedName>
    <definedName name="lopiut" localSheetId="0">#REF!</definedName>
    <definedName name="lopiut">#REF!</definedName>
    <definedName name="Maadi" localSheetId="4">#REF!</definedName>
    <definedName name="Maadi" localSheetId="3">#REF!</definedName>
    <definedName name="Maadi" localSheetId="6">#REF!</definedName>
    <definedName name="Maadi" localSheetId="5">#REF!</definedName>
    <definedName name="Maadi" localSheetId="10">#REF!</definedName>
    <definedName name="Maadi" localSheetId="9">#REF!</definedName>
    <definedName name="Maadi" localSheetId="8">#REF!</definedName>
    <definedName name="Maadi" localSheetId="7">#REF!</definedName>
    <definedName name="Maadi" localSheetId="2">#REF!</definedName>
    <definedName name="Maadi" localSheetId="1">#REF!</definedName>
    <definedName name="Maadi" localSheetId="0">#REF!</definedName>
    <definedName name="Maadi">#REF!</definedName>
    <definedName name="Macro1" localSheetId="4">[15]!Macro1</definedName>
    <definedName name="Macro1" localSheetId="6">[15]!Macro1</definedName>
    <definedName name="Macro1" localSheetId="10">[15]!Macro1</definedName>
    <definedName name="Macro1" localSheetId="8">[15]!Macro1</definedName>
    <definedName name="Macro1" localSheetId="2">[15]!Macro1</definedName>
    <definedName name="Macro1" localSheetId="0">[15]!Macro1</definedName>
    <definedName name="Macro1">[15]!Macro1</definedName>
    <definedName name="Macro2" localSheetId="4">[15]!Macro2</definedName>
    <definedName name="Macro2" localSheetId="6">[15]!Macro2</definedName>
    <definedName name="Macro2" localSheetId="10">[15]!Macro2</definedName>
    <definedName name="Macro2" localSheetId="8">[15]!Macro2</definedName>
    <definedName name="Macro2" localSheetId="2">[15]!Macro2</definedName>
    <definedName name="Macro2" localSheetId="0">[15]!Macro2</definedName>
    <definedName name="Macro2">[15]!Macro2</definedName>
    <definedName name="mahfouz" localSheetId="4">#REF!</definedName>
    <definedName name="mahfouz" localSheetId="3">#REF!</definedName>
    <definedName name="mahfouz" localSheetId="6">#REF!</definedName>
    <definedName name="mahfouz" localSheetId="5">#REF!</definedName>
    <definedName name="mahfouz" localSheetId="10">#REF!</definedName>
    <definedName name="mahfouz" localSheetId="9">#REF!</definedName>
    <definedName name="mahfouz" localSheetId="8">#REF!</definedName>
    <definedName name="mahfouz" localSheetId="7">#REF!</definedName>
    <definedName name="mahfouz" localSheetId="2">#REF!</definedName>
    <definedName name="mahfouz" localSheetId="1">#REF!</definedName>
    <definedName name="mahfouz" localSheetId="0">#REF!</definedName>
    <definedName name="mahfouz">#REF!</definedName>
    <definedName name="manger" localSheetId="4">#REF!</definedName>
    <definedName name="manger" localSheetId="3">#REF!</definedName>
    <definedName name="manger" localSheetId="6">#REF!</definedName>
    <definedName name="manger" localSheetId="5">#REF!</definedName>
    <definedName name="manger" localSheetId="10">#REF!</definedName>
    <definedName name="manger" localSheetId="9">#REF!</definedName>
    <definedName name="manger" localSheetId="8">#REF!</definedName>
    <definedName name="manger" localSheetId="7">#REF!</definedName>
    <definedName name="manger" localSheetId="2">#REF!</definedName>
    <definedName name="manger" localSheetId="1">#REF!</definedName>
    <definedName name="manger" localSheetId="0">#REF!</definedName>
    <definedName name="manger">#REF!</definedName>
    <definedName name="mansy" localSheetId="4">#REF!</definedName>
    <definedName name="mansy" localSheetId="3">#REF!</definedName>
    <definedName name="mansy" localSheetId="6">#REF!</definedName>
    <definedName name="mansy" localSheetId="5">#REF!</definedName>
    <definedName name="mansy" localSheetId="10">#REF!</definedName>
    <definedName name="mansy" localSheetId="9">#REF!</definedName>
    <definedName name="mansy" localSheetId="8">#REF!</definedName>
    <definedName name="mansy" localSheetId="7">#REF!</definedName>
    <definedName name="mansy" localSheetId="2">#REF!</definedName>
    <definedName name="mansy" localSheetId="1">#REF!</definedName>
    <definedName name="mansy" localSheetId="0">#REF!</definedName>
    <definedName name="mansy">#REF!</definedName>
    <definedName name="MarSun1" localSheetId="4">DATE(TheYear,3,1)-WEEKDAY(DATE(TheYear,3,1))+1</definedName>
    <definedName name="MarSun1" localSheetId="3">DATE(TheYear,3,1)-WEEKDAY(DATE(TheYear,3,1))+1</definedName>
    <definedName name="MarSun1" localSheetId="6">DATE(TheYear,3,1)-WEEKDAY(DATE(TheYear,3,1))+1</definedName>
    <definedName name="MarSun1" localSheetId="5">DATE(TheYear,3,1)-WEEKDAY(DATE(TheYear,3,1))+1</definedName>
    <definedName name="MarSun1" localSheetId="10">DATE(TheYear,3,1)-WEEKDAY(DATE(TheYear,3,1))+1</definedName>
    <definedName name="MarSun1" localSheetId="9">DATE(TheYear,3,1)-WEEKDAY(DATE(TheYear,3,1))+1</definedName>
    <definedName name="MarSun1" localSheetId="8">DATE(TheYear,3,1)-WEEKDAY(DATE(TheYear,3,1))+1</definedName>
    <definedName name="MarSun1" localSheetId="7">DATE(TheYear,3,1)-WEEKDAY(DATE(TheYear,3,1))+1</definedName>
    <definedName name="MarSun1" localSheetId="2">DATE(TheYear,3,1)-WEEKDAY(DATE(TheYear,3,1))+1</definedName>
    <definedName name="MarSun1" localSheetId="1">DATE(TheYear,3,1)-WEEKDAY(DATE(TheYear,3,1))+1</definedName>
    <definedName name="MarSun1" localSheetId="0">DATE([0]!TheYear,3,1)-WEEKDAY(DATE([0]!TheYear,3,1))+1</definedName>
    <definedName name="MarSun1">DATE(TheYear,3,1)-WEEKDAY(DATE(TheYear,3,1))+1</definedName>
    <definedName name="MAY" localSheetId="4">#REF!</definedName>
    <definedName name="MAY" localSheetId="3">#REF!</definedName>
    <definedName name="MAY" localSheetId="6">#REF!</definedName>
    <definedName name="MAY" localSheetId="5">#REF!</definedName>
    <definedName name="MAY" localSheetId="10">#REF!</definedName>
    <definedName name="MAY" localSheetId="9">#REF!</definedName>
    <definedName name="MAY" localSheetId="8">#REF!</definedName>
    <definedName name="MAY" localSheetId="7">#REF!</definedName>
    <definedName name="MAY" localSheetId="2">#REF!</definedName>
    <definedName name="MAY" localSheetId="1">#REF!</definedName>
    <definedName name="MAY" localSheetId="0">#REF!</definedName>
    <definedName name="MAY">#REF!</definedName>
    <definedName name="MaySun1" localSheetId="4">DATE(TheYear,5,1)-WEEKDAY(DATE(TheYear,5,1))+1</definedName>
    <definedName name="MaySun1" localSheetId="3">DATE(TheYear,5,1)-WEEKDAY(DATE(TheYear,5,1))+1</definedName>
    <definedName name="MaySun1" localSheetId="6">DATE(TheYear,5,1)-WEEKDAY(DATE(TheYear,5,1))+1</definedName>
    <definedName name="MaySun1" localSheetId="5">DATE(TheYear,5,1)-WEEKDAY(DATE(TheYear,5,1))+1</definedName>
    <definedName name="MaySun1" localSheetId="10">DATE(TheYear,5,1)-WEEKDAY(DATE(TheYear,5,1))+1</definedName>
    <definedName name="MaySun1" localSheetId="9">DATE(TheYear,5,1)-WEEKDAY(DATE(TheYear,5,1))+1</definedName>
    <definedName name="MaySun1" localSheetId="8">DATE(TheYear,5,1)-WEEKDAY(DATE(TheYear,5,1))+1</definedName>
    <definedName name="MaySun1" localSheetId="7">DATE(TheYear,5,1)-WEEKDAY(DATE(TheYear,5,1))+1</definedName>
    <definedName name="MaySun1" localSheetId="2">DATE(TheYear,5,1)-WEEKDAY(DATE(TheYear,5,1))+1</definedName>
    <definedName name="MaySun1" localSheetId="1">DATE(TheYear,5,1)-WEEKDAY(DATE(TheYear,5,1))+1</definedName>
    <definedName name="MaySun1" localSheetId="0">DATE([0]!TheYear,5,1)-WEEKDAY(DATE([0]!TheYear,5,1))+1</definedName>
    <definedName name="MaySun1">DATE(TheYear,5,1)-WEEKDAY(DATE(TheYear,5,1))+1</definedName>
    <definedName name="MayWeight" localSheetId="6">'[6]AFW Plan'!$J$4</definedName>
    <definedName name="MayWeight" localSheetId="5">'[6]AFW Plan'!$J$4</definedName>
    <definedName name="MayWeight" localSheetId="2">'[27]AFW Plan'!$J$4</definedName>
    <definedName name="MayWeight" localSheetId="1">'[27]AFW Plan'!$J$4</definedName>
    <definedName name="MayWeight">'[7]AFW Plan'!$J$4</definedName>
    <definedName name="MDsadmakfj" localSheetId="4">#REF!</definedName>
    <definedName name="MDsadmakfj" localSheetId="3">#REF!</definedName>
    <definedName name="MDsadmakfj" localSheetId="6">#REF!</definedName>
    <definedName name="MDsadmakfj" localSheetId="5">#REF!</definedName>
    <definedName name="MDsadmakfj" localSheetId="10">#REF!</definedName>
    <definedName name="MDsadmakfj" localSheetId="9">#REF!</definedName>
    <definedName name="MDsadmakfj" localSheetId="8">#REF!</definedName>
    <definedName name="MDsadmakfj" localSheetId="7">#REF!</definedName>
    <definedName name="MDsadmakfj" localSheetId="2">#REF!</definedName>
    <definedName name="MDsadmakfj" localSheetId="1">#REF!</definedName>
    <definedName name="MDsadmakfj" localSheetId="0">#REF!</definedName>
    <definedName name="MDsadmakfj">#REF!</definedName>
    <definedName name="me" localSheetId="4">#REF!</definedName>
    <definedName name="me" localSheetId="3">#REF!</definedName>
    <definedName name="me" localSheetId="6">#REF!</definedName>
    <definedName name="me" localSheetId="5">#REF!</definedName>
    <definedName name="me" localSheetId="10">#REF!</definedName>
    <definedName name="me" localSheetId="9">#REF!</definedName>
    <definedName name="me" localSheetId="8">#REF!</definedName>
    <definedName name="me" localSheetId="7">#REF!</definedName>
    <definedName name="me" localSheetId="2">#REF!</definedName>
    <definedName name="me" localSheetId="1">#REF!</definedName>
    <definedName name="me" localSheetId="0">#REF!</definedName>
    <definedName name="me">#REF!</definedName>
    <definedName name="megahed" localSheetId="4">#REF!</definedName>
    <definedName name="megahed" localSheetId="3">#REF!</definedName>
    <definedName name="megahed" localSheetId="6">#REF!</definedName>
    <definedName name="megahed" localSheetId="5">#REF!</definedName>
    <definedName name="megahed" localSheetId="10">#REF!</definedName>
    <definedName name="megahed" localSheetId="9">#REF!</definedName>
    <definedName name="megahed" localSheetId="8">#REF!</definedName>
    <definedName name="megahed" localSheetId="7">#REF!</definedName>
    <definedName name="megahed" localSheetId="2">#REF!</definedName>
    <definedName name="megahed" localSheetId="1">#REF!</definedName>
    <definedName name="megahed" localSheetId="0">#REF!</definedName>
    <definedName name="megahed">#REF!</definedName>
    <definedName name="misiry" localSheetId="4">#REF!</definedName>
    <definedName name="misiry" localSheetId="3">#REF!</definedName>
    <definedName name="misiry" localSheetId="6">#REF!</definedName>
    <definedName name="misiry" localSheetId="5">#REF!</definedName>
    <definedName name="misiry" localSheetId="10">#REF!</definedName>
    <definedName name="misiry" localSheetId="9">#REF!</definedName>
    <definedName name="misiry" localSheetId="8">#REF!</definedName>
    <definedName name="misiry" localSheetId="7">#REF!</definedName>
    <definedName name="misiry" localSheetId="2">#REF!</definedName>
    <definedName name="misiry" localSheetId="1">#REF!</definedName>
    <definedName name="misiry" localSheetId="0">#REF!</definedName>
    <definedName name="misiry">#REF!</definedName>
    <definedName name="mk" localSheetId="4">[28]Calender!#REF!</definedName>
    <definedName name="mk" localSheetId="3">[28]Calender!#REF!</definedName>
    <definedName name="mk" localSheetId="6">[28]Calender!#REF!</definedName>
    <definedName name="mk" localSheetId="5">[28]Calender!#REF!</definedName>
    <definedName name="mk" localSheetId="10">[28]Calender!#REF!</definedName>
    <definedName name="mk" localSheetId="9">[28]Calender!#REF!</definedName>
    <definedName name="mk" localSheetId="8">[28]Calender!#REF!</definedName>
    <definedName name="mk" localSheetId="7">[28]Calender!#REF!</definedName>
    <definedName name="mk" localSheetId="2">[28]Calender!#REF!</definedName>
    <definedName name="mk" localSheetId="1">[28]Calender!#REF!</definedName>
    <definedName name="mk">[28]Calender!#REF!</definedName>
    <definedName name="mm" localSheetId="4">#REF!</definedName>
    <definedName name="mm" localSheetId="3">#REF!</definedName>
    <definedName name="mm" localSheetId="6">#REF!</definedName>
    <definedName name="mm" localSheetId="5">#REF!</definedName>
    <definedName name="mm" localSheetId="10">#REF!</definedName>
    <definedName name="mm" localSheetId="9">#REF!</definedName>
    <definedName name="mm" localSheetId="8">#REF!</definedName>
    <definedName name="mm" localSheetId="7">#REF!</definedName>
    <definedName name="mm" localSheetId="2">#REF!</definedName>
    <definedName name="mm" localSheetId="1">#REF!</definedName>
    <definedName name="mm" localSheetId="0">#REF!</definedName>
    <definedName name="mm">#REF!</definedName>
    <definedName name="mmm">#N/A</definedName>
    <definedName name="mmmmmmmmmmmmmmmmmmmmmmmmmmmmmmmmm" localSheetId="4">#REF!</definedName>
    <definedName name="mmmmmmmmmmmmmmmmmmmmmmmmmmmmmmmmm" localSheetId="3">#REF!</definedName>
    <definedName name="mmmmmmmmmmmmmmmmmmmmmmmmmmmmmmmmm" localSheetId="6">#REF!</definedName>
    <definedName name="mmmmmmmmmmmmmmmmmmmmmmmmmmmmmmmmm" localSheetId="5">#REF!</definedName>
    <definedName name="mmmmmmmmmmmmmmmmmmmmmmmmmmmmmmmmm" localSheetId="10">#REF!</definedName>
    <definedName name="mmmmmmmmmmmmmmmmmmmmmmmmmmmmmmmmm" localSheetId="9">#REF!</definedName>
    <definedName name="mmmmmmmmmmmmmmmmmmmmmmmmmmmmmmmmm" localSheetId="8">#REF!</definedName>
    <definedName name="mmmmmmmmmmmmmmmmmmmmmmmmmmmmmmmmm" localSheetId="7">#REF!</definedName>
    <definedName name="mmmmmmmmmmmmmmmmmmmmmmmmmmmmmmmmm" localSheetId="2">#REF!</definedName>
    <definedName name="mmmmmmmmmmmmmmmmmmmmmmmmmmmmmmmmm" localSheetId="1">#REF!</definedName>
    <definedName name="mmmmmmmmmmmmmmmmmmmmmmmmmmmmmmmmm" localSheetId="0">#REF!</definedName>
    <definedName name="mmmmmmmmmmmmmmmmmmmmmmmmmmmmmmmmm">#REF!</definedName>
    <definedName name="MTD" localSheetId="4">OFFSET('ADC-DTD'!chtObs,0,1)</definedName>
    <definedName name="MTD" localSheetId="3">OFFSET('ADC-MTD'!chtObs,0,1)</definedName>
    <definedName name="MTD" localSheetId="6">OFFSET('AFW-DTD'!chtObs,0,1)</definedName>
    <definedName name="MTD" localSheetId="5">OFFSET('AFW-MTD'!chtObs,0,1)</definedName>
    <definedName name="MTD" localSheetId="10">OFFSET('AKW-DTD'!chtObs,0,1)</definedName>
    <definedName name="MTD" localSheetId="9">OFFSET('AKW-MTD'!chtObs,0,1)</definedName>
    <definedName name="MTD" localSheetId="8">OFFSET('ALW-DTD'!chtObs,0,1)</definedName>
    <definedName name="MTD" localSheetId="7">OFFSET('ALW-MTD'!chtObs,0,1)</definedName>
    <definedName name="MTD" localSheetId="2">OFFSET('HJH-DTD'!chtObs,0,1)</definedName>
    <definedName name="MTD" localSheetId="1">OFFSET('HJH-MTD'!chtObs,0,1)</definedName>
    <definedName name="MTD" localSheetId="0">OFFSET('KSA Dashboard'!chtObs,0,1)</definedName>
    <definedName name="MTD">OFFSET([0]!chtObs,0,1)</definedName>
    <definedName name="MTD_Number" localSheetId="4">#REF!</definedName>
    <definedName name="MTD_Number" localSheetId="3">#REF!</definedName>
    <definedName name="MTD_Number" localSheetId="6">#REF!</definedName>
    <definedName name="MTD_Number" localSheetId="5">#REF!</definedName>
    <definedName name="MTD_Number" localSheetId="10">#REF!</definedName>
    <definedName name="MTD_Number" localSheetId="9">#REF!</definedName>
    <definedName name="MTD_Number" localSheetId="8">#REF!</definedName>
    <definedName name="MTD_Number" localSheetId="7">#REF!</definedName>
    <definedName name="MTD_Number" localSheetId="2">#REF!</definedName>
    <definedName name="MTD_Number" localSheetId="1">#REF!</definedName>
    <definedName name="MTD_Number" localSheetId="0">#REF!</definedName>
    <definedName name="MTD_Number">#REF!</definedName>
    <definedName name="N" localSheetId="4">#REF!</definedName>
    <definedName name="N" localSheetId="3">#REF!</definedName>
    <definedName name="N" localSheetId="6">#REF!</definedName>
    <definedName name="N" localSheetId="5">#REF!</definedName>
    <definedName name="N" localSheetId="10">#REF!</definedName>
    <definedName name="N" localSheetId="9">#REF!</definedName>
    <definedName name="N" localSheetId="8">#REF!</definedName>
    <definedName name="N" localSheetId="7">#REF!</definedName>
    <definedName name="N" localSheetId="2">#REF!</definedName>
    <definedName name="N" localSheetId="1">#REF!</definedName>
    <definedName name="N" localSheetId="0">#REF!</definedName>
    <definedName name="N">#REF!</definedName>
    <definedName name="Neurology" localSheetId="4">#REF!</definedName>
    <definedName name="Neurology" localSheetId="3">#REF!</definedName>
    <definedName name="Neurology" localSheetId="6">#REF!</definedName>
    <definedName name="Neurology" localSheetId="5">#REF!</definedName>
    <definedName name="Neurology" localSheetId="10">#REF!</definedName>
    <definedName name="Neurology" localSheetId="9">#REF!</definedName>
    <definedName name="Neurology" localSheetId="8">#REF!</definedName>
    <definedName name="Neurology" localSheetId="7">#REF!</definedName>
    <definedName name="Neurology" localSheetId="2">#REF!</definedName>
    <definedName name="Neurology" localSheetId="1">#REF!</definedName>
    <definedName name="Neurology" localSheetId="0">#REF!</definedName>
    <definedName name="Neurology">#REF!</definedName>
    <definedName name="NEUROPSYCHIATRY" localSheetId="4">#REF!</definedName>
    <definedName name="NEUROPSYCHIATRY" localSheetId="3">#REF!</definedName>
    <definedName name="NEUROPSYCHIATRY" localSheetId="6">#REF!</definedName>
    <definedName name="NEUROPSYCHIATRY" localSheetId="5">#REF!</definedName>
    <definedName name="NEUROPSYCHIATRY" localSheetId="10">#REF!</definedName>
    <definedName name="NEUROPSYCHIATRY" localSheetId="9">#REF!</definedName>
    <definedName name="NEUROPSYCHIATRY" localSheetId="8">#REF!</definedName>
    <definedName name="NEUROPSYCHIATRY" localSheetId="7">#REF!</definedName>
    <definedName name="NEUROPSYCHIATRY" localSheetId="2">#REF!</definedName>
    <definedName name="NEUROPSYCHIATRY" localSheetId="1">#REF!</definedName>
    <definedName name="NEUROPSYCHIATRY" localSheetId="0">#REF!</definedName>
    <definedName name="NEUROPSYCHIATRY">#REF!</definedName>
    <definedName name="Neurosurgery" localSheetId="4">#REF!</definedName>
    <definedName name="Neurosurgery" localSheetId="3">#REF!</definedName>
    <definedName name="Neurosurgery" localSheetId="6">#REF!</definedName>
    <definedName name="Neurosurgery" localSheetId="5">#REF!</definedName>
    <definedName name="Neurosurgery" localSheetId="10">#REF!</definedName>
    <definedName name="Neurosurgery" localSheetId="9">#REF!</definedName>
    <definedName name="Neurosurgery" localSheetId="8">#REF!</definedName>
    <definedName name="Neurosurgery" localSheetId="7">#REF!</definedName>
    <definedName name="Neurosurgery" localSheetId="2">#REF!</definedName>
    <definedName name="Neurosurgery" localSheetId="1">#REF!</definedName>
    <definedName name="Neurosurgery" localSheetId="0">#REF!</definedName>
    <definedName name="Neurosurgery">#REF!</definedName>
    <definedName name="NEW" localSheetId="4">[28]Calender!#REF!</definedName>
    <definedName name="NEW" localSheetId="3">[28]Calender!#REF!</definedName>
    <definedName name="NEW" localSheetId="6">[28]Calender!#REF!</definedName>
    <definedName name="NEW" localSheetId="5">[28]Calender!#REF!</definedName>
    <definedName name="NEW" localSheetId="10">[28]Calender!#REF!</definedName>
    <definedName name="NEW" localSheetId="9">[28]Calender!#REF!</definedName>
    <definedName name="NEW" localSheetId="8">[28]Calender!#REF!</definedName>
    <definedName name="NEW" localSheetId="7">[28]Calender!#REF!</definedName>
    <definedName name="NEW" localSheetId="2">[28]Calender!#REF!</definedName>
    <definedName name="NEW" localSheetId="1">[28]Calender!#REF!</definedName>
    <definedName name="NEW" localSheetId="0">[28]Calender!#REF!</definedName>
    <definedName name="NEW">[28]Calender!#REF!</definedName>
    <definedName name="NEW_TAX" localSheetId="4">#REF!</definedName>
    <definedName name="NEW_TAX" localSheetId="3">#REF!</definedName>
    <definedName name="NEW_TAX" localSheetId="6">#REF!</definedName>
    <definedName name="NEW_TAX" localSheetId="5">#REF!</definedName>
    <definedName name="NEW_TAX" localSheetId="10">#REF!</definedName>
    <definedName name="NEW_TAX" localSheetId="9">#REF!</definedName>
    <definedName name="NEW_TAX" localSheetId="8">#REF!</definedName>
    <definedName name="NEW_TAX" localSheetId="7">#REF!</definedName>
    <definedName name="NEW_TAX" localSheetId="2">#REF!</definedName>
    <definedName name="NEW_TAX" localSheetId="1">#REF!</definedName>
    <definedName name="NEW_TAX" localSheetId="0">#REF!</definedName>
    <definedName name="NEW_TAX">#REF!</definedName>
    <definedName name="NEW_TAXES" localSheetId="4">#REF!</definedName>
    <definedName name="NEW_TAXES" localSheetId="3">#REF!</definedName>
    <definedName name="NEW_TAXES" localSheetId="6">#REF!</definedName>
    <definedName name="NEW_TAXES" localSheetId="5">#REF!</definedName>
    <definedName name="NEW_TAXES" localSheetId="10">#REF!</definedName>
    <definedName name="NEW_TAXES" localSheetId="9">#REF!</definedName>
    <definedName name="NEW_TAXES" localSheetId="8">#REF!</definedName>
    <definedName name="NEW_TAXES" localSheetId="7">#REF!</definedName>
    <definedName name="NEW_TAXES" localSheetId="2">#REF!</definedName>
    <definedName name="NEW_TAXES" localSheetId="1">#REF!</definedName>
    <definedName name="NEW_TAXES" localSheetId="0">#REF!</definedName>
    <definedName name="NEW_TAXES">#REF!</definedName>
    <definedName name="nn">'[29]Loan Amortization Schedule'!$A$1:$J$497</definedName>
    <definedName name="nnnnnnnn" localSheetId="4">#REF!</definedName>
    <definedName name="nnnnnnnn" localSheetId="3">#REF!</definedName>
    <definedName name="nnnnnnnn" localSheetId="6">#REF!</definedName>
    <definedName name="nnnnnnnn" localSheetId="5">#REF!</definedName>
    <definedName name="nnnnnnnn" localSheetId="10">#REF!</definedName>
    <definedName name="nnnnnnnn" localSheetId="9">#REF!</definedName>
    <definedName name="nnnnnnnn" localSheetId="8">#REF!</definedName>
    <definedName name="nnnnnnnn" localSheetId="7">#REF!</definedName>
    <definedName name="nnnnnnnn" localSheetId="2">#REF!</definedName>
    <definedName name="nnnnnnnn" localSheetId="1">#REF!</definedName>
    <definedName name="nnnnnnnn" localSheetId="0">#REF!</definedName>
    <definedName name="nnnnnnnn">#REF!</definedName>
    <definedName name="nono" localSheetId="4">#REF!</definedName>
    <definedName name="nono" localSheetId="3">#REF!</definedName>
    <definedName name="nono" localSheetId="6">#REF!</definedName>
    <definedName name="nono" localSheetId="5">#REF!</definedName>
    <definedName name="nono" localSheetId="10">#REF!</definedName>
    <definedName name="nono" localSheetId="9">#REF!</definedName>
    <definedName name="nono" localSheetId="8">#REF!</definedName>
    <definedName name="nono" localSheetId="7">#REF!</definedName>
    <definedName name="nono" localSheetId="2">#REF!</definedName>
    <definedName name="nono" localSheetId="1">#REF!</definedName>
    <definedName name="nono" localSheetId="0">#REF!</definedName>
    <definedName name="nono">#REF!</definedName>
    <definedName name="NovSun1" localSheetId="4">DATE(TheYear,11,1)-WEEKDAY(DATE(TheYear,11,1))+1</definedName>
    <definedName name="NovSun1" localSheetId="3">DATE(TheYear,11,1)-WEEKDAY(DATE(TheYear,11,1))+1</definedName>
    <definedName name="NovSun1" localSheetId="6">DATE(TheYear,11,1)-WEEKDAY(DATE(TheYear,11,1))+1</definedName>
    <definedName name="NovSun1" localSheetId="5">DATE(TheYear,11,1)-WEEKDAY(DATE(TheYear,11,1))+1</definedName>
    <definedName name="NovSun1" localSheetId="10">DATE(TheYear,11,1)-WEEKDAY(DATE(TheYear,11,1))+1</definedName>
    <definedName name="NovSun1" localSheetId="9">DATE(TheYear,11,1)-WEEKDAY(DATE(TheYear,11,1))+1</definedName>
    <definedName name="NovSun1" localSheetId="8">DATE(TheYear,11,1)-WEEKDAY(DATE(TheYear,11,1))+1</definedName>
    <definedName name="NovSun1" localSheetId="7">DATE(TheYear,11,1)-WEEKDAY(DATE(TheYear,11,1))+1</definedName>
    <definedName name="NovSun1" localSheetId="2">DATE(TheYear,11,1)-WEEKDAY(DATE(TheYear,11,1))+1</definedName>
    <definedName name="NovSun1" localSheetId="1">DATE(TheYear,11,1)-WEEKDAY(DATE(TheYear,11,1))+1</definedName>
    <definedName name="NovSun1" localSheetId="0">DATE([0]!TheYear,11,1)-WEEKDAY(DATE([0]!TheYear,11,1))+1</definedName>
    <definedName name="NovSun1">DATE(TheYear,11,1)-WEEKDAY(DATE(TheYear,11,1))+1</definedName>
    <definedName name="NPV" localSheetId="4">[16]BEP!#REF!</definedName>
    <definedName name="NPV" localSheetId="3">[16]BEP!#REF!</definedName>
    <definedName name="NPV" localSheetId="6">[16]BEP!#REF!</definedName>
    <definedName name="NPV" localSheetId="5">[16]BEP!#REF!</definedName>
    <definedName name="NPV" localSheetId="10">[16]BEP!#REF!</definedName>
    <definedName name="NPV" localSheetId="9">[16]BEP!#REF!</definedName>
    <definedName name="NPV" localSheetId="8">[16]BEP!#REF!</definedName>
    <definedName name="NPV" localSheetId="7">[16]BEP!#REF!</definedName>
    <definedName name="NPV" localSheetId="2">[16]BEP!#REF!</definedName>
    <definedName name="NPV" localSheetId="1">[16]BEP!#REF!</definedName>
    <definedName name="NPV" localSheetId="0">[16]BEP!#REF!</definedName>
    <definedName name="NPV">[16]BEP!#REF!</definedName>
    <definedName name="Num_Pmt_Per_Year">'[3]Loan Amortization Schedule'!$D$8</definedName>
    <definedName name="Number_od_p">MATCH(0.01,'[12]General  (3)'!End_Bal,-1)+1</definedName>
    <definedName name="Number_of_Payments" localSheetId="4">MATCH(0.01,End_Bal,-1)+1</definedName>
    <definedName name="Number_of_Payments" localSheetId="3">MATCH(0.01,End_Bal,-1)+1</definedName>
    <definedName name="Number_of_Payments" localSheetId="6">MATCH(0.01,End_Bal,-1)+1</definedName>
    <definedName name="Number_of_Payments" localSheetId="5">MATCH(0.01,End_Bal,-1)+1</definedName>
    <definedName name="Number_of_Payments" localSheetId="10">MATCH(0.01,End_Bal,-1)+1</definedName>
    <definedName name="Number_of_Payments" localSheetId="9">MATCH(0.01,End_Bal,-1)+1</definedName>
    <definedName name="Number_of_Payments" localSheetId="8">MATCH(0.01,End_Bal,-1)+1</definedName>
    <definedName name="Number_of_Payments" localSheetId="7">MATCH(0.01,End_Bal,-1)+1</definedName>
    <definedName name="Number_of_Payments" localSheetId="2">MATCH(0.01,End_Bal,-1)+1</definedName>
    <definedName name="Number_of_Payments" localSheetId="1">MATCH(0.01,End_Bal,-1)+1</definedName>
    <definedName name="Number_of_Payments" localSheetId="0">MATCH(0.01,[0]!End_Bal,-1)+1</definedName>
    <definedName name="Number_of_Payments">MATCH(0.01,End_Bal,-1)+1</definedName>
    <definedName name="Nurse">[30]!Nurse1[[#Headers],[#Data]]</definedName>
    <definedName name="nutration" localSheetId="4">#REF!</definedName>
    <definedName name="nutration" localSheetId="3">#REF!</definedName>
    <definedName name="nutration" localSheetId="6">#REF!</definedName>
    <definedName name="nutration" localSheetId="5">#REF!</definedName>
    <definedName name="nutration" localSheetId="10">#REF!</definedName>
    <definedName name="nutration" localSheetId="9">#REF!</definedName>
    <definedName name="nutration" localSheetId="8">#REF!</definedName>
    <definedName name="nutration" localSheetId="7">#REF!</definedName>
    <definedName name="nutration" localSheetId="2">#REF!</definedName>
    <definedName name="nutration" localSheetId="1">#REF!</definedName>
    <definedName name="nutration" localSheetId="0">#REF!</definedName>
    <definedName name="nutration">#REF!</definedName>
    <definedName name="NUTRITION" localSheetId="4">#REF!</definedName>
    <definedName name="NUTRITION" localSheetId="3">#REF!</definedName>
    <definedName name="NUTRITION" localSheetId="6">#REF!</definedName>
    <definedName name="NUTRITION" localSheetId="5">#REF!</definedName>
    <definedName name="NUTRITION" localSheetId="10">#REF!</definedName>
    <definedName name="NUTRITION" localSheetId="9">#REF!</definedName>
    <definedName name="NUTRITION" localSheetId="8">#REF!</definedName>
    <definedName name="NUTRITION" localSheetId="7">#REF!</definedName>
    <definedName name="NUTRITION" localSheetId="2">#REF!</definedName>
    <definedName name="NUTRITION" localSheetId="1">#REF!</definedName>
    <definedName name="NUTRITION" localSheetId="0">#REF!</definedName>
    <definedName name="NUTRITION">#REF!</definedName>
    <definedName name="OB_GYN" localSheetId="4">#REF!</definedName>
    <definedName name="OB_GYN" localSheetId="3">#REF!</definedName>
    <definedName name="OB_GYN" localSheetId="6">#REF!</definedName>
    <definedName name="OB_GYN" localSheetId="5">#REF!</definedName>
    <definedName name="OB_GYN" localSheetId="10">#REF!</definedName>
    <definedName name="OB_GYN" localSheetId="9">#REF!</definedName>
    <definedName name="OB_GYN" localSheetId="8">#REF!</definedName>
    <definedName name="OB_GYN" localSheetId="7">#REF!</definedName>
    <definedName name="OB_GYN" localSheetId="2">#REF!</definedName>
    <definedName name="OB_GYN" localSheetId="1">#REF!</definedName>
    <definedName name="OB_GYN" localSheetId="0">#REF!</definedName>
    <definedName name="OB_GYN">#REF!</definedName>
    <definedName name="Obe_Gyn" localSheetId="4">#REF!</definedName>
    <definedName name="Obe_Gyn" localSheetId="3">#REF!</definedName>
    <definedName name="Obe_Gyn" localSheetId="6">#REF!</definedName>
    <definedName name="Obe_Gyn" localSheetId="5">#REF!</definedName>
    <definedName name="Obe_Gyn" localSheetId="10">#REF!</definedName>
    <definedName name="Obe_Gyn" localSheetId="9">#REF!</definedName>
    <definedName name="Obe_Gyn" localSheetId="8">#REF!</definedName>
    <definedName name="Obe_Gyn" localSheetId="7">#REF!</definedName>
    <definedName name="Obe_Gyn" localSheetId="2">#REF!</definedName>
    <definedName name="Obe_Gyn" localSheetId="1">#REF!</definedName>
    <definedName name="Obe_Gyn" localSheetId="0">#REF!</definedName>
    <definedName name="Obe_Gyn">#REF!</definedName>
    <definedName name="OctSun1" localSheetId="4">DATE(TheYear,10,1)-WEEKDAY(DATE(TheYear,10,1))+1</definedName>
    <definedName name="OctSun1" localSheetId="3">DATE(TheYear,10,1)-WEEKDAY(DATE(TheYear,10,1))+1</definedName>
    <definedName name="OctSun1" localSheetId="6">DATE(TheYear,10,1)-WEEKDAY(DATE(TheYear,10,1))+1</definedName>
    <definedName name="OctSun1" localSheetId="5">DATE(TheYear,10,1)-WEEKDAY(DATE(TheYear,10,1))+1</definedName>
    <definedName name="OctSun1" localSheetId="10">DATE(TheYear,10,1)-WEEKDAY(DATE(TheYear,10,1))+1</definedName>
    <definedName name="OctSun1" localSheetId="9">DATE(TheYear,10,1)-WEEKDAY(DATE(TheYear,10,1))+1</definedName>
    <definedName name="OctSun1" localSheetId="8">DATE(TheYear,10,1)-WEEKDAY(DATE(TheYear,10,1))+1</definedName>
    <definedName name="OctSun1" localSheetId="7">DATE(TheYear,10,1)-WEEKDAY(DATE(TheYear,10,1))+1</definedName>
    <definedName name="OctSun1" localSheetId="2">DATE(TheYear,10,1)-WEEKDAY(DATE(TheYear,10,1))+1</definedName>
    <definedName name="OctSun1" localSheetId="1">DATE(TheYear,10,1)-WEEKDAY(DATE(TheYear,10,1))+1</definedName>
    <definedName name="OctSun1" localSheetId="0">DATE([0]!TheYear,10,1)-WEEKDAY(DATE([0]!TheYear,10,1))+1</definedName>
    <definedName name="OctSun1">DATE(TheYear,10,1)-WEEKDAY(DATE(TheYear,10,1))+1</definedName>
    <definedName name="oifyu" localSheetId="4">#REF!</definedName>
    <definedName name="oifyu" localSheetId="3">#REF!</definedName>
    <definedName name="oifyu" localSheetId="6">#REF!</definedName>
    <definedName name="oifyu" localSheetId="5">#REF!</definedName>
    <definedName name="oifyu" localSheetId="10">#REF!</definedName>
    <definedName name="oifyu" localSheetId="9">#REF!</definedName>
    <definedName name="oifyu" localSheetId="8">#REF!</definedName>
    <definedName name="oifyu" localSheetId="7">#REF!</definedName>
    <definedName name="oifyu" localSheetId="2">#REF!</definedName>
    <definedName name="oifyu" localSheetId="1">#REF!</definedName>
    <definedName name="oifyu" localSheetId="0">#REF!</definedName>
    <definedName name="oifyu">#REF!</definedName>
    <definedName name="oiupup" localSheetId="4">#REF!</definedName>
    <definedName name="oiupup" localSheetId="3">#REF!</definedName>
    <definedName name="oiupup" localSheetId="6">#REF!</definedName>
    <definedName name="oiupup" localSheetId="5">#REF!</definedName>
    <definedName name="oiupup" localSheetId="10">#REF!</definedName>
    <definedName name="oiupup" localSheetId="9">#REF!</definedName>
    <definedName name="oiupup" localSheetId="8">#REF!</definedName>
    <definedName name="oiupup" localSheetId="7">#REF!</definedName>
    <definedName name="oiupup" localSheetId="2">#REF!</definedName>
    <definedName name="oiupup" localSheetId="1">#REF!</definedName>
    <definedName name="oiupup" localSheetId="0">#REF!</definedName>
    <definedName name="oiupup">#REF!</definedName>
    <definedName name="OJPOJJJJJJJJJJJJJJJJJJJJJJJJJJJJJJJJJ" localSheetId="4">#REF!</definedName>
    <definedName name="OJPOJJJJJJJJJJJJJJJJJJJJJJJJJJJJJJJJJ" localSheetId="3">#REF!</definedName>
    <definedName name="OJPOJJJJJJJJJJJJJJJJJJJJJJJJJJJJJJJJJ" localSheetId="6">#REF!</definedName>
    <definedName name="OJPOJJJJJJJJJJJJJJJJJJJJJJJJJJJJJJJJJ" localSheetId="5">#REF!</definedName>
    <definedName name="OJPOJJJJJJJJJJJJJJJJJJJJJJJJJJJJJJJJJ" localSheetId="10">#REF!</definedName>
    <definedName name="OJPOJJJJJJJJJJJJJJJJJJJJJJJJJJJJJJJJJ" localSheetId="9">#REF!</definedName>
    <definedName name="OJPOJJJJJJJJJJJJJJJJJJJJJJJJJJJJJJJJJ" localSheetId="8">#REF!</definedName>
    <definedName name="OJPOJJJJJJJJJJJJJJJJJJJJJJJJJJJJJJJJJ" localSheetId="7">#REF!</definedName>
    <definedName name="OJPOJJJJJJJJJJJJJJJJJJJJJJJJJJJJJJJJJ" localSheetId="2">#REF!</definedName>
    <definedName name="OJPOJJJJJJJJJJJJJJJJJJJJJJJJJJJJJJJJJ" localSheetId="1">#REF!</definedName>
    <definedName name="OJPOJJJJJJJJJJJJJJJJJJJJJJJJJJJJJJJJJ" localSheetId="0">#REF!</definedName>
    <definedName name="OJPOJJJJJJJJJJJJJJJJJJJJJJJJJJJJJJJJJ">#REF!</definedName>
    <definedName name="Oncology" localSheetId="4">#REF!</definedName>
    <definedName name="Oncology" localSheetId="3">#REF!</definedName>
    <definedName name="Oncology" localSheetId="6">#REF!</definedName>
    <definedName name="Oncology" localSheetId="5">#REF!</definedName>
    <definedName name="Oncology" localSheetId="10">#REF!</definedName>
    <definedName name="Oncology" localSheetId="9">#REF!</definedName>
    <definedName name="Oncology" localSheetId="8">#REF!</definedName>
    <definedName name="Oncology" localSheetId="7">#REF!</definedName>
    <definedName name="Oncology" localSheetId="2">#REF!</definedName>
    <definedName name="Oncology" localSheetId="1">#REF!</definedName>
    <definedName name="Oncology" localSheetId="0">#REF!</definedName>
    <definedName name="Oncology">#REF!</definedName>
    <definedName name="onehundred" localSheetId="4">#REF!</definedName>
    <definedName name="onehundred" localSheetId="3">#REF!</definedName>
    <definedName name="onehundred" localSheetId="6">#REF!</definedName>
    <definedName name="onehundred" localSheetId="5">#REF!</definedName>
    <definedName name="onehundred" localSheetId="10">#REF!</definedName>
    <definedName name="onehundred" localSheetId="9">#REF!</definedName>
    <definedName name="onehundred" localSheetId="8">#REF!</definedName>
    <definedName name="onehundred" localSheetId="7">#REF!</definedName>
    <definedName name="onehundred" localSheetId="2">#REF!</definedName>
    <definedName name="onehundred" localSheetId="1">#REF!</definedName>
    <definedName name="onehundred" localSheetId="0">#REF!</definedName>
    <definedName name="onehundred">#REF!</definedName>
    <definedName name="Op_Cost_Growth" localSheetId="4">[16]BEP!#REF!</definedName>
    <definedName name="Op_Cost_Growth" localSheetId="3">[16]BEP!#REF!</definedName>
    <definedName name="Op_Cost_Growth" localSheetId="6">[16]BEP!#REF!</definedName>
    <definedName name="Op_Cost_Growth" localSheetId="5">[16]BEP!#REF!</definedName>
    <definedName name="Op_Cost_Growth" localSheetId="10">[16]BEP!#REF!</definedName>
    <definedName name="Op_Cost_Growth" localSheetId="9">[16]BEP!#REF!</definedName>
    <definedName name="Op_Cost_Growth" localSheetId="8">[16]BEP!#REF!</definedName>
    <definedName name="Op_Cost_Growth" localSheetId="7">[16]BEP!#REF!</definedName>
    <definedName name="Op_Cost_Growth" localSheetId="2">[16]BEP!#REF!</definedName>
    <definedName name="Op_Cost_Growth" localSheetId="1">[16]BEP!#REF!</definedName>
    <definedName name="Op_Cost_Growth">[16]BEP!#REF!</definedName>
    <definedName name="OPD" localSheetId="4">#REF!</definedName>
    <definedName name="OPD" localSheetId="3">#REF!</definedName>
    <definedName name="OPD" localSheetId="6">#REF!</definedName>
    <definedName name="OPD" localSheetId="5">#REF!</definedName>
    <definedName name="OPD" localSheetId="10">#REF!</definedName>
    <definedName name="OPD" localSheetId="9">#REF!</definedName>
    <definedName name="OPD" localSheetId="8">#REF!</definedName>
    <definedName name="OPD" localSheetId="7">#REF!</definedName>
    <definedName name="OPD" localSheetId="2">#REF!</definedName>
    <definedName name="OPD" localSheetId="1">#REF!</definedName>
    <definedName name="OPD" localSheetId="0">#REF!</definedName>
    <definedName name="OPD">#REF!</definedName>
    <definedName name="Opening" localSheetId="4">'[31]كشف الرواتب'!#REF!</definedName>
    <definedName name="Opening" localSheetId="3">'[31]كشف الرواتب'!#REF!</definedName>
    <definedName name="Opening" localSheetId="6">'[31]كشف الرواتب'!#REF!</definedName>
    <definedName name="Opening" localSheetId="5">'[31]كشف الرواتب'!#REF!</definedName>
    <definedName name="Opening" localSheetId="10">'[31]كشف الرواتب'!#REF!</definedName>
    <definedName name="Opening" localSheetId="9">'[31]كشف الرواتب'!#REF!</definedName>
    <definedName name="Opening" localSheetId="8">'[31]كشف الرواتب'!#REF!</definedName>
    <definedName name="Opening" localSheetId="7">'[31]كشف الرواتب'!#REF!</definedName>
    <definedName name="Opening" localSheetId="2">'[31]كشف الرواتب'!#REF!</definedName>
    <definedName name="Opening" localSheetId="1">'[31]كشف الرواتب'!#REF!</definedName>
    <definedName name="Opening">'[31]كشف الرواتب'!#REF!</definedName>
    <definedName name="OPHTHALMOLOGY" localSheetId="4">#REF!</definedName>
    <definedName name="OPHTHALMOLOGY" localSheetId="3">#REF!</definedName>
    <definedName name="OPHTHALMOLOGY" localSheetId="6">#REF!</definedName>
    <definedName name="OPHTHALMOLOGY" localSheetId="5">#REF!</definedName>
    <definedName name="OPHTHALMOLOGY" localSheetId="10">#REF!</definedName>
    <definedName name="OPHTHALMOLOGY" localSheetId="9">#REF!</definedName>
    <definedName name="OPHTHALMOLOGY" localSheetId="8">#REF!</definedName>
    <definedName name="OPHTHALMOLOGY" localSheetId="7">#REF!</definedName>
    <definedName name="OPHTHALMOLOGY" localSheetId="2">#REF!</definedName>
    <definedName name="OPHTHALMOLOGY" localSheetId="1">#REF!</definedName>
    <definedName name="OPHTHALMOLOGY" localSheetId="0">#REF!</definedName>
    <definedName name="OPHTHALMOLOGY">#REF!</definedName>
    <definedName name="Ortho" localSheetId="4">#REF!</definedName>
    <definedName name="Ortho" localSheetId="3">#REF!</definedName>
    <definedName name="Ortho" localSheetId="6">#REF!</definedName>
    <definedName name="Ortho" localSheetId="5">#REF!</definedName>
    <definedName name="Ortho" localSheetId="10">#REF!</definedName>
    <definedName name="Ortho" localSheetId="9">#REF!</definedName>
    <definedName name="Ortho" localSheetId="8">#REF!</definedName>
    <definedName name="Ortho" localSheetId="7">#REF!</definedName>
    <definedName name="Ortho" localSheetId="2">#REF!</definedName>
    <definedName name="Ortho" localSheetId="1">#REF!</definedName>
    <definedName name="Ortho" localSheetId="0">#REF!</definedName>
    <definedName name="Ortho">#REF!</definedName>
    <definedName name="ORTHOPEDICS" localSheetId="4">#REF!</definedName>
    <definedName name="ORTHOPEDICS" localSheetId="3">#REF!</definedName>
    <definedName name="ORTHOPEDICS" localSheetId="6">#REF!</definedName>
    <definedName name="ORTHOPEDICS" localSheetId="5">#REF!</definedName>
    <definedName name="ORTHOPEDICS" localSheetId="10">#REF!</definedName>
    <definedName name="ORTHOPEDICS" localSheetId="9">#REF!</definedName>
    <definedName name="ORTHOPEDICS" localSheetId="8">#REF!</definedName>
    <definedName name="ORTHOPEDICS" localSheetId="7">#REF!</definedName>
    <definedName name="ORTHOPEDICS" localSheetId="2">#REF!</definedName>
    <definedName name="ORTHOPEDICS" localSheetId="1">#REF!</definedName>
    <definedName name="ORTHOPEDICS" localSheetId="0">#REF!</definedName>
    <definedName name="ORTHOPEDICS">#REF!</definedName>
    <definedName name="ouigoigu" localSheetId="4">#REF!</definedName>
    <definedName name="ouigoigu" localSheetId="3">#REF!</definedName>
    <definedName name="ouigoigu" localSheetId="6">#REF!</definedName>
    <definedName name="ouigoigu" localSheetId="5">#REF!</definedName>
    <definedName name="ouigoigu" localSheetId="10">#REF!</definedName>
    <definedName name="ouigoigu" localSheetId="9">#REF!</definedName>
    <definedName name="ouigoigu" localSheetId="8">#REF!</definedName>
    <definedName name="ouigoigu" localSheetId="7">#REF!</definedName>
    <definedName name="ouigoigu" localSheetId="2">#REF!</definedName>
    <definedName name="ouigoigu" localSheetId="1">#REF!</definedName>
    <definedName name="ouigoigu" localSheetId="0">#REF!</definedName>
    <definedName name="ouigoigu">#REF!</definedName>
    <definedName name="ouuuu" localSheetId="4">#REF!</definedName>
    <definedName name="ouuuu" localSheetId="3">#REF!</definedName>
    <definedName name="ouuuu" localSheetId="6">#REF!</definedName>
    <definedName name="ouuuu" localSheetId="5">#REF!</definedName>
    <definedName name="ouuuu" localSheetId="10">#REF!</definedName>
    <definedName name="ouuuu" localSheetId="9">#REF!</definedName>
    <definedName name="ouuuu" localSheetId="8">#REF!</definedName>
    <definedName name="ouuuu" localSheetId="7">#REF!</definedName>
    <definedName name="ouuuu" localSheetId="2">#REF!</definedName>
    <definedName name="ouuuu" localSheetId="1">#REF!</definedName>
    <definedName name="ouuuu" localSheetId="0">#REF!</definedName>
    <definedName name="ouuuu">#REF!</definedName>
    <definedName name="Ownership" localSheetId="4" hidden="1">OFFSET([15]!Data.Top.Left,1,0)</definedName>
    <definedName name="Ownership" localSheetId="6" hidden="1">OFFSET([15]!Data.Top.Left,1,0)</definedName>
    <definedName name="Ownership" localSheetId="10" hidden="1">OFFSET([15]!Data.Top.Left,1,0)</definedName>
    <definedName name="Ownership" localSheetId="8" hidden="1">OFFSET([15]!Data.Top.Left,1,0)</definedName>
    <definedName name="Ownership" localSheetId="2" hidden="1">OFFSET([15]!Data.Top.Left,1,0)</definedName>
    <definedName name="Ownership" localSheetId="0" hidden="1">OFFSET([15]!Data.Top.Left,1,0)</definedName>
    <definedName name="Ownership" hidden="1">OFFSET([15]!Data.Top.Left,1,0)</definedName>
    <definedName name="p" localSheetId="4">#REF!</definedName>
    <definedName name="p" localSheetId="3">#REF!</definedName>
    <definedName name="p" localSheetId="6">#REF!</definedName>
    <definedName name="p" localSheetId="5">#REF!</definedName>
    <definedName name="p" localSheetId="10">#REF!</definedName>
    <definedName name="p" localSheetId="9">#REF!</definedName>
    <definedName name="p" localSheetId="8">#REF!</definedName>
    <definedName name="p" localSheetId="7">#REF!</definedName>
    <definedName name="p" localSheetId="2">#REF!</definedName>
    <definedName name="p" localSheetId="1">#REF!</definedName>
    <definedName name="p" localSheetId="0">#REF!</definedName>
    <definedName name="p">#REF!</definedName>
    <definedName name="patient_Type" localSheetId="4">#REF!</definedName>
    <definedName name="patient_Type" localSheetId="3">#REF!</definedName>
    <definedName name="patient_Type" localSheetId="6">#REF!</definedName>
    <definedName name="patient_Type" localSheetId="5">#REF!</definedName>
    <definedName name="patient_Type" localSheetId="10">#REF!</definedName>
    <definedName name="patient_Type" localSheetId="9">#REF!</definedName>
    <definedName name="patient_Type" localSheetId="8">#REF!</definedName>
    <definedName name="patient_Type" localSheetId="7">#REF!</definedName>
    <definedName name="patient_Type" localSheetId="2">#REF!</definedName>
    <definedName name="patient_Type" localSheetId="1">#REF!</definedName>
    <definedName name="patient_Type" localSheetId="0">#REF!</definedName>
    <definedName name="patient_Type">#REF!</definedName>
    <definedName name="Pay_Date" localSheetId="4">#REF!</definedName>
    <definedName name="Pay_Date" localSheetId="3">#REF!</definedName>
    <definedName name="Pay_Date" localSheetId="6">#REF!</definedName>
    <definedName name="Pay_Date" localSheetId="5">#REF!</definedName>
    <definedName name="Pay_Date" localSheetId="10">#REF!</definedName>
    <definedName name="Pay_Date" localSheetId="9">#REF!</definedName>
    <definedName name="Pay_Date" localSheetId="8">#REF!</definedName>
    <definedName name="Pay_Date" localSheetId="7">#REF!</definedName>
    <definedName name="Pay_Date" localSheetId="2">#REF!</definedName>
    <definedName name="Pay_Date" localSheetId="1">#REF!</definedName>
    <definedName name="Pay_Date" localSheetId="0">#REF!</definedName>
    <definedName name="Pay_Date">#REF!</definedName>
    <definedName name="Pay_Num">'[3]Loan Amortization Schedule'!$A$18:$A$497</definedName>
    <definedName name="Payment_Date" localSheetId="4">DATE(YEAR([0]!Loan_Start),MONTH([0]!Loan_Start)+Payment_Number,DAY([0]!Loan_Start))</definedName>
    <definedName name="Payment_Date" localSheetId="3">DATE(YEAR(Loan_Start),MONTH(Loan_Start)+Payment_Number,DAY(Loan_Start))</definedName>
    <definedName name="Payment_Date" localSheetId="6">DATE(YEAR([0]!Loan_Start),MONTH([0]!Loan_Start)+Payment_Number,DAY([0]!Loan_Start))</definedName>
    <definedName name="Payment_Date" localSheetId="5">DATE(YEAR(Loan_Start),MONTH(Loan_Start)+Payment_Number,DAY(Loan_Start))</definedName>
    <definedName name="Payment_Date" localSheetId="10">DATE(YEAR([0]!Loan_Start),MONTH([0]!Loan_Start)+Payment_Number,DAY([0]!Loan_Start))</definedName>
    <definedName name="Payment_Date" localSheetId="9">DATE(YEAR(Loan_Start),MONTH(Loan_Start)+Payment_Number,DAY(Loan_Start))</definedName>
    <definedName name="Payment_Date" localSheetId="8">DATE(YEAR([0]!Loan_Start),MONTH([0]!Loan_Start)+Payment_Number,DAY([0]!Loan_Start))</definedName>
    <definedName name="Payment_Date" localSheetId="7">DATE(YEAR(Loan_Start),MONTH(Loan_Start)+Payment_Number,DAY(Loan_Start))</definedName>
    <definedName name="Payment_Date" localSheetId="2">DATE(YEAR([0]!Loan_Start),MONTH([0]!Loan_Start)+Payment_Number,DAY([0]!Loan_Start))</definedName>
    <definedName name="Payment_Date" localSheetId="1">DATE(YEAR(Loan_Start),MONTH(Loan_Start)+Payment_Number,DAY(Loan_Start))</definedName>
    <definedName name="Payment_Date" localSheetId="0">DATE(YEAR([0]!Loan_Start),MONTH([0]!Loan_Start)+Payment_Number,DAY([0]!Loan_Start))</definedName>
    <definedName name="Payment_Date">DATE(YEAR(Loan_Start),MONTH(Loan_Start)+Payment_Number,DAY(Loan_Start))</definedName>
    <definedName name="PEDIATRIC" localSheetId="4">#REF!</definedName>
    <definedName name="PEDIATRIC" localSheetId="3">#REF!</definedName>
    <definedName name="PEDIATRIC" localSheetId="6">#REF!</definedName>
    <definedName name="PEDIATRIC" localSheetId="5">#REF!</definedName>
    <definedName name="PEDIATRIC" localSheetId="10">#REF!</definedName>
    <definedName name="PEDIATRIC" localSheetId="9">#REF!</definedName>
    <definedName name="PEDIATRIC" localSheetId="8">#REF!</definedName>
    <definedName name="PEDIATRIC" localSheetId="7">#REF!</definedName>
    <definedName name="PEDIATRIC" localSheetId="2">#REF!</definedName>
    <definedName name="PEDIATRIC" localSheetId="1">#REF!</definedName>
    <definedName name="PEDIATRIC" localSheetId="0">#REF!</definedName>
    <definedName name="PEDIATRIC">#REF!</definedName>
    <definedName name="Pediatric_surgery" localSheetId="4">#REF!</definedName>
    <definedName name="Pediatric_surgery" localSheetId="3">#REF!</definedName>
    <definedName name="Pediatric_surgery" localSheetId="6">#REF!</definedName>
    <definedName name="Pediatric_surgery" localSheetId="5">#REF!</definedName>
    <definedName name="Pediatric_surgery" localSheetId="10">#REF!</definedName>
    <definedName name="Pediatric_surgery" localSheetId="9">#REF!</definedName>
    <definedName name="Pediatric_surgery" localSheetId="8">#REF!</definedName>
    <definedName name="Pediatric_surgery" localSheetId="7">#REF!</definedName>
    <definedName name="Pediatric_surgery" localSheetId="2">#REF!</definedName>
    <definedName name="Pediatric_surgery" localSheetId="1">#REF!</definedName>
    <definedName name="Pediatric_surgery" localSheetId="0">#REF!</definedName>
    <definedName name="Pediatric_surgery">#REF!</definedName>
    <definedName name="Pediatrics" localSheetId="4">#REF!</definedName>
    <definedName name="Pediatrics" localSheetId="3">#REF!</definedName>
    <definedName name="Pediatrics" localSheetId="6">#REF!</definedName>
    <definedName name="Pediatrics" localSheetId="5">#REF!</definedName>
    <definedName name="Pediatrics" localSheetId="10">#REF!</definedName>
    <definedName name="Pediatrics" localSheetId="9">#REF!</definedName>
    <definedName name="Pediatrics" localSheetId="8">#REF!</definedName>
    <definedName name="Pediatrics" localSheetId="7">#REF!</definedName>
    <definedName name="Pediatrics" localSheetId="2">#REF!</definedName>
    <definedName name="Pediatrics" localSheetId="1">#REF!</definedName>
    <definedName name="Pediatrics" localSheetId="0">#REF!</definedName>
    <definedName name="Pediatrics">#REF!</definedName>
    <definedName name="plan">#NAME?</definedName>
    <definedName name="PLASTIC_SURGERY" localSheetId="4">#REF!</definedName>
    <definedName name="PLASTIC_SURGERY" localSheetId="3">#REF!</definedName>
    <definedName name="PLASTIC_SURGERY" localSheetId="6">#REF!</definedName>
    <definedName name="PLASTIC_SURGERY" localSheetId="5">#REF!</definedName>
    <definedName name="PLASTIC_SURGERY" localSheetId="10">#REF!</definedName>
    <definedName name="PLASTIC_SURGERY" localSheetId="9">#REF!</definedName>
    <definedName name="PLASTIC_SURGERY" localSheetId="8">#REF!</definedName>
    <definedName name="PLASTIC_SURGERY" localSheetId="7">#REF!</definedName>
    <definedName name="PLASTIC_SURGERY" localSheetId="2">#REF!</definedName>
    <definedName name="PLASTIC_SURGERY" localSheetId="1">#REF!</definedName>
    <definedName name="PLASTIC_SURGERY" localSheetId="0">#REF!</definedName>
    <definedName name="PLASTIC_SURGERY">#REF!</definedName>
    <definedName name="polo" localSheetId="4">#REF!</definedName>
    <definedName name="polo" localSheetId="3">#REF!</definedName>
    <definedName name="polo" localSheetId="6">#REF!</definedName>
    <definedName name="polo" localSheetId="5">#REF!</definedName>
    <definedName name="polo" localSheetId="10">#REF!</definedName>
    <definedName name="polo" localSheetId="9">#REF!</definedName>
    <definedName name="polo" localSheetId="8">#REF!</definedName>
    <definedName name="polo" localSheetId="7">#REF!</definedName>
    <definedName name="polo" localSheetId="2">#REF!</definedName>
    <definedName name="polo" localSheetId="1">#REF!</definedName>
    <definedName name="polo" localSheetId="0">#REF!</definedName>
    <definedName name="polo">#REF!</definedName>
    <definedName name="pooooo" localSheetId="4">#REF!</definedName>
    <definedName name="pooooo" localSheetId="3">#REF!</definedName>
    <definedName name="pooooo" localSheetId="6">#REF!</definedName>
    <definedName name="pooooo" localSheetId="5">#REF!</definedName>
    <definedName name="pooooo" localSheetId="10">#REF!</definedName>
    <definedName name="pooooo" localSheetId="9">#REF!</definedName>
    <definedName name="pooooo" localSheetId="8">#REF!</definedName>
    <definedName name="pooooo" localSheetId="7">#REF!</definedName>
    <definedName name="pooooo" localSheetId="2">#REF!</definedName>
    <definedName name="pooooo" localSheetId="1">#REF!</definedName>
    <definedName name="pooooo" localSheetId="0">#REF!</definedName>
    <definedName name="pooooo">#REF!</definedName>
    <definedName name="presention5">#N/A</definedName>
    <definedName name="Princ">'[3]Loan Amortization Schedule'!$G$18:$G$497</definedName>
    <definedName name="Print_Area_Reset" localSheetId="4">OFFSET(Full_Print,0,0,Last_Row)</definedName>
    <definedName name="Print_Area_Reset" localSheetId="3">OFFSET(Full_Print,0,0,Last_Row)</definedName>
    <definedName name="Print_Area_Reset" localSheetId="6">OFFSET(Full_Print,0,0,Last_Row)</definedName>
    <definedName name="Print_Area_Reset" localSheetId="5">OFFSET(Full_Print,0,0,Last_Row)</definedName>
    <definedName name="Print_Area_Reset" localSheetId="10">OFFSET(Full_Print,0,0,Last_Row)</definedName>
    <definedName name="Print_Area_Reset" localSheetId="9">OFFSET(Full_Print,0,0,Last_Row)</definedName>
    <definedName name="Print_Area_Reset" localSheetId="8">OFFSET(Full_Print,0,0,Last_Row)</definedName>
    <definedName name="Print_Area_Reset" localSheetId="7">OFFSET(Full_Print,0,0,Last_Row)</definedName>
    <definedName name="Print_Area_Reset" localSheetId="2">OFFSET(Full_Print,0,0,Last_Row)</definedName>
    <definedName name="Print_Area_Reset" localSheetId="1">OFFSET(Full_Print,0,0,Last_Row)</definedName>
    <definedName name="Print_Area_Reset" localSheetId="0">OFFSET([0]!Full_Print,0,0,[0]!Last_Row)</definedName>
    <definedName name="Print_Area_Reset">OFFSET(Full_Print,0,0,Last_Row)</definedName>
    <definedName name="Process" localSheetId="4">#REF!</definedName>
    <definedName name="Process" localSheetId="3">#REF!</definedName>
    <definedName name="Process" localSheetId="6">#REF!</definedName>
    <definedName name="Process" localSheetId="5">#REF!</definedName>
    <definedName name="Process" localSheetId="10">#REF!</definedName>
    <definedName name="Process" localSheetId="9">#REF!</definedName>
    <definedName name="Process" localSheetId="8">#REF!</definedName>
    <definedName name="Process" localSheetId="7">#REF!</definedName>
    <definedName name="Process" localSheetId="2">#REF!</definedName>
    <definedName name="Process" localSheetId="1">#REF!</definedName>
    <definedName name="Process" localSheetId="0">#REF!</definedName>
    <definedName name="Process">#REF!</definedName>
    <definedName name="Project_name" localSheetId="4">#REF!</definedName>
    <definedName name="Project_name" localSheetId="3">#REF!</definedName>
    <definedName name="Project_name" localSheetId="6">#REF!</definedName>
    <definedName name="Project_name" localSheetId="5">#REF!</definedName>
    <definedName name="Project_name" localSheetId="10">#REF!</definedName>
    <definedName name="Project_name" localSheetId="9">#REF!</definedName>
    <definedName name="Project_name" localSheetId="8">#REF!</definedName>
    <definedName name="Project_name" localSheetId="7">#REF!</definedName>
    <definedName name="Project_name" localSheetId="2">#REF!</definedName>
    <definedName name="Project_name" localSheetId="1">#REF!</definedName>
    <definedName name="Project_name" localSheetId="0">#REF!</definedName>
    <definedName name="Project_name">#REF!</definedName>
    <definedName name="Project_type" localSheetId="4">#REF!</definedName>
    <definedName name="Project_type" localSheetId="3">#REF!</definedName>
    <definedName name="Project_type" localSheetId="6">#REF!</definedName>
    <definedName name="Project_type" localSheetId="5">#REF!</definedName>
    <definedName name="Project_type" localSheetId="10">#REF!</definedName>
    <definedName name="Project_type" localSheetId="9">#REF!</definedName>
    <definedName name="Project_type" localSheetId="8">#REF!</definedName>
    <definedName name="Project_type" localSheetId="7">#REF!</definedName>
    <definedName name="Project_type" localSheetId="2">#REF!</definedName>
    <definedName name="Project_type" localSheetId="1">#REF!</definedName>
    <definedName name="Project_type" localSheetId="0">#REF!</definedName>
    <definedName name="Project_type">#REF!</definedName>
    <definedName name="Projection" localSheetId="4">#REF!</definedName>
    <definedName name="Projection" localSheetId="3">#REF!</definedName>
    <definedName name="Projection" localSheetId="6">#REF!</definedName>
    <definedName name="Projection" localSheetId="5">#REF!</definedName>
    <definedName name="Projection" localSheetId="10">#REF!</definedName>
    <definedName name="Projection" localSheetId="9">#REF!</definedName>
    <definedName name="Projection" localSheetId="8">#REF!</definedName>
    <definedName name="Projection" localSheetId="7">#REF!</definedName>
    <definedName name="Projection" localSheetId="2">#REF!</definedName>
    <definedName name="Projection" localSheetId="1">#REF!</definedName>
    <definedName name="Projection" localSheetId="0">#REF!</definedName>
    <definedName name="Projection">#REF!</definedName>
    <definedName name="ProjectType" localSheetId="4">#REF!</definedName>
    <definedName name="ProjectType" localSheetId="3">#REF!</definedName>
    <definedName name="ProjectType" localSheetId="6">#REF!</definedName>
    <definedName name="ProjectType" localSheetId="5">#REF!</definedName>
    <definedName name="ProjectType" localSheetId="10">#REF!</definedName>
    <definedName name="ProjectType" localSheetId="9">#REF!</definedName>
    <definedName name="ProjectType" localSheetId="8">#REF!</definedName>
    <definedName name="ProjectType" localSheetId="7">#REF!</definedName>
    <definedName name="ProjectType" localSheetId="2">#REF!</definedName>
    <definedName name="ProjectType" localSheetId="1">#REF!</definedName>
    <definedName name="ProjectType" localSheetId="0">#REF!</definedName>
    <definedName name="ProjectType">#REF!</definedName>
    <definedName name="q" localSheetId="4">#REF!</definedName>
    <definedName name="q" localSheetId="3">#REF!</definedName>
    <definedName name="q" localSheetId="6">#REF!</definedName>
    <definedName name="q" localSheetId="5">#REF!</definedName>
    <definedName name="q" localSheetId="10">#REF!</definedName>
    <definedName name="q" localSheetId="9">#REF!</definedName>
    <definedName name="q" localSheetId="8">#REF!</definedName>
    <definedName name="q" localSheetId="7">#REF!</definedName>
    <definedName name="q" localSheetId="2">#REF!</definedName>
    <definedName name="q" localSheetId="1">#REF!</definedName>
    <definedName name="q" localSheetId="0">#REF!</definedName>
    <definedName name="q">#REF!</definedName>
    <definedName name="QQQQQQQQQQQQQQQQQQQQQQQQQQQQQQQQQQQQQQQQ" localSheetId="4">#REF!</definedName>
    <definedName name="QQQQQQQQQQQQQQQQQQQQQQQQQQQQQQQQQQQQQQQQ" localSheetId="3">#REF!</definedName>
    <definedName name="QQQQQQQQQQQQQQQQQQQQQQQQQQQQQQQQQQQQQQQQ" localSheetId="6">#REF!</definedName>
    <definedName name="QQQQQQQQQQQQQQQQQQQQQQQQQQQQQQQQQQQQQQQQ" localSheetId="5">#REF!</definedName>
    <definedName name="QQQQQQQQQQQQQQQQQQQQQQQQQQQQQQQQQQQQQQQQ" localSheetId="10">#REF!</definedName>
    <definedName name="QQQQQQQQQQQQQQQQQQQQQQQQQQQQQQQQQQQQQQQQ" localSheetId="9">#REF!</definedName>
    <definedName name="QQQQQQQQQQQQQQQQQQQQQQQQQQQQQQQQQQQQQQQQ" localSheetId="8">#REF!</definedName>
    <definedName name="QQQQQQQQQQQQQQQQQQQQQQQQQQQQQQQQQQQQQQQQ" localSheetId="7">#REF!</definedName>
    <definedName name="QQQQQQQQQQQQQQQQQQQQQQQQQQQQQQQQQQQQQQQQ" localSheetId="2">#REF!</definedName>
    <definedName name="QQQQQQQQQQQQQQQQQQQQQQQQQQQQQQQQQQQQQQQQ" localSheetId="1">#REF!</definedName>
    <definedName name="QQQQQQQQQQQQQQQQQQQQQQQQQQQQQQQQQQQQQQQQ" localSheetId="0">#REF!</definedName>
    <definedName name="QQQQQQQQQQQQQQQQQQQQQQQQQQQQQQQQQQQQQQQQ">#REF!</definedName>
    <definedName name="qw" localSheetId="4">#REF!</definedName>
    <definedName name="qw" localSheetId="3">#REF!</definedName>
    <definedName name="qw" localSheetId="6">#REF!</definedName>
    <definedName name="qw" localSheetId="5">#REF!</definedName>
    <definedName name="qw" localSheetId="10">#REF!</definedName>
    <definedName name="qw" localSheetId="9">#REF!</definedName>
    <definedName name="qw" localSheetId="8">#REF!</definedName>
    <definedName name="qw" localSheetId="7">#REF!</definedName>
    <definedName name="qw" localSheetId="2">#REF!</definedName>
    <definedName name="qw" localSheetId="1">#REF!</definedName>
    <definedName name="qw" localSheetId="0">#REF!</definedName>
    <definedName name="qw">#REF!</definedName>
    <definedName name="qwerty">#N/A</definedName>
    <definedName name="RADIOLOGY" localSheetId="4">#REF!</definedName>
    <definedName name="RADIOLOGY" localSheetId="3">#REF!</definedName>
    <definedName name="RADIOLOGY" localSheetId="6">#REF!</definedName>
    <definedName name="RADIOLOGY" localSheetId="5">#REF!</definedName>
    <definedName name="RADIOLOGY" localSheetId="10">#REF!</definedName>
    <definedName name="RADIOLOGY" localSheetId="9">#REF!</definedName>
    <definedName name="RADIOLOGY" localSheetId="8">#REF!</definedName>
    <definedName name="RADIOLOGY" localSheetId="7">#REF!</definedName>
    <definedName name="RADIOLOGY" localSheetId="2">#REF!</definedName>
    <definedName name="RADIOLOGY" localSheetId="1">#REF!</definedName>
    <definedName name="RADIOLOGY" localSheetId="0">#REF!</definedName>
    <definedName name="RADIOLOGY">#REF!</definedName>
    <definedName name="rang" localSheetId="4">#REF!</definedName>
    <definedName name="rang" localSheetId="3">#REF!</definedName>
    <definedName name="rang" localSheetId="6">#REF!</definedName>
    <definedName name="rang" localSheetId="5">#REF!</definedName>
    <definedName name="rang" localSheetId="10">#REF!</definedName>
    <definedName name="rang" localSheetId="9">#REF!</definedName>
    <definedName name="rang" localSheetId="8">#REF!</definedName>
    <definedName name="rang" localSheetId="7">#REF!</definedName>
    <definedName name="rang" localSheetId="2">#REF!</definedName>
    <definedName name="rang" localSheetId="1">#REF!</definedName>
    <definedName name="rang" localSheetId="0">#REF!</definedName>
    <definedName name="rang">#REF!</definedName>
    <definedName name="rareyeary" localSheetId="4">#REF!</definedName>
    <definedName name="rareyeary" localSheetId="3">#REF!</definedName>
    <definedName name="rareyeary" localSheetId="6">#REF!</definedName>
    <definedName name="rareyeary" localSheetId="5">#REF!</definedName>
    <definedName name="rareyeary" localSheetId="10">#REF!</definedName>
    <definedName name="rareyeary" localSheetId="9">#REF!</definedName>
    <definedName name="rareyeary" localSheetId="8">#REF!</definedName>
    <definedName name="rareyeary" localSheetId="7">#REF!</definedName>
    <definedName name="rareyeary" localSheetId="2">#REF!</definedName>
    <definedName name="rareyeary" localSheetId="1">#REF!</definedName>
    <definedName name="rareyeary" localSheetId="0">#REF!</definedName>
    <definedName name="rareyeary">#REF!</definedName>
    <definedName name="rasha" localSheetId="4">#REF!</definedName>
    <definedName name="rasha" localSheetId="3">#REF!</definedName>
    <definedName name="rasha" localSheetId="6">#REF!</definedName>
    <definedName name="rasha" localSheetId="5">#REF!</definedName>
    <definedName name="rasha" localSheetId="10">#REF!</definedName>
    <definedName name="rasha" localSheetId="9">#REF!</definedName>
    <definedName name="rasha" localSheetId="8">#REF!</definedName>
    <definedName name="rasha" localSheetId="7">#REF!</definedName>
    <definedName name="rasha" localSheetId="2">#REF!</definedName>
    <definedName name="rasha" localSheetId="1">#REF!</definedName>
    <definedName name="rasha" localSheetId="0">#REF!</definedName>
    <definedName name="rasha">#REF!</definedName>
    <definedName name="RBSERw" localSheetId="4">#REF!</definedName>
    <definedName name="RBSERw" localSheetId="3">#REF!</definedName>
    <definedName name="RBSERw" localSheetId="6">#REF!</definedName>
    <definedName name="RBSERw" localSheetId="5">#REF!</definedName>
    <definedName name="RBSERw" localSheetId="10">#REF!</definedName>
    <definedName name="RBSERw" localSheetId="9">#REF!</definedName>
    <definedName name="RBSERw" localSheetId="8">#REF!</definedName>
    <definedName name="RBSERw" localSheetId="7">#REF!</definedName>
    <definedName name="RBSERw" localSheetId="2">#REF!</definedName>
    <definedName name="RBSERw" localSheetId="1">#REF!</definedName>
    <definedName name="RBSERw" localSheetId="0">#REF!</definedName>
    <definedName name="RBSERw">#REF!</definedName>
    <definedName name="rehamh" localSheetId="4">#REF!</definedName>
    <definedName name="rehamh" localSheetId="3">#REF!</definedName>
    <definedName name="rehamh" localSheetId="6">#REF!</definedName>
    <definedName name="rehamh" localSheetId="5">#REF!</definedName>
    <definedName name="rehamh" localSheetId="10">#REF!</definedName>
    <definedName name="rehamh" localSheetId="9">#REF!</definedName>
    <definedName name="rehamh" localSheetId="8">#REF!</definedName>
    <definedName name="rehamh" localSheetId="7">#REF!</definedName>
    <definedName name="rehamh" localSheetId="2">#REF!</definedName>
    <definedName name="rehamh" localSheetId="1">#REF!</definedName>
    <definedName name="rehamh" localSheetId="0">#REF!</definedName>
    <definedName name="rehamh">#REF!</definedName>
    <definedName name="RESYUSEU" localSheetId="4">DATE(YEAR('[12]General  (3)'!Loan_Start),MONTH('[12]General  (3)'!Loan_Start)+Payment_Number,DAY('[12]General  (3)'!Loan_Start))</definedName>
    <definedName name="RESYUSEU" localSheetId="3">DATE(YEAR('[12]General  (3)'!Loan_Start),MONTH('[12]General  (3)'!Loan_Start)+Payment_Number,DAY('[12]General  (3)'!Loan_Start))</definedName>
    <definedName name="RESYUSEU" localSheetId="6">DATE(YEAR('[12]General  (3)'!Loan_Start),MONTH('[12]General  (3)'!Loan_Start)+Payment_Number,DAY('[12]General  (3)'!Loan_Start))</definedName>
    <definedName name="RESYUSEU" localSheetId="5">DATE(YEAR('[12]General  (3)'!Loan_Start),MONTH('[12]General  (3)'!Loan_Start)+Payment_Number,DAY('[12]General  (3)'!Loan_Start))</definedName>
    <definedName name="RESYUSEU" localSheetId="10">DATE(YEAR('[12]General  (3)'!Loan_Start),MONTH('[12]General  (3)'!Loan_Start)+Payment_Number,DAY('[12]General  (3)'!Loan_Start))</definedName>
    <definedName name="RESYUSEU" localSheetId="9">DATE(YEAR('[12]General  (3)'!Loan_Start),MONTH('[12]General  (3)'!Loan_Start)+Payment_Number,DAY('[12]General  (3)'!Loan_Start))</definedName>
    <definedName name="RESYUSEU" localSheetId="8">DATE(YEAR('[12]General  (3)'!Loan_Start),MONTH('[12]General  (3)'!Loan_Start)+Payment_Number,DAY('[12]General  (3)'!Loan_Start))</definedName>
    <definedName name="RESYUSEU" localSheetId="7">DATE(YEAR('[12]General  (3)'!Loan_Start),MONTH('[12]General  (3)'!Loan_Start)+Payment_Number,DAY('[12]General  (3)'!Loan_Start))</definedName>
    <definedName name="RESYUSEU" localSheetId="2">DATE(YEAR('[12]General  (3)'!Loan_Start),MONTH('[12]General  (3)'!Loan_Start)+Payment_Number,DAY('[12]General  (3)'!Loan_Start))</definedName>
    <definedName name="RESYUSEU" localSheetId="1">DATE(YEAR('[12]General  (3)'!Loan_Start),MONTH('[12]General  (3)'!Loan_Start)+Payment_Number,DAY('[12]General  (3)'!Loan_Start))</definedName>
    <definedName name="RESYUSEU" localSheetId="0">DATE(YEAR('[12]General  (3)'!Loan_Start),MONTH('[12]General  (3)'!Loan_Start)+Payment_Number,DAY('[12]General  (3)'!Loan_Start))</definedName>
    <definedName name="RESYUSEU">DATE(YEAR('[12]General  (3)'!Loan_Start),MONTH('[12]General  (3)'!Loan_Start)+Payment_Number,DAY('[12]General  (3)'!Loan_Start))</definedName>
    <definedName name="Revenue_Growth">[16]BEP!#REF!</definedName>
    <definedName name="REYARY" localSheetId="4">DATE(YEAR('[12]General  (3)'!Loan_Start),MONTH('[12]General  (3)'!Loan_Start)+Payment_Number,DAY('[12]General  (3)'!Loan_Start))</definedName>
    <definedName name="REYARY" localSheetId="3">DATE(YEAR('[12]General  (3)'!Loan_Start),MONTH('[12]General  (3)'!Loan_Start)+Payment_Number,DAY('[12]General  (3)'!Loan_Start))</definedName>
    <definedName name="REYARY" localSheetId="6">DATE(YEAR('[12]General  (3)'!Loan_Start),MONTH('[12]General  (3)'!Loan_Start)+Payment_Number,DAY('[12]General  (3)'!Loan_Start))</definedName>
    <definedName name="REYARY" localSheetId="5">DATE(YEAR('[12]General  (3)'!Loan_Start),MONTH('[12]General  (3)'!Loan_Start)+Payment_Number,DAY('[12]General  (3)'!Loan_Start))</definedName>
    <definedName name="REYARY" localSheetId="10">DATE(YEAR('[12]General  (3)'!Loan_Start),MONTH('[12]General  (3)'!Loan_Start)+Payment_Number,DAY('[12]General  (3)'!Loan_Start))</definedName>
    <definedName name="REYARY" localSheetId="9">DATE(YEAR('[12]General  (3)'!Loan_Start),MONTH('[12]General  (3)'!Loan_Start)+Payment_Number,DAY('[12]General  (3)'!Loan_Start))</definedName>
    <definedName name="REYARY" localSheetId="8">DATE(YEAR('[12]General  (3)'!Loan_Start),MONTH('[12]General  (3)'!Loan_Start)+Payment_Number,DAY('[12]General  (3)'!Loan_Start))</definedName>
    <definedName name="REYARY" localSheetId="7">DATE(YEAR('[12]General  (3)'!Loan_Start),MONTH('[12]General  (3)'!Loan_Start)+Payment_Number,DAY('[12]General  (3)'!Loan_Start))</definedName>
    <definedName name="REYARY" localSheetId="2">DATE(YEAR('[12]General  (3)'!Loan_Start),MONTH('[12]General  (3)'!Loan_Start)+Payment_Number,DAY('[12]General  (3)'!Loan_Start))</definedName>
    <definedName name="REYARY" localSheetId="1">DATE(YEAR('[12]General  (3)'!Loan_Start),MONTH('[12]General  (3)'!Loan_Start)+Payment_Number,DAY('[12]General  (3)'!Loan_Start))</definedName>
    <definedName name="REYARY" localSheetId="0">DATE(YEAR('[12]General  (3)'!Loan_Start),MONTH('[12]General  (3)'!Loan_Start)+Payment_Number,DAY('[12]General  (3)'!Loan_Start))</definedName>
    <definedName name="REYARY">DATE(YEAR('[12]General  (3)'!Loan_Start),MONTH('[12]General  (3)'!Loan_Start)+Payment_Number,DAY('[12]General  (3)'!Loan_Start))</definedName>
    <definedName name="rf" localSheetId="4">#REF!</definedName>
    <definedName name="rf" localSheetId="3">#REF!</definedName>
    <definedName name="rf" localSheetId="6">#REF!</definedName>
    <definedName name="rf" localSheetId="5">#REF!</definedName>
    <definedName name="rf" localSheetId="10">#REF!</definedName>
    <definedName name="rf" localSheetId="9">#REF!</definedName>
    <definedName name="rf" localSheetId="8">#REF!</definedName>
    <definedName name="rf" localSheetId="7">#REF!</definedName>
    <definedName name="rf" localSheetId="2">#REF!</definedName>
    <definedName name="rf" localSheetId="1">#REF!</definedName>
    <definedName name="rf" localSheetId="0">#REF!</definedName>
    <definedName name="rf">#REF!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oster">[11]Sheet2!$J$8:$N$15</definedName>
    <definedName name="rr">[16]BEP!#REF!</definedName>
    <definedName name="rrr" localSheetId="4">#REF!</definedName>
    <definedName name="rrr" localSheetId="3">#REF!</definedName>
    <definedName name="rrr" localSheetId="6">#REF!</definedName>
    <definedName name="rrr" localSheetId="5">#REF!</definedName>
    <definedName name="rrr" localSheetId="10">#REF!</definedName>
    <definedName name="rrr" localSheetId="9">#REF!</definedName>
    <definedName name="rrr" localSheetId="8">#REF!</definedName>
    <definedName name="rrr" localSheetId="7">#REF!</definedName>
    <definedName name="rrr" localSheetId="2">#REF!</definedName>
    <definedName name="rrr" localSheetId="1">#REF!</definedName>
    <definedName name="rrr" localSheetId="0">#REF!</definedName>
    <definedName name="rrr">#REF!</definedName>
    <definedName name="rsss" localSheetId="4">[26]Calender!#REF!</definedName>
    <definedName name="rsss" localSheetId="3">[26]Calender!#REF!</definedName>
    <definedName name="rsss" localSheetId="6">[26]Calender!#REF!</definedName>
    <definedName name="rsss" localSheetId="5">[26]Calender!#REF!</definedName>
    <definedName name="rsss" localSheetId="10">[26]Calender!#REF!</definedName>
    <definedName name="rsss" localSheetId="9">[26]Calender!#REF!</definedName>
    <definedName name="rsss" localSheetId="8">[26]Calender!#REF!</definedName>
    <definedName name="rsss" localSheetId="7">[26]Calender!#REF!</definedName>
    <definedName name="rsss" localSheetId="2">[26]Calender!#REF!</definedName>
    <definedName name="rsss" localSheetId="1">[26]Calender!#REF!</definedName>
    <definedName name="rsss">[26]Calender!#REF!</definedName>
    <definedName name="RSTUDTIU" localSheetId="4">#REF!</definedName>
    <definedName name="RSTUDTIU" localSheetId="3">#REF!</definedName>
    <definedName name="RSTUDTIU" localSheetId="6">#REF!</definedName>
    <definedName name="RSTUDTIU" localSheetId="5">#REF!</definedName>
    <definedName name="RSTUDTIU" localSheetId="10">#REF!</definedName>
    <definedName name="RSTUDTIU" localSheetId="9">#REF!</definedName>
    <definedName name="RSTUDTIU" localSheetId="8">#REF!</definedName>
    <definedName name="RSTUDTIU" localSheetId="7">#REF!</definedName>
    <definedName name="RSTUDTIU" localSheetId="2">#REF!</definedName>
    <definedName name="RSTUDTIU" localSheetId="1">#REF!</definedName>
    <definedName name="RSTUDTIU" localSheetId="0">#REF!</definedName>
    <definedName name="RSTUDTIU">#REF!</definedName>
    <definedName name="rtifti" localSheetId="4">#REF!</definedName>
    <definedName name="rtifti" localSheetId="3">#REF!</definedName>
    <definedName name="rtifti" localSheetId="6">#REF!</definedName>
    <definedName name="rtifti" localSheetId="5">#REF!</definedName>
    <definedName name="rtifti" localSheetId="10">#REF!</definedName>
    <definedName name="rtifti" localSheetId="9">#REF!</definedName>
    <definedName name="rtifti" localSheetId="8">#REF!</definedName>
    <definedName name="rtifti" localSheetId="7">#REF!</definedName>
    <definedName name="rtifti" localSheetId="2">#REF!</definedName>
    <definedName name="rtifti" localSheetId="1">#REF!</definedName>
    <definedName name="rtifti" localSheetId="0">#REF!</definedName>
    <definedName name="rtifti">#REF!</definedName>
    <definedName name="rtifyuo" localSheetId="4">#REF!</definedName>
    <definedName name="rtifyuo" localSheetId="3">#REF!</definedName>
    <definedName name="rtifyuo" localSheetId="6">#REF!</definedName>
    <definedName name="rtifyuo" localSheetId="5">#REF!</definedName>
    <definedName name="rtifyuo" localSheetId="10">#REF!</definedName>
    <definedName name="rtifyuo" localSheetId="9">#REF!</definedName>
    <definedName name="rtifyuo" localSheetId="8">#REF!</definedName>
    <definedName name="rtifyuo" localSheetId="7">#REF!</definedName>
    <definedName name="rtifyuo" localSheetId="2">#REF!</definedName>
    <definedName name="rtifyuo" localSheetId="1">#REF!</definedName>
    <definedName name="rtifyuo" localSheetId="0">#REF!</definedName>
    <definedName name="rtifyuo">#REF!</definedName>
    <definedName name="rusti" localSheetId="4">#REF!</definedName>
    <definedName name="rusti" localSheetId="3">#REF!</definedName>
    <definedName name="rusti" localSheetId="6">#REF!</definedName>
    <definedName name="rusti" localSheetId="5">#REF!</definedName>
    <definedName name="rusti" localSheetId="10">#REF!</definedName>
    <definedName name="rusti" localSheetId="9">#REF!</definedName>
    <definedName name="rusti" localSheetId="8">#REF!</definedName>
    <definedName name="rusti" localSheetId="7">#REF!</definedName>
    <definedName name="rusti" localSheetId="2">#REF!</definedName>
    <definedName name="rusti" localSheetId="1">#REF!</definedName>
    <definedName name="rusti" localSheetId="0">#REF!</definedName>
    <definedName name="rusti">#REF!</definedName>
    <definedName name="RUTSRI">OFFSET('[12]General  (3)'!Full_Print,0,0,'[12]General  (3)'!Last_Row)</definedName>
    <definedName name="ryesyr" localSheetId="4">#REF!</definedName>
    <definedName name="ryesyr" localSheetId="3">#REF!</definedName>
    <definedName name="ryesyr" localSheetId="6">#REF!</definedName>
    <definedName name="ryesyr" localSheetId="5">#REF!</definedName>
    <definedName name="ryesyr" localSheetId="10">#REF!</definedName>
    <definedName name="ryesyr" localSheetId="9">#REF!</definedName>
    <definedName name="ryesyr" localSheetId="8">#REF!</definedName>
    <definedName name="ryesyr" localSheetId="7">#REF!</definedName>
    <definedName name="ryesyr" localSheetId="2">#REF!</definedName>
    <definedName name="ryesyr" localSheetId="1">#REF!</definedName>
    <definedName name="ryesyr" localSheetId="0">#REF!</definedName>
    <definedName name="ryesyr">#REF!</definedName>
    <definedName name="s">#N/A</definedName>
    <definedName name="sawsan" localSheetId="4">#REF!</definedName>
    <definedName name="sawsan" localSheetId="3">#REF!</definedName>
    <definedName name="sawsan" localSheetId="6">#REF!</definedName>
    <definedName name="sawsan" localSheetId="5">#REF!</definedName>
    <definedName name="sawsan" localSheetId="10">#REF!</definedName>
    <definedName name="sawsan" localSheetId="9">#REF!</definedName>
    <definedName name="sawsan" localSheetId="8">#REF!</definedName>
    <definedName name="sawsan" localSheetId="7">#REF!</definedName>
    <definedName name="sawsan" localSheetId="2">#REF!</definedName>
    <definedName name="sawsan" localSheetId="1">#REF!</definedName>
    <definedName name="sawsan" localSheetId="0">#REF!</definedName>
    <definedName name="sawsan">#REF!</definedName>
    <definedName name="SBZEA5R" localSheetId="4">#REF!</definedName>
    <definedName name="SBZEA5R" localSheetId="3">#REF!</definedName>
    <definedName name="SBZEA5R" localSheetId="6">#REF!</definedName>
    <definedName name="SBZEA5R" localSheetId="5">#REF!</definedName>
    <definedName name="SBZEA5R" localSheetId="10">#REF!</definedName>
    <definedName name="SBZEA5R" localSheetId="9">#REF!</definedName>
    <definedName name="SBZEA5R" localSheetId="8">#REF!</definedName>
    <definedName name="SBZEA5R" localSheetId="7">#REF!</definedName>
    <definedName name="SBZEA5R" localSheetId="2">#REF!</definedName>
    <definedName name="SBZEA5R" localSheetId="1">#REF!</definedName>
    <definedName name="SBZEA5R" localSheetId="0">#REF!</definedName>
    <definedName name="SBZEA5R">#REF!</definedName>
    <definedName name="Sched_Pay">'[3]Loan Amortization Schedule'!$D$18:$D$497</definedName>
    <definedName name="Scheduled_Extra_Payments">'[3]Loan Amortization Schedule'!$D$10</definedName>
    <definedName name="Scheduled_Interest_Rate" localSheetId="4">#REF!</definedName>
    <definedName name="Scheduled_Interest_Rate" localSheetId="3">#REF!</definedName>
    <definedName name="Scheduled_Interest_Rate" localSheetId="6">#REF!</definedName>
    <definedName name="Scheduled_Interest_Rate" localSheetId="5">#REF!</definedName>
    <definedName name="Scheduled_Interest_Rate" localSheetId="10">#REF!</definedName>
    <definedName name="Scheduled_Interest_Rate" localSheetId="9">#REF!</definedName>
    <definedName name="Scheduled_Interest_Rate" localSheetId="8">#REF!</definedName>
    <definedName name="Scheduled_Interest_Rate" localSheetId="7">#REF!</definedName>
    <definedName name="Scheduled_Interest_Rate" localSheetId="2">#REF!</definedName>
    <definedName name="Scheduled_Interest_Rate" localSheetId="1">#REF!</definedName>
    <definedName name="Scheduled_Interest_Rate" localSheetId="0">#REF!</definedName>
    <definedName name="Scheduled_Interest_Rate">#REF!</definedName>
    <definedName name="Scheduled_Monthly_Payment">'[3]Loan Amortization Schedule'!$J$5</definedName>
    <definedName name="SDFG" localSheetId="4" hidden="1">OFFSET([15]!Data.Top.Left,1,0)</definedName>
    <definedName name="SDFG" localSheetId="6" hidden="1">OFFSET([15]!Data.Top.Left,1,0)</definedName>
    <definedName name="SDFG" localSheetId="10" hidden="1">OFFSET([15]!Data.Top.Left,1,0)</definedName>
    <definedName name="SDFG" localSheetId="8" hidden="1">OFFSET([15]!Data.Top.Left,1,0)</definedName>
    <definedName name="SDFG" localSheetId="2" hidden="1">OFFSET([15]!Data.Top.Left,1,0)</definedName>
    <definedName name="SDFG" localSheetId="0" hidden="1">OFFSET([15]!Data.Top.Left,1,0)</definedName>
    <definedName name="SDFG" hidden="1">OFFSET([15]!Data.Top.Left,1,0)</definedName>
    <definedName name="SDFGSG">MATCH(0.01,'[12]General  (3)'!End_Bal,-1)+1</definedName>
    <definedName name="SDFSD">#N/A</definedName>
    <definedName name="SDGWSDGSG" localSheetId="4">#REF!</definedName>
    <definedName name="SDGWSDGSG" localSheetId="3">#REF!</definedName>
    <definedName name="SDGWSDGSG" localSheetId="6">#REF!</definedName>
    <definedName name="SDGWSDGSG" localSheetId="5">#REF!</definedName>
    <definedName name="SDGWSDGSG" localSheetId="10">#REF!</definedName>
    <definedName name="SDGWSDGSG" localSheetId="9">#REF!</definedName>
    <definedName name="SDGWSDGSG" localSheetId="8">#REF!</definedName>
    <definedName name="SDGWSDGSG" localSheetId="7">#REF!</definedName>
    <definedName name="SDGWSDGSG" localSheetId="2">#REF!</definedName>
    <definedName name="SDGWSDGSG" localSheetId="1">#REF!</definedName>
    <definedName name="SDGWSDGSG" localSheetId="0">#REF!</definedName>
    <definedName name="SDGWSDGSG">#REF!</definedName>
    <definedName name="seee" localSheetId="4">#REF!</definedName>
    <definedName name="seee" localSheetId="3">#REF!</definedName>
    <definedName name="seee" localSheetId="6">#REF!</definedName>
    <definedName name="seee" localSheetId="5">#REF!</definedName>
    <definedName name="seee" localSheetId="10">#REF!</definedName>
    <definedName name="seee" localSheetId="9">#REF!</definedName>
    <definedName name="seee" localSheetId="8">#REF!</definedName>
    <definedName name="seee" localSheetId="7">#REF!</definedName>
    <definedName name="seee" localSheetId="2">#REF!</definedName>
    <definedName name="seee" localSheetId="1">#REF!</definedName>
    <definedName name="seee" localSheetId="0">#REF!</definedName>
    <definedName name="seee">#REF!</definedName>
    <definedName name="seoud" localSheetId="4">#REF!</definedName>
    <definedName name="seoud" localSheetId="3">#REF!</definedName>
    <definedName name="seoud" localSheetId="6">#REF!</definedName>
    <definedName name="seoud" localSheetId="5">#REF!</definedName>
    <definedName name="seoud" localSheetId="10">#REF!</definedName>
    <definedName name="seoud" localSheetId="9">#REF!</definedName>
    <definedName name="seoud" localSheetId="8">#REF!</definedName>
    <definedName name="seoud" localSheetId="7">#REF!</definedName>
    <definedName name="seoud" localSheetId="2">#REF!</definedName>
    <definedName name="seoud" localSheetId="1">#REF!</definedName>
    <definedName name="seoud" localSheetId="0">#REF!</definedName>
    <definedName name="seoud">#REF!</definedName>
    <definedName name="SepSun1" localSheetId="4">DATE(TheYear,9,1)-WEEKDAY(DATE(TheYear,9,1))+1</definedName>
    <definedName name="SepSun1" localSheetId="3">DATE(TheYear,9,1)-WEEKDAY(DATE(TheYear,9,1))+1</definedName>
    <definedName name="SepSun1" localSheetId="6">DATE(TheYear,9,1)-WEEKDAY(DATE(TheYear,9,1))+1</definedName>
    <definedName name="SepSun1" localSheetId="5">DATE(TheYear,9,1)-WEEKDAY(DATE(TheYear,9,1))+1</definedName>
    <definedName name="SepSun1" localSheetId="10">DATE(TheYear,9,1)-WEEKDAY(DATE(TheYear,9,1))+1</definedName>
    <definedName name="SepSun1" localSheetId="9">DATE(TheYear,9,1)-WEEKDAY(DATE(TheYear,9,1))+1</definedName>
    <definedName name="SepSun1" localSheetId="8">DATE(TheYear,9,1)-WEEKDAY(DATE(TheYear,9,1))+1</definedName>
    <definedName name="SepSun1" localSheetId="7">DATE(TheYear,9,1)-WEEKDAY(DATE(TheYear,9,1))+1</definedName>
    <definedName name="SepSun1" localSheetId="2">DATE(TheYear,9,1)-WEEKDAY(DATE(TheYear,9,1))+1</definedName>
    <definedName name="SepSun1" localSheetId="1">DATE(TheYear,9,1)-WEEKDAY(DATE(TheYear,9,1))+1</definedName>
    <definedName name="SepSun1" localSheetId="0">DATE([0]!TheYear,9,1)-WEEKDAY(DATE([0]!TheYear,9,1))+1</definedName>
    <definedName name="SepSun1">DATE(TheYear,9,1)-WEEKDAY(DATE(TheYear,9,1))+1</definedName>
    <definedName name="seruytrs" localSheetId="4">#REF!</definedName>
    <definedName name="seruytrs" localSheetId="3">#REF!</definedName>
    <definedName name="seruytrs" localSheetId="6">#REF!</definedName>
    <definedName name="seruytrs" localSheetId="5">#REF!</definedName>
    <definedName name="seruytrs" localSheetId="10">#REF!</definedName>
    <definedName name="seruytrs" localSheetId="9">#REF!</definedName>
    <definedName name="seruytrs" localSheetId="8">#REF!</definedName>
    <definedName name="seruytrs" localSheetId="7">#REF!</definedName>
    <definedName name="seruytrs" localSheetId="2">#REF!</definedName>
    <definedName name="seruytrs" localSheetId="1">#REF!</definedName>
    <definedName name="seruytrs" localSheetId="0">#REF!</definedName>
    <definedName name="seruytrs">#REF!</definedName>
    <definedName name="SFDGASDFGSFDG" localSheetId="4" hidden="1">OFFSET([15]!Data.Top.Left,1,0)</definedName>
    <definedName name="SFDGASDFGSFDG" localSheetId="6" hidden="1">OFFSET([15]!Data.Top.Left,1,0)</definedName>
    <definedName name="SFDGASDFGSFDG" localSheetId="10" hidden="1">OFFSET([15]!Data.Top.Left,1,0)</definedName>
    <definedName name="SFDGASDFGSFDG" localSheetId="8" hidden="1">OFFSET([15]!Data.Top.Left,1,0)</definedName>
    <definedName name="SFDGASDFGSFDG" localSheetId="2" hidden="1">OFFSET([15]!Data.Top.Left,1,0)</definedName>
    <definedName name="SFDGASDFGSFDG" localSheetId="0" hidden="1">OFFSET([15]!Data.Top.Left,1,0)</definedName>
    <definedName name="SFDGASDFGSFDG" hidden="1">OFFSET([15]!Data.Top.Left,1,0)</definedName>
    <definedName name="sfsafa" localSheetId="4">#REF!</definedName>
    <definedName name="sfsafa" localSheetId="3">#REF!</definedName>
    <definedName name="sfsafa" localSheetId="6">#REF!</definedName>
    <definedName name="sfsafa" localSheetId="5">#REF!</definedName>
    <definedName name="sfsafa" localSheetId="10">#REF!</definedName>
    <definedName name="sfsafa" localSheetId="9">#REF!</definedName>
    <definedName name="sfsafa" localSheetId="8">#REF!</definedName>
    <definedName name="sfsafa" localSheetId="7">#REF!</definedName>
    <definedName name="sfsafa" localSheetId="2">#REF!</definedName>
    <definedName name="sfsafa" localSheetId="1">#REF!</definedName>
    <definedName name="sfsafa" localSheetId="0">#REF!</definedName>
    <definedName name="sfsafa">#REF!</definedName>
    <definedName name="shady" localSheetId="4">#REF!</definedName>
    <definedName name="shady" localSheetId="3">#REF!</definedName>
    <definedName name="shady" localSheetId="6">#REF!</definedName>
    <definedName name="shady" localSheetId="5">#REF!</definedName>
    <definedName name="shady" localSheetId="10">#REF!</definedName>
    <definedName name="shady" localSheetId="9">#REF!</definedName>
    <definedName name="shady" localSheetId="8">#REF!</definedName>
    <definedName name="shady" localSheetId="7">#REF!</definedName>
    <definedName name="shady" localSheetId="2">#REF!</definedName>
    <definedName name="shady" localSheetId="1">#REF!</definedName>
    <definedName name="shady" localSheetId="0">#REF!</definedName>
    <definedName name="shady">#REF!</definedName>
    <definedName name="SHEET" localSheetId="4">#REF!</definedName>
    <definedName name="SHEET" localSheetId="3">#REF!</definedName>
    <definedName name="SHEET" localSheetId="6">#REF!</definedName>
    <definedName name="SHEET" localSheetId="5">#REF!</definedName>
    <definedName name="SHEET" localSheetId="10">#REF!</definedName>
    <definedName name="SHEET" localSheetId="9">#REF!</definedName>
    <definedName name="SHEET" localSheetId="8">#REF!</definedName>
    <definedName name="SHEET" localSheetId="7">#REF!</definedName>
    <definedName name="SHEET" localSheetId="2">#REF!</definedName>
    <definedName name="SHEET" localSheetId="1">#REF!</definedName>
    <definedName name="SHEET" localSheetId="0">#REF!</definedName>
    <definedName name="SHEET">#REF!</definedName>
    <definedName name="sheet2" localSheetId="4">#REF!</definedName>
    <definedName name="sheet2" localSheetId="3">#REF!</definedName>
    <definedName name="sheet2" localSheetId="6">#REF!</definedName>
    <definedName name="sheet2" localSheetId="5">#REF!</definedName>
    <definedName name="sheet2" localSheetId="10">#REF!</definedName>
    <definedName name="sheet2" localSheetId="9">#REF!</definedName>
    <definedName name="sheet2" localSheetId="8">#REF!</definedName>
    <definedName name="sheet2" localSheetId="7">#REF!</definedName>
    <definedName name="sheet2" localSheetId="2">#REF!</definedName>
    <definedName name="sheet2" localSheetId="1">#REF!</definedName>
    <definedName name="sheet2" localSheetId="0">#REF!</definedName>
    <definedName name="sheet2">#REF!</definedName>
    <definedName name="SIRIDTYK" localSheetId="4">#REF!</definedName>
    <definedName name="SIRIDTYK" localSheetId="3">#REF!</definedName>
    <definedName name="SIRIDTYK" localSheetId="6">#REF!</definedName>
    <definedName name="SIRIDTYK" localSheetId="5">#REF!</definedName>
    <definedName name="SIRIDTYK" localSheetId="10">#REF!</definedName>
    <definedName name="SIRIDTYK" localSheetId="9">#REF!</definedName>
    <definedName name="SIRIDTYK" localSheetId="8">#REF!</definedName>
    <definedName name="SIRIDTYK" localSheetId="7">#REF!</definedName>
    <definedName name="SIRIDTYK" localSheetId="2">#REF!</definedName>
    <definedName name="SIRIDTYK" localSheetId="1">#REF!</definedName>
    <definedName name="SIRIDTYK" localSheetId="0">#REF!</definedName>
    <definedName name="SIRIDTYK">#REF!</definedName>
    <definedName name="Slicer_ACTION">#N/A</definedName>
    <definedName name="Slicer_DEPARTEMENT">#N/A</definedName>
    <definedName name="Slicer_Group">#N/A</definedName>
    <definedName name="Slicer_ITEM">#N/A</definedName>
    <definedName name="Slicer_ITEM_TYPE">#N/A</definedName>
    <definedName name="Slicer_POSITION">#N/A</definedName>
    <definedName name="Slicer_Target_date">#N/A</definedName>
    <definedName name="Slicer_TYPE">#N/A</definedName>
    <definedName name="Slicer_Year">#N/A</definedName>
    <definedName name="Slicer_Year1">#N/A</definedName>
    <definedName name="Slicer_Years">#N/A</definedName>
    <definedName name="Slicer_اسم_صاحب_السكن">#N/A</definedName>
    <definedName name="SMH" localSheetId="4">MATCH(0.01,End_Bal,-1)+1</definedName>
    <definedName name="SMH" localSheetId="3">MATCH(0.01,End_Bal,-1)+1</definedName>
    <definedName name="SMH" localSheetId="6">MATCH(0.01,End_Bal,-1)+1</definedName>
    <definedName name="SMH" localSheetId="5">MATCH(0.01,End_Bal,-1)+1</definedName>
    <definedName name="SMH" localSheetId="10">MATCH(0.01,End_Bal,-1)+1</definedName>
    <definedName name="SMH" localSheetId="9">MATCH(0.01,End_Bal,-1)+1</definedName>
    <definedName name="SMH" localSheetId="8">MATCH(0.01,End_Bal,-1)+1</definedName>
    <definedName name="SMH" localSheetId="7">MATCH(0.01,End_Bal,-1)+1</definedName>
    <definedName name="SMH" localSheetId="2">MATCH(0.01,End_Bal,-1)+1</definedName>
    <definedName name="SMH" localSheetId="1">MATCH(0.01,End_Bal,-1)+1</definedName>
    <definedName name="SMH" localSheetId="0">MATCH(0.01,[0]!End_Bal,-1)+1</definedName>
    <definedName name="SMH">MATCH(0.01,End_Bal,-1)+1</definedName>
    <definedName name="SMHmmmmm" localSheetId="4">DATE(YEAR([0]!Loan_Start),MONTH([0]!Loan_Start)+Payment_Number,DAY([0]!Loan_Start))</definedName>
    <definedName name="SMHmmmmm" localSheetId="3">DATE(YEAR(Loan_Start),MONTH(Loan_Start)+Payment_Number,DAY(Loan_Start))</definedName>
    <definedName name="SMHmmmmm" localSheetId="6">DATE(YEAR([0]!Loan_Start),MONTH([0]!Loan_Start)+Payment_Number,DAY([0]!Loan_Start))</definedName>
    <definedName name="SMHmmmmm" localSheetId="5">DATE(YEAR(Loan_Start),MONTH(Loan_Start)+Payment_Number,DAY(Loan_Start))</definedName>
    <definedName name="SMHmmmmm" localSheetId="10">DATE(YEAR([0]!Loan_Start),MONTH([0]!Loan_Start)+Payment_Number,DAY([0]!Loan_Start))</definedName>
    <definedName name="SMHmmmmm" localSheetId="9">DATE(YEAR(Loan_Start),MONTH(Loan_Start)+Payment_Number,DAY(Loan_Start))</definedName>
    <definedName name="SMHmmmmm" localSheetId="8">DATE(YEAR([0]!Loan_Start),MONTH([0]!Loan_Start)+Payment_Number,DAY([0]!Loan_Start))</definedName>
    <definedName name="SMHmmmmm" localSheetId="7">DATE(YEAR(Loan_Start),MONTH(Loan_Start)+Payment_Number,DAY(Loan_Start))</definedName>
    <definedName name="SMHmmmmm" localSheetId="2">DATE(YEAR([0]!Loan_Start),MONTH([0]!Loan_Start)+Payment_Number,DAY([0]!Loan_Start))</definedName>
    <definedName name="SMHmmmmm" localSheetId="1">DATE(YEAR(Loan_Start),MONTH(Loan_Start)+Payment_Number,DAY(Loan_Start))</definedName>
    <definedName name="SMHmmmmm" localSheetId="0">DATE(YEAR([0]!Loan_Start),MONTH([0]!Loan_Start)+Payment_Number,DAY([0]!Loan_Start))</definedName>
    <definedName name="SMHmmmmm">DATE(YEAR(Loan_Start),MONTH(Loan_Start)+Payment_Number,DAY(Loan_Start))</definedName>
    <definedName name="sobhy" localSheetId="4">#REF!</definedName>
    <definedName name="sobhy" localSheetId="3">#REF!</definedName>
    <definedName name="sobhy" localSheetId="6">#REF!</definedName>
    <definedName name="sobhy" localSheetId="5">#REF!</definedName>
    <definedName name="sobhy" localSheetId="10">#REF!</definedName>
    <definedName name="sobhy" localSheetId="9">#REF!</definedName>
    <definedName name="sobhy" localSheetId="8">#REF!</definedName>
    <definedName name="sobhy" localSheetId="7">#REF!</definedName>
    <definedName name="sobhy" localSheetId="2">#REF!</definedName>
    <definedName name="sobhy" localSheetId="1">#REF!</definedName>
    <definedName name="sobhy" localSheetId="0">#REF!</definedName>
    <definedName name="sobhy">#REF!</definedName>
    <definedName name="SP.ACTIVITIES" localSheetId="4">MATCH(0.01,#REF!,-1)+1</definedName>
    <definedName name="SP.ACTIVITIES" localSheetId="3">MATCH(0.01,#REF!,-1)+1</definedName>
    <definedName name="SP.ACTIVITIES" localSheetId="6">MATCH(0.01,#REF!,-1)+1</definedName>
    <definedName name="SP.ACTIVITIES" localSheetId="5">MATCH(0.01,#REF!,-1)+1</definedName>
    <definedName name="SP.ACTIVITIES" localSheetId="10">MATCH(0.01,#REF!,-1)+1</definedName>
    <definedName name="SP.ACTIVITIES" localSheetId="9">MATCH(0.01,#REF!,-1)+1</definedName>
    <definedName name="SP.ACTIVITIES" localSheetId="8">MATCH(0.01,#REF!,-1)+1</definedName>
    <definedName name="SP.ACTIVITIES" localSheetId="7">MATCH(0.01,#REF!,-1)+1</definedName>
    <definedName name="SP.ACTIVITIES" localSheetId="2">MATCH(0.01,#REF!,-1)+1</definedName>
    <definedName name="SP.ACTIVITIES" localSheetId="1">MATCH(0.01,#REF!,-1)+1</definedName>
    <definedName name="SP.ACTIVITIES" localSheetId="0">MATCH(0.01,#REF!,-1)+1</definedName>
    <definedName name="SP.ACTIVITIES">MATCH(0.01,#REF!,-1)+1</definedName>
    <definedName name="SPEECH" localSheetId="4">#REF!</definedName>
    <definedName name="SPEECH" localSheetId="3">#REF!</definedName>
    <definedName name="SPEECH" localSheetId="6">#REF!</definedName>
    <definedName name="SPEECH" localSheetId="5">#REF!</definedName>
    <definedName name="SPEECH" localSheetId="10">#REF!</definedName>
    <definedName name="SPEECH" localSheetId="9">#REF!</definedName>
    <definedName name="SPEECH" localSheetId="8">#REF!</definedName>
    <definedName name="SPEECH" localSheetId="7">#REF!</definedName>
    <definedName name="SPEECH" localSheetId="2">#REF!</definedName>
    <definedName name="SPEECH" localSheetId="1">#REF!</definedName>
    <definedName name="SPEECH" localSheetId="0">#REF!</definedName>
    <definedName name="SPEECH">#REF!</definedName>
    <definedName name="SRTUWRI" localSheetId="4">#REF!</definedName>
    <definedName name="SRTUWRI" localSheetId="3">#REF!</definedName>
    <definedName name="SRTUWRI" localSheetId="6">#REF!</definedName>
    <definedName name="SRTUWRI" localSheetId="5">#REF!</definedName>
    <definedName name="SRTUWRI" localSheetId="10">#REF!</definedName>
    <definedName name="SRTUWRI" localSheetId="9">#REF!</definedName>
    <definedName name="SRTUWRI" localSheetId="8">#REF!</definedName>
    <definedName name="SRTUWRI" localSheetId="7">#REF!</definedName>
    <definedName name="SRTUWRI" localSheetId="2">#REF!</definedName>
    <definedName name="SRTUWRI" localSheetId="1">#REF!</definedName>
    <definedName name="SRTUWRI" localSheetId="0">#REF!</definedName>
    <definedName name="SRTUWRI">#REF!</definedName>
    <definedName name="ss" localSheetId="4">#REF!</definedName>
    <definedName name="ss" localSheetId="3">#REF!</definedName>
    <definedName name="ss" localSheetId="6">#REF!</definedName>
    <definedName name="ss" localSheetId="5">#REF!</definedName>
    <definedName name="ss" localSheetId="10">#REF!</definedName>
    <definedName name="ss" localSheetId="9">#REF!</definedName>
    <definedName name="ss" localSheetId="8">#REF!</definedName>
    <definedName name="ss" localSheetId="7">#REF!</definedName>
    <definedName name="ss" localSheetId="2">#REF!</definedName>
    <definedName name="ss" localSheetId="1">#REF!</definedName>
    <definedName name="ss" localSheetId="0">#REF!</definedName>
    <definedName name="ss">#REF!</definedName>
    <definedName name="sss" localSheetId="4">#REF!</definedName>
    <definedName name="sss" localSheetId="3">#REF!</definedName>
    <definedName name="sss" localSheetId="6">#REF!</definedName>
    <definedName name="sss" localSheetId="5">#REF!</definedName>
    <definedName name="sss" localSheetId="10">#REF!</definedName>
    <definedName name="sss" localSheetId="9">#REF!</definedName>
    <definedName name="sss" localSheetId="8">#REF!</definedName>
    <definedName name="sss" localSheetId="7">#REF!</definedName>
    <definedName name="sss" localSheetId="2">#REF!</definedName>
    <definedName name="sss" localSheetId="1">#REF!</definedName>
    <definedName name="sss" localSheetId="0">#REF!</definedName>
    <definedName name="sss">#REF!</definedName>
    <definedName name="ssss" localSheetId="4">#REF!</definedName>
    <definedName name="ssss" localSheetId="3">#REF!</definedName>
    <definedName name="ssss" localSheetId="6">#REF!</definedName>
    <definedName name="ssss" localSheetId="5">#REF!</definedName>
    <definedName name="ssss" localSheetId="10">#REF!</definedName>
    <definedName name="ssss" localSheetId="9">#REF!</definedName>
    <definedName name="ssss" localSheetId="8">#REF!</definedName>
    <definedName name="ssss" localSheetId="7">#REF!</definedName>
    <definedName name="ssss" localSheetId="2">#REF!</definedName>
    <definedName name="ssss" localSheetId="1">#REF!</definedName>
    <definedName name="ssss" localSheetId="0">#REF!</definedName>
    <definedName name="ssss">#REF!</definedName>
    <definedName name="sssss" localSheetId="4">#REF!</definedName>
    <definedName name="sssss" localSheetId="3">#REF!</definedName>
    <definedName name="sssss" localSheetId="6">#REF!</definedName>
    <definedName name="sssss" localSheetId="5">#REF!</definedName>
    <definedName name="sssss" localSheetId="10">#REF!</definedName>
    <definedName name="sssss" localSheetId="9">#REF!</definedName>
    <definedName name="sssss" localSheetId="8">#REF!</definedName>
    <definedName name="sssss" localSheetId="7">#REF!</definedName>
    <definedName name="sssss" localSheetId="2">#REF!</definedName>
    <definedName name="sssss" localSheetId="1">#REF!</definedName>
    <definedName name="sssss" localSheetId="0">#REF!</definedName>
    <definedName name="sssss">#REF!</definedName>
    <definedName name="START" localSheetId="4">#REF!</definedName>
    <definedName name="START" localSheetId="3">#REF!</definedName>
    <definedName name="START" localSheetId="6">#REF!</definedName>
    <definedName name="START" localSheetId="5">#REF!</definedName>
    <definedName name="START" localSheetId="10">#REF!</definedName>
    <definedName name="START" localSheetId="9">#REF!</definedName>
    <definedName name="START" localSheetId="8">#REF!</definedName>
    <definedName name="START" localSheetId="7">#REF!</definedName>
    <definedName name="START" localSheetId="2">#REF!</definedName>
    <definedName name="START" localSheetId="1">#REF!</definedName>
    <definedName name="START" localSheetId="0">#REF!</definedName>
    <definedName name="START">#REF!</definedName>
    <definedName name="Starting_Op_Cost" localSheetId="4">[16]BEP!#REF!</definedName>
    <definedName name="Starting_Op_Cost" localSheetId="3">[16]BEP!#REF!</definedName>
    <definedName name="Starting_Op_Cost" localSheetId="6">[16]BEP!#REF!</definedName>
    <definedName name="Starting_Op_Cost" localSheetId="5">[16]BEP!#REF!</definedName>
    <definedName name="Starting_Op_Cost" localSheetId="10">[16]BEP!#REF!</definedName>
    <definedName name="Starting_Op_Cost" localSheetId="9">[16]BEP!#REF!</definedName>
    <definedName name="Starting_Op_Cost" localSheetId="8">[16]BEP!#REF!</definedName>
    <definedName name="Starting_Op_Cost" localSheetId="7">[16]BEP!#REF!</definedName>
    <definedName name="Starting_Op_Cost" localSheetId="2">[16]BEP!#REF!</definedName>
    <definedName name="Starting_Op_Cost" localSheetId="1">[16]BEP!#REF!</definedName>
    <definedName name="Starting_Op_Cost">[16]BEP!#REF!</definedName>
    <definedName name="Starting_Revenue" localSheetId="4">[16]BEP!#REF!</definedName>
    <definedName name="Starting_Revenue" localSheetId="3">[16]BEP!#REF!</definedName>
    <definedName name="Starting_Revenue" localSheetId="6">[16]BEP!#REF!</definedName>
    <definedName name="Starting_Revenue" localSheetId="5">[16]BEP!#REF!</definedName>
    <definedName name="Starting_Revenue" localSheetId="10">[16]BEP!#REF!</definedName>
    <definedName name="Starting_Revenue" localSheetId="9">[16]BEP!#REF!</definedName>
    <definedName name="Starting_Revenue" localSheetId="8">[16]BEP!#REF!</definedName>
    <definedName name="Starting_Revenue" localSheetId="7">[16]BEP!#REF!</definedName>
    <definedName name="Starting_Revenue" localSheetId="2">[16]BEP!#REF!</definedName>
    <definedName name="Starting_Revenue" localSheetId="1">[16]BEP!#REF!</definedName>
    <definedName name="Starting_Revenue">[16]BEP!#REF!</definedName>
    <definedName name="statment8" localSheetId="4">#REF!</definedName>
    <definedName name="statment8" localSheetId="3">#REF!</definedName>
    <definedName name="statment8" localSheetId="6">#REF!</definedName>
    <definedName name="statment8" localSheetId="5">#REF!</definedName>
    <definedName name="statment8" localSheetId="10">#REF!</definedName>
    <definedName name="statment8" localSheetId="9">#REF!</definedName>
    <definedName name="statment8" localSheetId="8">#REF!</definedName>
    <definedName name="statment8" localSheetId="7">#REF!</definedName>
    <definedName name="statment8" localSheetId="2">#REF!</definedName>
    <definedName name="statment8" localSheetId="1">#REF!</definedName>
    <definedName name="statment8" localSheetId="0">#REF!</definedName>
    <definedName name="statment8">#REF!</definedName>
    <definedName name="steps" localSheetId="4">'[32]Coaching Form'!#REF!</definedName>
    <definedName name="steps" localSheetId="3">'[32]Coaching Form'!#REF!</definedName>
    <definedName name="steps" localSheetId="6">'[32]Coaching Form'!#REF!</definedName>
    <definedName name="steps" localSheetId="5">'[32]Coaching Form'!#REF!</definedName>
    <definedName name="steps" localSheetId="10">'[32]Coaching Form'!#REF!</definedName>
    <definedName name="steps" localSheetId="9">'[32]Coaching Form'!#REF!</definedName>
    <definedName name="steps" localSheetId="8">'[32]Coaching Form'!#REF!</definedName>
    <definedName name="steps" localSheetId="7">'[32]Coaching Form'!#REF!</definedName>
    <definedName name="steps" localSheetId="2">'[32]Coaching Form'!#REF!</definedName>
    <definedName name="steps" localSheetId="1">'[32]Coaching Form'!#REF!</definedName>
    <definedName name="steps">'[32]Coaching Form'!#REF!</definedName>
    <definedName name="Structure" localSheetId="4">#REF!</definedName>
    <definedName name="Structure" localSheetId="3">#REF!</definedName>
    <definedName name="Structure" localSheetId="6">#REF!</definedName>
    <definedName name="Structure" localSheetId="5">#REF!</definedName>
    <definedName name="Structure" localSheetId="10">#REF!</definedName>
    <definedName name="Structure" localSheetId="9">#REF!</definedName>
    <definedName name="Structure" localSheetId="8">#REF!</definedName>
    <definedName name="Structure" localSheetId="7">#REF!</definedName>
    <definedName name="Structure" localSheetId="2">#REF!</definedName>
    <definedName name="Structure" localSheetId="1">#REF!</definedName>
    <definedName name="Structure" localSheetId="0">#REF!</definedName>
    <definedName name="Structure">#REF!</definedName>
    <definedName name="substeps" localSheetId="4">'[32]Coaching Form'!#REF!</definedName>
    <definedName name="substeps" localSheetId="3">'[32]Coaching Form'!#REF!</definedName>
    <definedName name="substeps" localSheetId="6">'[32]Coaching Form'!#REF!</definedName>
    <definedName name="substeps" localSheetId="5">'[32]Coaching Form'!#REF!</definedName>
    <definedName name="substeps" localSheetId="10">'[32]Coaching Form'!#REF!</definedName>
    <definedName name="substeps" localSheetId="9">'[32]Coaching Form'!#REF!</definedName>
    <definedName name="substeps" localSheetId="8">'[32]Coaching Form'!#REF!</definedName>
    <definedName name="substeps" localSheetId="7">'[32]Coaching Form'!#REF!</definedName>
    <definedName name="substeps" localSheetId="2">'[32]Coaching Form'!#REF!</definedName>
    <definedName name="substeps" localSheetId="1">'[32]Coaching Form'!#REF!</definedName>
    <definedName name="substeps">'[32]Coaching Form'!#REF!</definedName>
    <definedName name="t" localSheetId="4">DATE(YEAR([0]!Loan_Start),MONTH([0]!Loan_Start)+Payment_Number,DAY([0]!Loan_Start))</definedName>
    <definedName name="t" localSheetId="3">DATE(YEAR(Loan_Start),MONTH(Loan_Start)+Payment_Number,DAY(Loan_Start))</definedName>
    <definedName name="t" localSheetId="6">DATE(YEAR([0]!Loan_Start),MONTH([0]!Loan_Start)+Payment_Number,DAY([0]!Loan_Start))</definedName>
    <definedName name="t" localSheetId="5">DATE(YEAR(Loan_Start),MONTH(Loan_Start)+Payment_Number,DAY(Loan_Start))</definedName>
    <definedName name="t" localSheetId="10">DATE(YEAR([0]!Loan_Start),MONTH([0]!Loan_Start)+Payment_Number,DAY([0]!Loan_Start))</definedName>
    <definedName name="t" localSheetId="9">DATE(YEAR(Loan_Start),MONTH(Loan_Start)+Payment_Number,DAY(Loan_Start))</definedName>
    <definedName name="t" localSheetId="8">DATE(YEAR([0]!Loan_Start),MONTH([0]!Loan_Start)+Payment_Number,DAY([0]!Loan_Start))</definedName>
    <definedName name="t" localSheetId="7">DATE(YEAR(Loan_Start),MONTH(Loan_Start)+Payment_Number,DAY(Loan_Start))</definedName>
    <definedName name="t" localSheetId="2">DATE(YEAR([0]!Loan_Start),MONTH([0]!Loan_Start)+Payment_Number,DAY([0]!Loan_Start))</definedName>
    <definedName name="t" localSheetId="1">DATE(YEAR(Loan_Start),MONTH(Loan_Start)+Payment_Number,DAY(Loan_Start))</definedName>
    <definedName name="t" localSheetId="0">DATE(YEAR([0]!Loan_Start),MONTH([0]!Loan_Start)+Payment_Number,DAY([0]!Loan_Start))</definedName>
    <definedName name="t">DATE(YEAR(Loan_Start),MONTH(Loan_Start)+Payment_Number,DAY(Loan_Start))</definedName>
    <definedName name="taher" localSheetId="4">#REF!</definedName>
    <definedName name="taher" localSheetId="3">#REF!</definedName>
    <definedName name="taher" localSheetId="6">#REF!</definedName>
    <definedName name="taher" localSheetId="5">#REF!</definedName>
    <definedName name="taher" localSheetId="10">#REF!</definedName>
    <definedName name="taher" localSheetId="9">#REF!</definedName>
    <definedName name="taher" localSheetId="8">#REF!</definedName>
    <definedName name="taher" localSheetId="7">#REF!</definedName>
    <definedName name="taher" localSheetId="2">#REF!</definedName>
    <definedName name="taher" localSheetId="1">#REF!</definedName>
    <definedName name="taher" localSheetId="0">#REF!</definedName>
    <definedName name="taher">#REF!</definedName>
    <definedName name="talal" localSheetId="4">#REF!</definedName>
    <definedName name="talal" localSheetId="3">#REF!</definedName>
    <definedName name="talal" localSheetId="6">#REF!</definedName>
    <definedName name="talal" localSheetId="5">#REF!</definedName>
    <definedName name="talal" localSheetId="10">#REF!</definedName>
    <definedName name="talal" localSheetId="9">#REF!</definedName>
    <definedName name="talal" localSheetId="8">#REF!</definedName>
    <definedName name="talal" localSheetId="7">#REF!</definedName>
    <definedName name="talal" localSheetId="2">#REF!</definedName>
    <definedName name="talal" localSheetId="1">#REF!</definedName>
    <definedName name="talal" localSheetId="0">#REF!</definedName>
    <definedName name="talal">#REF!</definedName>
    <definedName name="tarek" localSheetId="4">#REF!</definedName>
    <definedName name="tarek" localSheetId="3">#REF!</definedName>
    <definedName name="tarek" localSheetId="6">#REF!</definedName>
    <definedName name="tarek" localSheetId="5">#REF!</definedName>
    <definedName name="tarek" localSheetId="10">#REF!</definedName>
    <definedName name="tarek" localSheetId="9">#REF!</definedName>
    <definedName name="tarek" localSheetId="8">#REF!</definedName>
    <definedName name="tarek" localSheetId="7">#REF!</definedName>
    <definedName name="tarek" localSheetId="2">#REF!</definedName>
    <definedName name="tarek" localSheetId="1">#REF!</definedName>
    <definedName name="tarek" localSheetId="0">#REF!</definedName>
    <definedName name="tarek">#REF!</definedName>
    <definedName name="Task_Owner" localSheetId="4">'[33]cath activity'!#REF!</definedName>
    <definedName name="Task_Owner" localSheetId="3">'[33]cath activity'!#REF!</definedName>
    <definedName name="Task_Owner" localSheetId="6">'[33]cath activity'!#REF!</definedName>
    <definedName name="Task_Owner" localSheetId="5">'[33]cath activity'!#REF!</definedName>
    <definedName name="Task_Owner" localSheetId="10">'[33]cath activity'!#REF!</definedName>
    <definedName name="Task_Owner" localSheetId="9">'[33]cath activity'!#REF!</definedName>
    <definedName name="Task_Owner" localSheetId="8">'[33]cath activity'!#REF!</definedName>
    <definedName name="Task_Owner" localSheetId="7">'[33]cath activity'!#REF!</definedName>
    <definedName name="Task_Owner" localSheetId="2">'[33]cath activity'!#REF!</definedName>
    <definedName name="Task_Owner" localSheetId="1">'[33]cath activity'!#REF!</definedName>
    <definedName name="Task_Owner" localSheetId="0">'[33]cath activity'!#REF!</definedName>
    <definedName name="Task_Owner">'[33]cath activity'!#REF!</definedName>
    <definedName name="TAX" localSheetId="4">#REF!</definedName>
    <definedName name="TAX" localSheetId="3">#REF!</definedName>
    <definedName name="TAX" localSheetId="6">#REF!</definedName>
    <definedName name="TAX" localSheetId="5">#REF!</definedName>
    <definedName name="TAX" localSheetId="10">#REF!</definedName>
    <definedName name="TAX" localSheetId="9">#REF!</definedName>
    <definedName name="TAX" localSheetId="8">#REF!</definedName>
    <definedName name="TAX" localSheetId="7">#REF!</definedName>
    <definedName name="TAX" localSheetId="2">#REF!</definedName>
    <definedName name="TAX" localSheetId="1">#REF!</definedName>
    <definedName name="TAX" localSheetId="0">#REF!</definedName>
    <definedName name="TAX">#REF!</definedName>
    <definedName name="teuytru" localSheetId="4">#REF!</definedName>
    <definedName name="teuytru" localSheetId="3">#REF!</definedName>
    <definedName name="teuytru" localSheetId="6">#REF!</definedName>
    <definedName name="teuytru" localSheetId="5">#REF!</definedName>
    <definedName name="teuytru" localSheetId="10">#REF!</definedName>
    <definedName name="teuytru" localSheetId="9">#REF!</definedName>
    <definedName name="teuytru" localSheetId="8">#REF!</definedName>
    <definedName name="teuytru" localSheetId="7">#REF!</definedName>
    <definedName name="teuytru" localSheetId="2">#REF!</definedName>
    <definedName name="teuytru" localSheetId="1">#REF!</definedName>
    <definedName name="teuytru" localSheetId="0">#REF!</definedName>
    <definedName name="teuytru">#REF!</definedName>
    <definedName name="TFJTUTYJ" localSheetId="4">#REF!</definedName>
    <definedName name="TFJTUTYJ" localSheetId="3">#REF!</definedName>
    <definedName name="TFJTUTYJ" localSheetId="6">#REF!</definedName>
    <definedName name="TFJTUTYJ" localSheetId="5">#REF!</definedName>
    <definedName name="TFJTUTYJ" localSheetId="10">#REF!</definedName>
    <definedName name="TFJTUTYJ" localSheetId="9">#REF!</definedName>
    <definedName name="TFJTUTYJ" localSheetId="8">#REF!</definedName>
    <definedName name="TFJTUTYJ" localSheetId="7">#REF!</definedName>
    <definedName name="TFJTUTYJ" localSheetId="2">#REF!</definedName>
    <definedName name="TFJTUTYJ" localSheetId="1">#REF!</definedName>
    <definedName name="TFJTUTYJ" localSheetId="0">#REF!</definedName>
    <definedName name="TFJTUTYJ">#REF!</definedName>
    <definedName name="TFUDRTU">#N/A</definedName>
    <definedName name="TheYear">[34]Calendar!$Z$2</definedName>
    <definedName name="threehundred" localSheetId="4">#REF!</definedName>
    <definedName name="threehundred" localSheetId="3">#REF!</definedName>
    <definedName name="threehundred" localSheetId="6">#REF!</definedName>
    <definedName name="threehundred" localSheetId="5">#REF!</definedName>
    <definedName name="threehundred" localSheetId="10">#REF!</definedName>
    <definedName name="threehundred" localSheetId="9">#REF!</definedName>
    <definedName name="threehundred" localSheetId="8">#REF!</definedName>
    <definedName name="threehundred" localSheetId="7">#REF!</definedName>
    <definedName name="threehundred" localSheetId="2">#REF!</definedName>
    <definedName name="threehundred" localSheetId="1">#REF!</definedName>
    <definedName name="threehundred" localSheetId="0">#REF!</definedName>
    <definedName name="threehundred">#REF!</definedName>
    <definedName name="tiyuouip" localSheetId="4">#REF!</definedName>
    <definedName name="tiyuouip" localSheetId="3">#REF!</definedName>
    <definedName name="tiyuouip" localSheetId="6">#REF!</definedName>
    <definedName name="tiyuouip" localSheetId="5">#REF!</definedName>
    <definedName name="tiyuouip" localSheetId="10">#REF!</definedName>
    <definedName name="tiyuouip" localSheetId="9">#REF!</definedName>
    <definedName name="tiyuouip" localSheetId="8">#REF!</definedName>
    <definedName name="tiyuouip" localSheetId="7">#REF!</definedName>
    <definedName name="tiyuouip" localSheetId="2">#REF!</definedName>
    <definedName name="tiyuouip" localSheetId="1">#REF!</definedName>
    <definedName name="tiyuouip" localSheetId="0">#REF!</definedName>
    <definedName name="tiyuouip">#REF!</definedName>
    <definedName name="Total_Interest" localSheetId="4">#REF!</definedName>
    <definedName name="Total_Interest" localSheetId="3">#REF!</definedName>
    <definedName name="Total_Interest" localSheetId="6">#REF!</definedName>
    <definedName name="Total_Interest" localSheetId="5">#REF!</definedName>
    <definedName name="Total_Interest" localSheetId="10">#REF!</definedName>
    <definedName name="Total_Interest" localSheetId="9">#REF!</definedName>
    <definedName name="Total_Interest" localSheetId="8">#REF!</definedName>
    <definedName name="Total_Interest" localSheetId="7">#REF!</definedName>
    <definedName name="Total_Interest" localSheetId="2">#REF!</definedName>
    <definedName name="Total_Interest" localSheetId="1">#REF!</definedName>
    <definedName name="Total_Interest" localSheetId="0">#REF!</definedName>
    <definedName name="Total_Interest">#REF!</definedName>
    <definedName name="Total_Pay">'[3]Loan Amortization Schedule'!$F$18:$F$497</definedName>
    <definedName name="Total_Project_Cost">[16]BEP!#REF!</definedName>
    <definedName name="Total_Project_Value">[16]BEP!#REF!</definedName>
    <definedName name="trdudtyi" localSheetId="4">#REF!</definedName>
    <definedName name="trdudtyi" localSheetId="3">#REF!</definedName>
    <definedName name="trdudtyi" localSheetId="6">#REF!</definedName>
    <definedName name="trdudtyi" localSheetId="5">#REF!</definedName>
    <definedName name="trdudtyi" localSheetId="10">#REF!</definedName>
    <definedName name="trdudtyi" localSheetId="9">#REF!</definedName>
    <definedName name="trdudtyi" localSheetId="8">#REF!</definedName>
    <definedName name="trdudtyi" localSheetId="7">#REF!</definedName>
    <definedName name="trdudtyi" localSheetId="2">#REF!</definedName>
    <definedName name="trdudtyi" localSheetId="1">#REF!</definedName>
    <definedName name="trdudtyi" localSheetId="0">#REF!</definedName>
    <definedName name="trdudtyi">#REF!</definedName>
    <definedName name="trityi" localSheetId="4">#REF!</definedName>
    <definedName name="trityi" localSheetId="3">#REF!</definedName>
    <definedName name="trityi" localSheetId="6">#REF!</definedName>
    <definedName name="trityi" localSheetId="5">#REF!</definedName>
    <definedName name="trityi" localSheetId="10">#REF!</definedName>
    <definedName name="trityi" localSheetId="9">#REF!</definedName>
    <definedName name="trityi" localSheetId="8">#REF!</definedName>
    <definedName name="trityi" localSheetId="7">#REF!</definedName>
    <definedName name="trityi" localSheetId="2">#REF!</definedName>
    <definedName name="trityi" localSheetId="1">#REF!</definedName>
    <definedName name="trityi" localSheetId="0">#REF!</definedName>
    <definedName name="trityi">#REF!</definedName>
    <definedName name="trrrrrjf" localSheetId="4">#REF!</definedName>
    <definedName name="trrrrrjf" localSheetId="3">#REF!</definedName>
    <definedName name="trrrrrjf" localSheetId="6">#REF!</definedName>
    <definedName name="trrrrrjf" localSheetId="5">#REF!</definedName>
    <definedName name="trrrrrjf" localSheetId="10">#REF!</definedName>
    <definedName name="trrrrrjf" localSheetId="9">#REF!</definedName>
    <definedName name="trrrrrjf" localSheetId="8">#REF!</definedName>
    <definedName name="trrrrrjf" localSheetId="7">#REF!</definedName>
    <definedName name="trrrrrjf" localSheetId="2">#REF!</definedName>
    <definedName name="trrrrrjf" localSheetId="1">#REF!</definedName>
    <definedName name="trrrrrjf" localSheetId="0">#REF!</definedName>
    <definedName name="trrrrrjf">#REF!</definedName>
    <definedName name="TRUTRDU" localSheetId="4">#REF!</definedName>
    <definedName name="TRUTRDU" localSheetId="3">#REF!</definedName>
    <definedName name="TRUTRDU" localSheetId="6">#REF!</definedName>
    <definedName name="TRUTRDU" localSheetId="5">#REF!</definedName>
    <definedName name="TRUTRDU" localSheetId="10">#REF!</definedName>
    <definedName name="TRUTRDU" localSheetId="9">#REF!</definedName>
    <definedName name="TRUTRDU" localSheetId="8">#REF!</definedName>
    <definedName name="TRUTRDU" localSheetId="7">#REF!</definedName>
    <definedName name="TRUTRDU" localSheetId="2">#REF!</definedName>
    <definedName name="TRUTRDU" localSheetId="1">#REF!</definedName>
    <definedName name="TRUTRDU" localSheetId="0">#REF!</definedName>
    <definedName name="TRUTRDU">#REF!</definedName>
    <definedName name="trutyiity" localSheetId="4">#REF!</definedName>
    <definedName name="trutyiity" localSheetId="3">#REF!</definedName>
    <definedName name="trutyiity" localSheetId="6">#REF!</definedName>
    <definedName name="trutyiity" localSheetId="5">#REF!</definedName>
    <definedName name="trutyiity" localSheetId="10">#REF!</definedName>
    <definedName name="trutyiity" localSheetId="9">#REF!</definedName>
    <definedName name="trutyiity" localSheetId="8">#REF!</definedName>
    <definedName name="trutyiity" localSheetId="7">#REF!</definedName>
    <definedName name="trutyiity" localSheetId="2">#REF!</definedName>
    <definedName name="trutyiity" localSheetId="1">#REF!</definedName>
    <definedName name="trutyiity" localSheetId="0">#REF!</definedName>
    <definedName name="trutyiity">#REF!</definedName>
    <definedName name="trutyui" localSheetId="4">#REF!</definedName>
    <definedName name="trutyui" localSheetId="3">#REF!</definedName>
    <definedName name="trutyui" localSheetId="6">#REF!</definedName>
    <definedName name="trutyui" localSheetId="5">#REF!</definedName>
    <definedName name="trutyui" localSheetId="10">#REF!</definedName>
    <definedName name="trutyui" localSheetId="9">#REF!</definedName>
    <definedName name="trutyui" localSheetId="8">#REF!</definedName>
    <definedName name="trutyui" localSheetId="7">#REF!</definedName>
    <definedName name="trutyui" localSheetId="2">#REF!</definedName>
    <definedName name="trutyui" localSheetId="1">#REF!</definedName>
    <definedName name="trutyui" localSheetId="0">#REF!</definedName>
    <definedName name="trutyui">#REF!</definedName>
    <definedName name="TSUSUJ">MATCH(0.01,'[12]General  (3)'!End_Bal,-1)+1</definedName>
    <definedName name="tudruut" localSheetId="4">#REF!</definedName>
    <definedName name="tudruut" localSheetId="3">#REF!</definedName>
    <definedName name="tudruut" localSheetId="6">#REF!</definedName>
    <definedName name="tudruut" localSheetId="5">#REF!</definedName>
    <definedName name="tudruut" localSheetId="10">#REF!</definedName>
    <definedName name="tudruut" localSheetId="9">#REF!</definedName>
    <definedName name="tudruut" localSheetId="8">#REF!</definedName>
    <definedName name="tudruut" localSheetId="7">#REF!</definedName>
    <definedName name="tudruut" localSheetId="2">#REF!</definedName>
    <definedName name="tudruut" localSheetId="1">#REF!</definedName>
    <definedName name="tudruut" localSheetId="0">#REF!</definedName>
    <definedName name="tudruut">#REF!</definedName>
    <definedName name="twohundred" localSheetId="4">#REF!</definedName>
    <definedName name="twohundred" localSheetId="3">#REF!</definedName>
    <definedName name="twohundred" localSheetId="6">#REF!</definedName>
    <definedName name="twohundred" localSheetId="5">#REF!</definedName>
    <definedName name="twohundred" localSheetId="10">#REF!</definedName>
    <definedName name="twohundred" localSheetId="9">#REF!</definedName>
    <definedName name="twohundred" localSheetId="8">#REF!</definedName>
    <definedName name="twohundred" localSheetId="7">#REF!</definedName>
    <definedName name="twohundred" localSheetId="2">#REF!</definedName>
    <definedName name="twohundred" localSheetId="1">#REF!</definedName>
    <definedName name="twohundred" localSheetId="0">#REF!</definedName>
    <definedName name="twohundred">#REF!</definedName>
    <definedName name="TWtWTYG" localSheetId="4">#REF!</definedName>
    <definedName name="TWtWTYG" localSheetId="3">#REF!</definedName>
    <definedName name="TWtWTYG" localSheetId="6">#REF!</definedName>
    <definedName name="TWtWTYG" localSheetId="5">#REF!</definedName>
    <definedName name="TWtWTYG" localSheetId="10">#REF!</definedName>
    <definedName name="TWtWTYG" localSheetId="9">#REF!</definedName>
    <definedName name="TWtWTYG" localSheetId="8">#REF!</definedName>
    <definedName name="TWtWTYG" localSheetId="7">#REF!</definedName>
    <definedName name="TWtWTYG" localSheetId="2">#REF!</definedName>
    <definedName name="TWtWTYG" localSheetId="1">#REF!</definedName>
    <definedName name="TWtWTYG" localSheetId="0">#REF!</definedName>
    <definedName name="TWtWTYG">#REF!</definedName>
    <definedName name="twwTer" localSheetId="4">#REF!</definedName>
    <definedName name="twwTer" localSheetId="3">#REF!</definedName>
    <definedName name="twwTer" localSheetId="6">#REF!</definedName>
    <definedName name="twwTer" localSheetId="5">#REF!</definedName>
    <definedName name="twwTer" localSheetId="10">#REF!</definedName>
    <definedName name="twwTer" localSheetId="9">#REF!</definedName>
    <definedName name="twwTer" localSheetId="8">#REF!</definedName>
    <definedName name="twwTer" localSheetId="7">#REF!</definedName>
    <definedName name="twwTer" localSheetId="2">#REF!</definedName>
    <definedName name="twwTer" localSheetId="1">#REF!</definedName>
    <definedName name="twwTer" localSheetId="0">#REF!</definedName>
    <definedName name="twwTer">#REF!</definedName>
    <definedName name="TYIRTI" localSheetId="4">#REF!</definedName>
    <definedName name="TYIRTI" localSheetId="3">#REF!</definedName>
    <definedName name="TYIRTI" localSheetId="6">#REF!</definedName>
    <definedName name="TYIRTI" localSheetId="5">#REF!</definedName>
    <definedName name="TYIRTI" localSheetId="10">#REF!</definedName>
    <definedName name="TYIRTI" localSheetId="9">#REF!</definedName>
    <definedName name="TYIRTI" localSheetId="8">#REF!</definedName>
    <definedName name="TYIRTI" localSheetId="7">#REF!</definedName>
    <definedName name="TYIRTI" localSheetId="2">#REF!</definedName>
    <definedName name="TYIRTI" localSheetId="1">#REF!</definedName>
    <definedName name="TYIRTI" localSheetId="0">#REF!</definedName>
    <definedName name="TYIRTI">#REF!</definedName>
    <definedName name="TYITRYI" localSheetId="4">#REF!</definedName>
    <definedName name="TYITRYI" localSheetId="3">#REF!</definedName>
    <definedName name="TYITRYI" localSheetId="6">#REF!</definedName>
    <definedName name="TYITRYI" localSheetId="5">#REF!</definedName>
    <definedName name="TYITRYI" localSheetId="10">#REF!</definedName>
    <definedName name="TYITRYI" localSheetId="9">#REF!</definedName>
    <definedName name="TYITRYI" localSheetId="8">#REF!</definedName>
    <definedName name="TYITRYI" localSheetId="7">#REF!</definedName>
    <definedName name="TYITRYI" localSheetId="2">#REF!</definedName>
    <definedName name="TYITRYI" localSheetId="1">#REF!</definedName>
    <definedName name="TYITRYI" localSheetId="0">#REF!</definedName>
    <definedName name="TYITRYI">#REF!</definedName>
    <definedName name="tyiygtv" localSheetId="4">DATE(YEAR('[12]General  (3)'!Loan_Start),MONTH('[12]General  (3)'!Loan_Start)+Payment_Number,DAY('[12]General  (3)'!Loan_Start))</definedName>
    <definedName name="tyiygtv" localSheetId="3">DATE(YEAR('[12]General  (3)'!Loan_Start),MONTH('[12]General  (3)'!Loan_Start)+Payment_Number,DAY('[12]General  (3)'!Loan_Start))</definedName>
    <definedName name="tyiygtv" localSheetId="6">DATE(YEAR('[12]General  (3)'!Loan_Start),MONTH('[12]General  (3)'!Loan_Start)+Payment_Number,DAY('[12]General  (3)'!Loan_Start))</definedName>
    <definedName name="tyiygtv" localSheetId="5">DATE(YEAR('[12]General  (3)'!Loan_Start),MONTH('[12]General  (3)'!Loan_Start)+Payment_Number,DAY('[12]General  (3)'!Loan_Start))</definedName>
    <definedName name="tyiygtv" localSheetId="10">DATE(YEAR('[12]General  (3)'!Loan_Start),MONTH('[12]General  (3)'!Loan_Start)+Payment_Number,DAY('[12]General  (3)'!Loan_Start))</definedName>
    <definedName name="tyiygtv" localSheetId="9">DATE(YEAR('[12]General  (3)'!Loan_Start),MONTH('[12]General  (3)'!Loan_Start)+Payment_Number,DAY('[12]General  (3)'!Loan_Start))</definedName>
    <definedName name="tyiygtv" localSheetId="8">DATE(YEAR('[12]General  (3)'!Loan_Start),MONTH('[12]General  (3)'!Loan_Start)+Payment_Number,DAY('[12]General  (3)'!Loan_Start))</definedName>
    <definedName name="tyiygtv" localSheetId="7">DATE(YEAR('[12]General  (3)'!Loan_Start),MONTH('[12]General  (3)'!Loan_Start)+Payment_Number,DAY('[12]General  (3)'!Loan_Start))</definedName>
    <definedName name="tyiygtv" localSheetId="2">DATE(YEAR('[12]General  (3)'!Loan_Start),MONTH('[12]General  (3)'!Loan_Start)+Payment_Number,DAY('[12]General  (3)'!Loan_Start))</definedName>
    <definedName name="tyiygtv" localSheetId="1">DATE(YEAR('[12]General  (3)'!Loan_Start),MONTH('[12]General  (3)'!Loan_Start)+Payment_Number,DAY('[12]General  (3)'!Loan_Start))</definedName>
    <definedName name="tyiygtv" localSheetId="0">DATE(YEAR('[12]General  (3)'!Loan_Start),MONTH('[12]General  (3)'!Loan_Start)+Payment_Number,DAY('[12]General  (3)'!Loan_Start))</definedName>
    <definedName name="tyiygtv">DATE(YEAR('[12]General  (3)'!Loan_Start),MONTH('[12]General  (3)'!Loan_Start)+Payment_Number,DAY('[12]General  (3)'!Loan_Start))</definedName>
    <definedName name="TYKFK">#N/A</definedName>
    <definedName name="TYPEITEENS">[8]!TYPEITEEMS[TYPE EXP.]</definedName>
    <definedName name="u">[16]BEP!#REF!</definedName>
    <definedName name="uiyuoui" localSheetId="4">DATE(YEAR('[12]General  (3)'!Loan_Start),MONTH('[12]General  (3)'!Loan_Start)+Payment_Number,DAY('[12]General  (3)'!Loan_Start))</definedName>
    <definedName name="uiyuoui" localSheetId="3">DATE(YEAR('[12]General  (3)'!Loan_Start),MONTH('[12]General  (3)'!Loan_Start)+Payment_Number,DAY('[12]General  (3)'!Loan_Start))</definedName>
    <definedName name="uiyuoui" localSheetId="6">DATE(YEAR('[12]General  (3)'!Loan_Start),MONTH('[12]General  (3)'!Loan_Start)+Payment_Number,DAY('[12]General  (3)'!Loan_Start))</definedName>
    <definedName name="uiyuoui" localSheetId="5">DATE(YEAR('[12]General  (3)'!Loan_Start),MONTH('[12]General  (3)'!Loan_Start)+Payment_Number,DAY('[12]General  (3)'!Loan_Start))</definedName>
    <definedName name="uiyuoui" localSheetId="10">DATE(YEAR('[12]General  (3)'!Loan_Start),MONTH('[12]General  (3)'!Loan_Start)+Payment_Number,DAY('[12]General  (3)'!Loan_Start))</definedName>
    <definedName name="uiyuoui" localSheetId="9">DATE(YEAR('[12]General  (3)'!Loan_Start),MONTH('[12]General  (3)'!Loan_Start)+Payment_Number,DAY('[12]General  (3)'!Loan_Start))</definedName>
    <definedName name="uiyuoui" localSheetId="8">DATE(YEAR('[12]General  (3)'!Loan_Start),MONTH('[12]General  (3)'!Loan_Start)+Payment_Number,DAY('[12]General  (3)'!Loan_Start))</definedName>
    <definedName name="uiyuoui" localSheetId="7">DATE(YEAR('[12]General  (3)'!Loan_Start),MONTH('[12]General  (3)'!Loan_Start)+Payment_Number,DAY('[12]General  (3)'!Loan_Start))</definedName>
    <definedName name="uiyuoui" localSheetId="2">DATE(YEAR('[12]General  (3)'!Loan_Start),MONTH('[12]General  (3)'!Loan_Start)+Payment_Number,DAY('[12]General  (3)'!Loan_Start))</definedName>
    <definedName name="uiyuoui" localSheetId="1">DATE(YEAR('[12]General  (3)'!Loan_Start),MONTH('[12]General  (3)'!Loan_Start)+Payment_Number,DAY('[12]General  (3)'!Loan_Start))</definedName>
    <definedName name="uiyuoui" localSheetId="0">DATE(YEAR('[12]General  (3)'!Loan_Start),MONTH('[12]General  (3)'!Loan_Start)+Payment_Number,DAY('[12]General  (3)'!Loan_Start))</definedName>
    <definedName name="uiyuoui">DATE(YEAR('[12]General  (3)'!Loan_Start),MONTH('[12]General  (3)'!Loan_Start)+Payment_Number,DAY('[12]General  (3)'!Loan_Start))</definedName>
    <definedName name="uj">#N/A</definedName>
    <definedName name="URDTUDTI">OFFSET('[12]General  (3)'!Full_Print,0,0,'[12]General  (3)'!Last_Row)</definedName>
    <definedName name="Urology" localSheetId="4">#REF!</definedName>
    <definedName name="Urology" localSheetId="3">#REF!</definedName>
    <definedName name="Urology" localSheetId="6">#REF!</definedName>
    <definedName name="Urology" localSheetId="5">#REF!</definedName>
    <definedName name="Urology" localSheetId="10">#REF!</definedName>
    <definedName name="Urology" localSheetId="9">#REF!</definedName>
    <definedName name="Urology" localSheetId="8">#REF!</definedName>
    <definedName name="Urology" localSheetId="7">#REF!</definedName>
    <definedName name="Urology" localSheetId="2">#REF!</definedName>
    <definedName name="Urology" localSheetId="1">#REF!</definedName>
    <definedName name="Urology" localSheetId="0">#REF!</definedName>
    <definedName name="Urology">#REF!</definedName>
    <definedName name="util">#N/A</definedName>
    <definedName name="utitryiou" localSheetId="4">#REF!</definedName>
    <definedName name="utitryiou" localSheetId="3">#REF!</definedName>
    <definedName name="utitryiou" localSheetId="6">#REF!</definedName>
    <definedName name="utitryiou" localSheetId="5">#REF!</definedName>
    <definedName name="utitryiou" localSheetId="10">#REF!</definedName>
    <definedName name="utitryiou" localSheetId="9">#REF!</definedName>
    <definedName name="utitryiou" localSheetId="8">#REF!</definedName>
    <definedName name="utitryiou" localSheetId="7">#REF!</definedName>
    <definedName name="utitryiou" localSheetId="2">#REF!</definedName>
    <definedName name="utitryiou" localSheetId="1">#REF!</definedName>
    <definedName name="utitryiou" localSheetId="0">#REF!</definedName>
    <definedName name="utitryiou">#REF!</definedName>
    <definedName name="UTSRTJFX">IF('[12]General  (3)'!Loan_Amount*'[12]General  (3)'!Interest_Rate*'[12]General  (3)'!Loan_Years*'[12]General  (3)'!Loan_Start&gt;0,1,0)</definedName>
    <definedName name="V" localSheetId="4">MATCH(0.01,[0]!End_Bal,-1)+1</definedName>
    <definedName name="V" localSheetId="3">MATCH(0.01,[0]!End_Bal,-1)+1</definedName>
    <definedName name="V" localSheetId="6">MATCH(0.01,[0]!End_Bal,-1)+1</definedName>
    <definedName name="V" localSheetId="5">MATCH(0.01,[0]!End_Bal,-1)+1</definedName>
    <definedName name="V" localSheetId="10">MATCH(0.01,[0]!End_Bal,-1)+1</definedName>
    <definedName name="V" localSheetId="9">MATCH(0.01,[0]!End_Bal,-1)+1</definedName>
    <definedName name="V" localSheetId="8">MATCH(0.01,[0]!End_Bal,-1)+1</definedName>
    <definedName name="V" localSheetId="7">MATCH(0.01,[0]!End_Bal,-1)+1</definedName>
    <definedName name="V" localSheetId="2">MATCH(0.01,[0]!End_Bal,-1)+1</definedName>
    <definedName name="V" localSheetId="1">MATCH(0.01,[0]!End_Bal,-1)+1</definedName>
    <definedName name="V" localSheetId="0">MATCH(0.01,[0]!End_Bal,-1)+1</definedName>
    <definedName name="V">MATCH(0.01,[0]!End_Bal,-1)+1</definedName>
    <definedName name="va">[5]!Table4[[#All],[Column1]:[الارصدة]]</definedName>
    <definedName name="valCode" localSheetId="4">IF(COUNTA('ADC-DTD'!chtExtend)=0,"Z",UPPER(INDEX('ADC-DTD'!chtExtend,MAX(NOT(ISBLANK('ADC-DTD'!chtExtend))*ROW('ADC-DTD'!chtExtend))-6,1)))</definedName>
    <definedName name="valCode" localSheetId="3">IF(COUNTA('ADC-MTD'!chtExtend)=0,"Z",UPPER(INDEX('ADC-MTD'!chtExtend,MAX(NOT(ISBLANK('ADC-MTD'!chtExtend))*ROW('ADC-MTD'!chtExtend))-6,1)))</definedName>
    <definedName name="valCode" localSheetId="6">IF(COUNTA('AFW-DTD'!chtExtend)=0,"Z",UPPER(INDEX('AFW-DTD'!chtExtend,MAX(NOT(ISBLANK('AFW-DTD'!chtExtend))*ROW('AFW-DTD'!chtExtend))-6,1)))</definedName>
    <definedName name="valCode" localSheetId="5">IF(COUNTA('AFW-MTD'!chtExtend)=0,"Z",UPPER(INDEX('AFW-MTD'!chtExtend,MAX(NOT(ISBLANK('AFW-MTD'!chtExtend))*ROW('AFW-MTD'!chtExtend))-6,1)))</definedName>
    <definedName name="valCode" localSheetId="10">IF(COUNTA('AKW-DTD'!chtExtend)=0,"Z",UPPER(INDEX('AKW-DTD'!chtExtend,MAX(NOT(ISBLANK('AKW-DTD'!chtExtend))*ROW('AKW-DTD'!chtExtend))-6,1)))</definedName>
    <definedName name="valCode" localSheetId="9">IF(COUNTA('AKW-MTD'!chtExtend)=0,"Z",UPPER(INDEX('AKW-MTD'!chtExtend,MAX(NOT(ISBLANK('AKW-MTD'!chtExtend))*ROW('AKW-MTD'!chtExtend))-6,1)))</definedName>
    <definedName name="valCode" localSheetId="8">IF(COUNTA('ALW-DTD'!chtExtend)=0,"Z",UPPER(INDEX('ALW-DTD'!chtExtend,MAX(NOT(ISBLANK('ALW-DTD'!chtExtend))*ROW('ALW-DTD'!chtExtend))-6,1)))</definedName>
    <definedName name="valCode" localSheetId="7">IF(COUNTA('ALW-MTD'!chtExtend)=0,"Z",UPPER(INDEX('ALW-MTD'!chtExtend,MAX(NOT(ISBLANK('ALW-MTD'!chtExtend))*ROW('ALW-MTD'!chtExtend))-6,1)))</definedName>
    <definedName name="valCode" localSheetId="2">IF(COUNTA('HJH-DTD'!chtExtend)=0,"Z",UPPER(INDEX('HJH-DTD'!chtExtend,MAX(NOT(ISBLANK('HJH-DTD'!chtExtend))*ROW('HJH-DTD'!chtExtend))-6,1)))</definedName>
    <definedName name="valCode" localSheetId="1">IF(COUNTA('HJH-MTD'!chtExtend)=0,"Z",UPPER(INDEX('HJH-MTD'!chtExtend,MAX(NOT(ISBLANK('HJH-MTD'!chtExtend))*ROW('HJH-MTD'!chtExtend))-6,1)))</definedName>
    <definedName name="valCode" localSheetId="0">IF(COUNTA('KSA Dashboard'!chtExtend)=0,"Z",UPPER(INDEX('KSA Dashboard'!chtExtend,MAX(NOT(ISBLANK('KSA Dashboard'!chtExtend))*ROW('KSA Dashboard'!chtExtend))-6,1)))</definedName>
    <definedName name="valCode">IF(COUNTA([0]!chtExtend)=0,"Z",UPPER(INDEX([0]!chtExtend,MAX(NOT(ISBLANK([0]!chtExtend))*ROW([0]!chtExtend))-6,1)))</definedName>
    <definedName name="valCoderow" localSheetId="4">#REF!</definedName>
    <definedName name="valCoderow" localSheetId="3">#REF!</definedName>
    <definedName name="valCoderow" localSheetId="6">#REF!</definedName>
    <definedName name="valCoderow" localSheetId="5">#REF!</definedName>
    <definedName name="valCoderow" localSheetId="10">#REF!</definedName>
    <definedName name="valCoderow" localSheetId="9">#REF!</definedName>
    <definedName name="valCoderow" localSheetId="8">#REF!</definedName>
    <definedName name="valCoderow" localSheetId="7">#REF!</definedName>
    <definedName name="valCoderow" localSheetId="2">#REF!</definedName>
    <definedName name="valCoderow" localSheetId="1">#REF!</definedName>
    <definedName name="valCoderow" localSheetId="0">#REF!</definedName>
    <definedName name="valCoderow">#REF!</definedName>
    <definedName name="valCodespot" localSheetId="4">IF(COUNTA('ADC-DTD'!chtExtend)&gt;0,IF(ISNA(MATCH('ADC-DTD'!valCode,UPPER('ADC-DTD'!chtExtend),0)),0,MATCH('ADC-DTD'!valCode,UPPER('ADC-DTD'!chtExtend),0)),ROWS('[10]Run Chart'!chtData)+1)</definedName>
    <definedName name="valCodespot" localSheetId="3">IF(COUNTA('ADC-MTD'!chtExtend)&gt;0,IF(ISNA(MATCH('ADC-MTD'!valCode,UPPER('ADC-MTD'!chtExtend),0)),0,MATCH('ADC-MTD'!valCode,UPPER('ADC-MTD'!chtExtend),0)),ROWS('[10]Run Chart'!chtData)+1)</definedName>
    <definedName name="valCodespot" localSheetId="6">IF(COUNTA('AFW-DTD'!chtExtend)&gt;0,IF(ISNA(MATCH('AFW-DTD'!valCode,UPPER('AFW-DTD'!chtExtend),0)),0,MATCH('AFW-DTD'!valCode,UPPER('AFW-DTD'!chtExtend),0)),ROWS('[10]Run Chart'!chtData)+1)</definedName>
    <definedName name="valCodespot" localSheetId="5">IF(COUNTA('AFW-MTD'!chtExtend)&gt;0,IF(ISNA(MATCH('AFW-MTD'!valCode,UPPER('AFW-MTD'!chtExtend),0)),0,MATCH('AFW-MTD'!valCode,UPPER('AFW-MTD'!chtExtend),0)),ROWS('[10]Run Chart'!chtData)+1)</definedName>
    <definedName name="valCodespot" localSheetId="10">IF(COUNTA('AKW-DTD'!chtExtend)&gt;0,IF(ISNA(MATCH('AKW-DTD'!valCode,UPPER('AKW-DTD'!chtExtend),0)),0,MATCH('AKW-DTD'!valCode,UPPER('AKW-DTD'!chtExtend),0)),ROWS('[10]Run Chart'!chtData)+1)</definedName>
    <definedName name="valCodespot" localSheetId="9">IF(COUNTA('AKW-MTD'!chtExtend)&gt;0,IF(ISNA(MATCH('AKW-MTD'!valCode,UPPER('AKW-MTD'!chtExtend),0)),0,MATCH('AKW-MTD'!valCode,UPPER('AKW-MTD'!chtExtend),0)),ROWS('[10]Run Chart'!chtData)+1)</definedName>
    <definedName name="valCodespot" localSheetId="8">IF(COUNTA('ALW-DTD'!chtExtend)&gt;0,IF(ISNA(MATCH('ALW-DTD'!valCode,UPPER('ALW-DTD'!chtExtend),0)),0,MATCH('ALW-DTD'!valCode,UPPER('ALW-DTD'!chtExtend),0)),ROWS('[10]Run Chart'!chtData)+1)</definedName>
    <definedName name="valCodespot" localSheetId="7">IF(COUNTA('ALW-MTD'!chtExtend)&gt;0,IF(ISNA(MATCH('ALW-MTD'!valCode,UPPER('ALW-MTD'!chtExtend),0)),0,MATCH('ALW-MTD'!valCode,UPPER('ALW-MTD'!chtExtend),0)),ROWS('[10]Run Chart'!chtData)+1)</definedName>
    <definedName name="valCodespot" localSheetId="2">IF(COUNTA('HJH-DTD'!chtExtend)&gt;0,IF(ISNA(MATCH('HJH-DTD'!valCode,UPPER('HJH-DTD'!chtExtend),0)),0,MATCH('HJH-DTD'!valCode,UPPER('HJH-DTD'!chtExtend),0)),ROWS('[10]Run Chart'!chtData)+1)</definedName>
    <definedName name="valCodespot" localSheetId="1">IF(COUNTA('HJH-MTD'!chtExtend)&gt;0,IF(ISNA(MATCH('HJH-MTD'!valCode,UPPER('HJH-MTD'!chtExtend),0)),0,MATCH('HJH-MTD'!valCode,UPPER('HJH-MTD'!chtExtend),0)),ROWS('[10]Run Chart'!chtData)+1)</definedName>
    <definedName name="valCodespot" localSheetId="0">#N/A</definedName>
    <definedName name="valCodespot">IF(COUNTA([0]!chtExtend)&gt;0,IF(ISNA(MATCH([0]!valCode,UPPER([0]!chtExtend),0)),0,MATCH([0]!valCode,UPPER([0]!chtExtend),0)),ROWS('[10]Run Chart'!chtData)+1)</definedName>
    <definedName name="Values_Entered" localSheetId="4">IF(Loan_Amount*Interest_Rate*Loan_Years*Loan_Start&gt;0,1,0)</definedName>
    <definedName name="Values_Entered" localSheetId="3">IF(Loan_Amount*Interest_Rate*Loan_Years*Loan_Start&gt;0,1,0)</definedName>
    <definedName name="Values_Entered" localSheetId="6">IF(Loan_Amount*Interest_Rate*Loan_Years*Loan_Start&gt;0,1,0)</definedName>
    <definedName name="Values_Entered" localSheetId="5">IF(Loan_Amount*Interest_Rate*Loan_Years*Loan_Start&gt;0,1,0)</definedName>
    <definedName name="Values_Entered" localSheetId="10">IF(Loan_Amount*Interest_Rate*Loan_Years*Loan_Start&gt;0,1,0)</definedName>
    <definedName name="Values_Entered" localSheetId="9">IF(Loan_Amount*Interest_Rate*Loan_Years*Loan_Start&gt;0,1,0)</definedName>
    <definedName name="Values_Entered" localSheetId="8">IF(Loan_Amount*Interest_Rate*Loan_Years*Loan_Start&gt;0,1,0)</definedName>
    <definedName name="Values_Entered" localSheetId="7">IF(Loan_Amount*Interest_Rate*Loan_Years*Loan_Start&gt;0,1,0)</definedName>
    <definedName name="Values_Entered" localSheetId="2">IF(Loan_Amount*Interest_Rate*Loan_Years*Loan_Start&gt;0,1,0)</definedName>
    <definedName name="Values_Entered" localSheetId="1">IF(Loan_Amount*Interest_Rate*Loan_Years*Loan_Start&gt;0,1,0)</definedName>
    <definedName name="Values_Entered" localSheetId="0">IF([0]!Loan_Amount*[0]!Interest_Rate*[0]!Loan_Years*[0]!Loan_Start&gt;0,1,0)</definedName>
    <definedName name="Values_Entered">IF(Loan_Amount*Interest_Rate*Loan_Years*Loan_Start&gt;0,1,0)</definedName>
    <definedName name="valuevx">42.314159</definedName>
    <definedName name="Vascular" localSheetId="4">#REF!</definedName>
    <definedName name="Vascular" localSheetId="3">#REF!</definedName>
    <definedName name="Vascular" localSheetId="6">#REF!</definedName>
    <definedName name="Vascular" localSheetId="5">#REF!</definedName>
    <definedName name="Vascular" localSheetId="10">#REF!</definedName>
    <definedName name="Vascular" localSheetId="9">#REF!</definedName>
    <definedName name="Vascular" localSheetId="8">#REF!</definedName>
    <definedName name="Vascular" localSheetId="7">#REF!</definedName>
    <definedName name="Vascular" localSheetId="2">#REF!</definedName>
    <definedName name="Vascular" localSheetId="1">#REF!</definedName>
    <definedName name="Vascular" localSheetId="0">#REF!</definedName>
    <definedName name="Vascular">#REF!</definedName>
    <definedName name="VASCULAR_SURGERY" localSheetId="4">#REF!</definedName>
    <definedName name="VASCULAR_SURGERY" localSheetId="3">#REF!</definedName>
    <definedName name="VASCULAR_SURGERY" localSheetId="6">#REF!</definedName>
    <definedName name="VASCULAR_SURGERY" localSheetId="5">#REF!</definedName>
    <definedName name="VASCULAR_SURGERY" localSheetId="10">#REF!</definedName>
    <definedName name="VASCULAR_SURGERY" localSheetId="9">#REF!</definedName>
    <definedName name="VASCULAR_SURGERY" localSheetId="8">#REF!</definedName>
    <definedName name="VASCULAR_SURGERY" localSheetId="7">#REF!</definedName>
    <definedName name="VASCULAR_SURGERY" localSheetId="2">#REF!</definedName>
    <definedName name="VASCULAR_SURGERY" localSheetId="1">#REF!</definedName>
    <definedName name="VASCULAR_SURGERY" localSheetId="0">#REF!</definedName>
    <definedName name="VASCULAR_SURGERY">#REF!</definedName>
    <definedName name="vcxczcvz" localSheetId="4">#REF!</definedName>
    <definedName name="vcxczcvz" localSheetId="3">#REF!</definedName>
    <definedName name="vcxczcvz" localSheetId="6">#REF!</definedName>
    <definedName name="vcxczcvz" localSheetId="5">#REF!</definedName>
    <definedName name="vcxczcvz" localSheetId="10">#REF!</definedName>
    <definedName name="vcxczcvz" localSheetId="9">#REF!</definedName>
    <definedName name="vcxczcvz" localSheetId="8">#REF!</definedName>
    <definedName name="vcxczcvz" localSheetId="7">#REF!</definedName>
    <definedName name="vcxczcvz" localSheetId="2">#REF!</definedName>
    <definedName name="vcxczcvz" localSheetId="1">#REF!</definedName>
    <definedName name="vcxczcvz" localSheetId="0">#REF!</definedName>
    <definedName name="vcxczcvz">#REF!</definedName>
    <definedName name="VV" localSheetId="4">#REF!</definedName>
    <definedName name="VV" localSheetId="3">#REF!</definedName>
    <definedName name="VV" localSheetId="6">#REF!</definedName>
    <definedName name="VV" localSheetId="5">#REF!</definedName>
    <definedName name="VV" localSheetId="10">#REF!</definedName>
    <definedName name="VV" localSheetId="9">#REF!</definedName>
    <definedName name="VV" localSheetId="8">#REF!</definedName>
    <definedName name="VV" localSheetId="7">#REF!</definedName>
    <definedName name="VV" localSheetId="2">#REF!</definedName>
    <definedName name="VV" localSheetId="1">#REF!</definedName>
    <definedName name="VV" localSheetId="0">#REF!</definedName>
    <definedName name="VV">#REF!</definedName>
    <definedName name="vvv" localSheetId="4">MATCH(0.01,End_Bal,-1)+1</definedName>
    <definedName name="vvv" localSheetId="3">MATCH(0.01,End_Bal,-1)+1</definedName>
    <definedName name="vvv" localSheetId="6">MATCH(0.01,End_Bal,-1)+1</definedName>
    <definedName name="vvv" localSheetId="5">MATCH(0.01,End_Bal,-1)+1</definedName>
    <definedName name="vvv" localSheetId="10">MATCH(0.01,End_Bal,-1)+1</definedName>
    <definedName name="vvv" localSheetId="9">MATCH(0.01,End_Bal,-1)+1</definedName>
    <definedName name="vvv" localSheetId="8">MATCH(0.01,End_Bal,-1)+1</definedName>
    <definedName name="vvv" localSheetId="7">MATCH(0.01,End_Bal,-1)+1</definedName>
    <definedName name="vvv" localSheetId="2">MATCH(0.01,End_Bal,-1)+1</definedName>
    <definedName name="vvv" localSheetId="1">MATCH(0.01,End_Bal,-1)+1</definedName>
    <definedName name="vvv" localSheetId="0">MATCH(0.01,[0]!End_Bal,-1)+1</definedName>
    <definedName name="vvv">MATCH(0.01,End_Bal,-1)+1</definedName>
    <definedName name="VVVV" localSheetId="4">#REF!</definedName>
    <definedName name="VVVV" localSheetId="3">#REF!</definedName>
    <definedName name="VVVV" localSheetId="6">#REF!</definedName>
    <definedName name="VVVV" localSheetId="5">#REF!</definedName>
    <definedName name="VVVV" localSheetId="10">#REF!</definedName>
    <definedName name="VVVV" localSheetId="9">#REF!</definedName>
    <definedName name="VVVV" localSheetId="8">#REF!</definedName>
    <definedName name="VVVV" localSheetId="7">#REF!</definedName>
    <definedName name="VVVV" localSheetId="2">#REF!</definedName>
    <definedName name="VVVV" localSheetId="1">#REF!</definedName>
    <definedName name="VVVV" localSheetId="0">#REF!</definedName>
    <definedName name="VVVV">#REF!</definedName>
    <definedName name="w" localSheetId="4">#REF!</definedName>
    <definedName name="w" localSheetId="3">#REF!</definedName>
    <definedName name="w" localSheetId="6">#REF!</definedName>
    <definedName name="w" localSheetId="5">#REF!</definedName>
    <definedName name="w" localSheetId="10">#REF!</definedName>
    <definedName name="w" localSheetId="9">#REF!</definedName>
    <definedName name="w" localSheetId="8">#REF!</definedName>
    <definedName name="w" localSheetId="7">#REF!</definedName>
    <definedName name="w" localSheetId="2">#REF!</definedName>
    <definedName name="w" localSheetId="1">#REF!</definedName>
    <definedName name="w" localSheetId="0">#REF!</definedName>
    <definedName name="w">#REF!</definedName>
    <definedName name="WAEL" localSheetId="4">#REF!</definedName>
    <definedName name="WAEL" localSheetId="3">#REF!</definedName>
    <definedName name="WAEL" localSheetId="6">#REF!</definedName>
    <definedName name="WAEL" localSheetId="5">#REF!</definedName>
    <definedName name="WAEL" localSheetId="10">#REF!</definedName>
    <definedName name="WAEL" localSheetId="9">#REF!</definedName>
    <definedName name="WAEL" localSheetId="8">#REF!</definedName>
    <definedName name="WAEL" localSheetId="7">#REF!</definedName>
    <definedName name="WAEL" localSheetId="2">#REF!</definedName>
    <definedName name="WAEL" localSheetId="1">#REF!</definedName>
    <definedName name="WAEL" localSheetId="0">#REF!</definedName>
    <definedName name="WAEL">#REF!</definedName>
    <definedName name="wee" localSheetId="4">#REF!</definedName>
    <definedName name="wee" localSheetId="3">#REF!</definedName>
    <definedName name="wee" localSheetId="6">#REF!</definedName>
    <definedName name="wee" localSheetId="5">#REF!</definedName>
    <definedName name="wee" localSheetId="10">#REF!</definedName>
    <definedName name="wee" localSheetId="9">#REF!</definedName>
    <definedName name="wee" localSheetId="8">#REF!</definedName>
    <definedName name="wee" localSheetId="7">#REF!</definedName>
    <definedName name="wee" localSheetId="2">#REF!</definedName>
    <definedName name="wee" localSheetId="1">#REF!</definedName>
    <definedName name="wee" localSheetId="0">#REF!</definedName>
    <definedName name="wee">#REF!</definedName>
    <definedName name="weeks" localSheetId="4">#REF!</definedName>
    <definedName name="weeks" localSheetId="3">#REF!</definedName>
    <definedName name="weeks" localSheetId="6">#REF!</definedName>
    <definedName name="weeks" localSheetId="5">#REF!</definedName>
    <definedName name="weeks" localSheetId="10">#REF!</definedName>
    <definedName name="weeks" localSheetId="9">#REF!</definedName>
    <definedName name="weeks" localSheetId="8">#REF!</definedName>
    <definedName name="weeks" localSheetId="7">#REF!</definedName>
    <definedName name="weeks" localSheetId="2">#REF!</definedName>
    <definedName name="weeks" localSheetId="1">#REF!</definedName>
    <definedName name="weeks" localSheetId="0">#REF!</definedName>
    <definedName name="weeks">#REF!</definedName>
    <definedName name="WeekStart" localSheetId="4">[28]Calender!#REF!</definedName>
    <definedName name="WeekStart" localSheetId="3">[28]Calender!#REF!</definedName>
    <definedName name="WeekStart" localSheetId="6">[28]Calender!#REF!</definedName>
    <definedName name="WeekStart" localSheetId="5">[28]Calender!#REF!</definedName>
    <definedName name="WeekStart" localSheetId="10">[28]Calender!#REF!</definedName>
    <definedName name="WeekStart" localSheetId="9">[28]Calender!#REF!</definedName>
    <definedName name="WeekStart" localSheetId="8">[28]Calender!#REF!</definedName>
    <definedName name="WeekStart" localSheetId="7">[28]Calender!#REF!</definedName>
    <definedName name="WeekStart" localSheetId="2">[28]Calender!#REF!</definedName>
    <definedName name="WeekStart" localSheetId="1">[28]Calender!#REF!</definedName>
    <definedName name="WeekStart">[28]Calender!#REF!</definedName>
    <definedName name="wetat" localSheetId="4">#REF!</definedName>
    <definedName name="wetat" localSheetId="3">#REF!</definedName>
    <definedName name="wetat" localSheetId="6">#REF!</definedName>
    <definedName name="wetat" localSheetId="5">#REF!</definedName>
    <definedName name="wetat" localSheetId="10">#REF!</definedName>
    <definedName name="wetat" localSheetId="9">#REF!</definedName>
    <definedName name="wetat" localSheetId="8">#REF!</definedName>
    <definedName name="wetat" localSheetId="7">#REF!</definedName>
    <definedName name="wetat" localSheetId="2">#REF!</definedName>
    <definedName name="wetat" localSheetId="1">#REF!</definedName>
    <definedName name="wetat" localSheetId="0">#REF!</definedName>
    <definedName name="wetat">#REF!</definedName>
    <definedName name="wetyWEY">IF('[12]General  (3)'!Loan_Amount*'[12]General  (3)'!Interest_Rate*'[12]General  (3)'!Loan_Years*'[12]General  (3)'!Loan_Start&gt;0,1,0)</definedName>
    <definedName name="wewt" localSheetId="4">#REF!</definedName>
    <definedName name="wewt" localSheetId="3">#REF!</definedName>
    <definedName name="wewt" localSheetId="6">#REF!</definedName>
    <definedName name="wewt" localSheetId="5">#REF!</definedName>
    <definedName name="wewt" localSheetId="10">#REF!</definedName>
    <definedName name="wewt" localSheetId="9">#REF!</definedName>
    <definedName name="wewt" localSheetId="8">#REF!</definedName>
    <definedName name="wewt" localSheetId="7">#REF!</definedName>
    <definedName name="wewt" localSheetId="2">#REF!</definedName>
    <definedName name="wewt" localSheetId="1">#REF!</definedName>
    <definedName name="wewt" localSheetId="0">#REF!</definedName>
    <definedName name="wewt">#REF!</definedName>
    <definedName name="WinCal1" localSheetId="4">#REF!</definedName>
    <definedName name="WinCal1" localSheetId="3">#REF!</definedName>
    <definedName name="WinCal1" localSheetId="6">#REF!</definedName>
    <definedName name="WinCal1" localSheetId="5">#REF!</definedName>
    <definedName name="WinCal1" localSheetId="10">#REF!</definedName>
    <definedName name="WinCal1" localSheetId="9">#REF!</definedName>
    <definedName name="WinCal1" localSheetId="8">#REF!</definedName>
    <definedName name="WinCal1" localSheetId="7">#REF!</definedName>
    <definedName name="WinCal1" localSheetId="2">#REF!</definedName>
    <definedName name="WinCal1" localSheetId="1">#REF!</definedName>
    <definedName name="WinCal1" localSheetId="0">#REF!</definedName>
    <definedName name="WinCal1">#REF!</definedName>
    <definedName name="WinCal10" localSheetId="4">#REF!</definedName>
    <definedName name="WinCal10" localSheetId="3">#REF!</definedName>
    <definedName name="WinCal10" localSheetId="6">#REF!</definedName>
    <definedName name="WinCal10" localSheetId="5">#REF!</definedName>
    <definedName name="WinCal10" localSheetId="10">#REF!</definedName>
    <definedName name="WinCal10" localSheetId="9">#REF!</definedName>
    <definedName name="WinCal10" localSheetId="8">#REF!</definedName>
    <definedName name="WinCal10" localSheetId="7">#REF!</definedName>
    <definedName name="WinCal10" localSheetId="2">#REF!</definedName>
    <definedName name="WinCal10" localSheetId="1">#REF!</definedName>
    <definedName name="WinCal10" localSheetId="0">#REF!</definedName>
    <definedName name="WinCal10">#REF!</definedName>
    <definedName name="WinCal11" localSheetId="4">#REF!</definedName>
    <definedName name="WinCal11" localSheetId="3">#REF!</definedName>
    <definedName name="WinCal11" localSheetId="6">#REF!</definedName>
    <definedName name="WinCal11" localSheetId="5">#REF!</definedName>
    <definedName name="WinCal11" localSheetId="10">#REF!</definedName>
    <definedName name="WinCal11" localSheetId="9">#REF!</definedName>
    <definedName name="WinCal11" localSheetId="8">#REF!</definedName>
    <definedName name="WinCal11" localSheetId="7">#REF!</definedName>
    <definedName name="WinCal11" localSheetId="2">#REF!</definedName>
    <definedName name="WinCal11" localSheetId="1">#REF!</definedName>
    <definedName name="WinCal11" localSheetId="0">#REF!</definedName>
    <definedName name="WinCal11">#REF!</definedName>
    <definedName name="WinCal12" localSheetId="4">#REF!</definedName>
    <definedName name="WinCal12" localSheetId="3">#REF!</definedName>
    <definedName name="WinCal12" localSheetId="6">#REF!</definedName>
    <definedName name="WinCal12" localSheetId="5">#REF!</definedName>
    <definedName name="WinCal12" localSheetId="10">#REF!</definedName>
    <definedName name="WinCal12" localSheetId="9">#REF!</definedName>
    <definedName name="WinCal12" localSheetId="8">#REF!</definedName>
    <definedName name="WinCal12" localSheetId="7">#REF!</definedName>
    <definedName name="WinCal12" localSheetId="2">#REF!</definedName>
    <definedName name="WinCal12" localSheetId="1">#REF!</definedName>
    <definedName name="WinCal12" localSheetId="0">#REF!</definedName>
    <definedName name="WinCal12">#REF!</definedName>
    <definedName name="WinCal2" localSheetId="4">#REF!</definedName>
    <definedName name="WinCal2" localSheetId="3">#REF!</definedName>
    <definedName name="WinCal2" localSheetId="6">#REF!</definedName>
    <definedName name="WinCal2" localSheetId="5">#REF!</definedName>
    <definedName name="WinCal2" localSheetId="10">#REF!</definedName>
    <definedName name="WinCal2" localSheetId="9">#REF!</definedName>
    <definedName name="WinCal2" localSheetId="8">#REF!</definedName>
    <definedName name="WinCal2" localSheetId="7">#REF!</definedName>
    <definedName name="WinCal2" localSheetId="2">#REF!</definedName>
    <definedName name="WinCal2" localSheetId="1">#REF!</definedName>
    <definedName name="WinCal2" localSheetId="0">#REF!</definedName>
    <definedName name="WinCal2">#REF!</definedName>
    <definedName name="WinCal3" localSheetId="4">#REF!</definedName>
    <definedName name="WinCal3" localSheetId="3">#REF!</definedName>
    <definedName name="WinCal3" localSheetId="6">#REF!</definedName>
    <definedName name="WinCal3" localSheetId="5">#REF!</definedName>
    <definedName name="WinCal3" localSheetId="10">#REF!</definedName>
    <definedName name="WinCal3" localSheetId="9">#REF!</definedName>
    <definedName name="WinCal3" localSheetId="8">#REF!</definedName>
    <definedName name="WinCal3" localSheetId="7">#REF!</definedName>
    <definedName name="WinCal3" localSheetId="2">#REF!</definedName>
    <definedName name="WinCal3" localSheetId="1">#REF!</definedName>
    <definedName name="WinCal3" localSheetId="0">#REF!</definedName>
    <definedName name="WinCal3">#REF!</definedName>
    <definedName name="WinCal4" localSheetId="4">#REF!</definedName>
    <definedName name="WinCal4" localSheetId="3">#REF!</definedName>
    <definedName name="WinCal4" localSheetId="6">#REF!</definedName>
    <definedName name="WinCal4" localSheetId="5">#REF!</definedName>
    <definedName name="WinCal4" localSheetId="10">#REF!</definedName>
    <definedName name="WinCal4" localSheetId="9">#REF!</definedName>
    <definedName name="WinCal4" localSheetId="8">#REF!</definedName>
    <definedName name="WinCal4" localSheetId="7">#REF!</definedName>
    <definedName name="WinCal4" localSheetId="2">#REF!</definedName>
    <definedName name="WinCal4" localSheetId="1">#REF!</definedName>
    <definedName name="WinCal4" localSheetId="0">#REF!</definedName>
    <definedName name="WinCal4">#REF!</definedName>
    <definedName name="WinCal5" localSheetId="4">#REF!</definedName>
    <definedName name="WinCal5" localSheetId="3">#REF!</definedName>
    <definedName name="WinCal5" localSheetId="6">#REF!</definedName>
    <definedName name="WinCal5" localSheetId="5">#REF!</definedName>
    <definedName name="WinCal5" localSheetId="10">#REF!</definedName>
    <definedName name="WinCal5" localSheetId="9">#REF!</definedName>
    <definedName name="WinCal5" localSheetId="8">#REF!</definedName>
    <definedName name="WinCal5" localSheetId="7">#REF!</definedName>
    <definedName name="WinCal5" localSheetId="2">#REF!</definedName>
    <definedName name="WinCal5" localSheetId="1">#REF!</definedName>
    <definedName name="WinCal5" localSheetId="0">#REF!</definedName>
    <definedName name="WinCal5">#REF!</definedName>
    <definedName name="WinCal6" localSheetId="4">#REF!</definedName>
    <definedName name="WinCal6" localSheetId="3">#REF!</definedName>
    <definedName name="WinCal6" localSheetId="6">#REF!</definedName>
    <definedName name="WinCal6" localSheetId="5">#REF!</definedName>
    <definedName name="WinCal6" localSheetId="10">#REF!</definedName>
    <definedName name="WinCal6" localSheetId="9">#REF!</definedName>
    <definedName name="WinCal6" localSheetId="8">#REF!</definedName>
    <definedName name="WinCal6" localSheetId="7">#REF!</definedName>
    <definedName name="WinCal6" localSheetId="2">#REF!</definedName>
    <definedName name="WinCal6" localSheetId="1">#REF!</definedName>
    <definedName name="WinCal6" localSheetId="0">#REF!</definedName>
    <definedName name="WinCal6">#REF!</definedName>
    <definedName name="WinCal7" localSheetId="4">#REF!</definedName>
    <definedName name="WinCal7" localSheetId="3">#REF!</definedName>
    <definedName name="WinCal7" localSheetId="6">#REF!</definedName>
    <definedName name="WinCal7" localSheetId="5">#REF!</definedName>
    <definedName name="WinCal7" localSheetId="10">#REF!</definedName>
    <definedName name="WinCal7" localSheetId="9">#REF!</definedName>
    <definedName name="WinCal7" localSheetId="8">#REF!</definedName>
    <definedName name="WinCal7" localSheetId="7">#REF!</definedName>
    <definedName name="WinCal7" localSheetId="2">#REF!</definedName>
    <definedName name="WinCal7" localSheetId="1">#REF!</definedName>
    <definedName name="WinCal7" localSheetId="0">#REF!</definedName>
    <definedName name="WinCal7">#REF!</definedName>
    <definedName name="WinCal8" localSheetId="4">#REF!</definedName>
    <definedName name="WinCal8" localSheetId="3">#REF!</definedName>
    <definedName name="WinCal8" localSheetId="6">#REF!</definedName>
    <definedName name="WinCal8" localSheetId="5">#REF!</definedName>
    <definedName name="WinCal8" localSheetId="10">#REF!</definedName>
    <definedName name="WinCal8" localSheetId="9">#REF!</definedName>
    <definedName name="WinCal8" localSheetId="8">#REF!</definedName>
    <definedName name="WinCal8" localSheetId="7">#REF!</definedName>
    <definedName name="WinCal8" localSheetId="2">#REF!</definedName>
    <definedName name="WinCal8" localSheetId="1">#REF!</definedName>
    <definedName name="WinCal8" localSheetId="0">#REF!</definedName>
    <definedName name="WinCal8">#REF!</definedName>
    <definedName name="WinCal9" localSheetId="4">#REF!</definedName>
    <definedName name="WinCal9" localSheetId="3">#REF!</definedName>
    <definedName name="WinCal9" localSheetId="6">#REF!</definedName>
    <definedName name="WinCal9" localSheetId="5">#REF!</definedName>
    <definedName name="WinCal9" localSheetId="10">#REF!</definedName>
    <definedName name="WinCal9" localSheetId="9">#REF!</definedName>
    <definedName name="WinCal9" localSheetId="8">#REF!</definedName>
    <definedName name="WinCal9" localSheetId="7">#REF!</definedName>
    <definedName name="WinCal9" localSheetId="2">#REF!</definedName>
    <definedName name="WinCal9" localSheetId="1">#REF!</definedName>
    <definedName name="WinCal9" localSheetId="0">#REF!</definedName>
    <definedName name="WinCal9">#REF!</definedName>
    <definedName name="WinCalendar_Calendar_1" localSheetId="4">#REF!</definedName>
    <definedName name="WinCalendar_Calendar_1" localSheetId="3">#REF!</definedName>
    <definedName name="WinCalendar_Calendar_1" localSheetId="6">#REF!</definedName>
    <definedName name="WinCalendar_Calendar_1" localSheetId="5">#REF!</definedName>
    <definedName name="WinCalendar_Calendar_1" localSheetId="10">#REF!</definedName>
    <definedName name="WinCalendar_Calendar_1" localSheetId="9">#REF!</definedName>
    <definedName name="WinCalendar_Calendar_1" localSheetId="8">#REF!</definedName>
    <definedName name="WinCalendar_Calendar_1" localSheetId="7">#REF!</definedName>
    <definedName name="WinCalendar_Calendar_1" localSheetId="2">#REF!</definedName>
    <definedName name="WinCalendar_Calendar_1" localSheetId="1">#REF!</definedName>
    <definedName name="WinCalendar_Calendar_1" localSheetId="0">#REF!</definedName>
    <definedName name="WinCalendar_Calendar_1">#REF!</definedName>
    <definedName name="WinCalendar_Calendar_10" localSheetId="4">#REF!</definedName>
    <definedName name="WinCalendar_Calendar_10" localSheetId="3">#REF!</definedName>
    <definedName name="WinCalendar_Calendar_10" localSheetId="6">#REF!</definedName>
    <definedName name="WinCalendar_Calendar_10" localSheetId="5">#REF!</definedName>
    <definedName name="WinCalendar_Calendar_10" localSheetId="10">#REF!</definedName>
    <definedName name="WinCalendar_Calendar_10" localSheetId="9">#REF!</definedName>
    <definedName name="WinCalendar_Calendar_10" localSheetId="8">#REF!</definedName>
    <definedName name="WinCalendar_Calendar_10" localSheetId="7">#REF!</definedName>
    <definedName name="WinCalendar_Calendar_10" localSheetId="2">#REF!</definedName>
    <definedName name="WinCalendar_Calendar_10" localSheetId="1">#REF!</definedName>
    <definedName name="WinCalendar_Calendar_10" localSheetId="0">#REF!</definedName>
    <definedName name="WinCalendar_Calendar_10">#REF!</definedName>
    <definedName name="WinCalendar_Calendar_11" localSheetId="4">#REF!</definedName>
    <definedName name="WinCalendar_Calendar_11" localSheetId="3">#REF!</definedName>
    <definedName name="WinCalendar_Calendar_11" localSheetId="6">#REF!</definedName>
    <definedName name="WinCalendar_Calendar_11" localSheetId="5">#REF!</definedName>
    <definedName name="WinCalendar_Calendar_11" localSheetId="10">#REF!</definedName>
    <definedName name="WinCalendar_Calendar_11" localSheetId="9">#REF!</definedName>
    <definedName name="WinCalendar_Calendar_11" localSheetId="8">#REF!</definedName>
    <definedName name="WinCalendar_Calendar_11" localSheetId="7">#REF!</definedName>
    <definedName name="WinCalendar_Calendar_11" localSheetId="2">#REF!</definedName>
    <definedName name="WinCalendar_Calendar_11" localSheetId="1">#REF!</definedName>
    <definedName name="WinCalendar_Calendar_11" localSheetId="0">#REF!</definedName>
    <definedName name="WinCalendar_Calendar_11">#REF!</definedName>
    <definedName name="WinCalendar_Calendar_12" localSheetId="4">#REF!</definedName>
    <definedName name="WinCalendar_Calendar_12" localSheetId="3">#REF!</definedName>
    <definedName name="WinCalendar_Calendar_12" localSheetId="6">#REF!</definedName>
    <definedName name="WinCalendar_Calendar_12" localSheetId="5">#REF!</definedName>
    <definedName name="WinCalendar_Calendar_12" localSheetId="10">#REF!</definedName>
    <definedName name="WinCalendar_Calendar_12" localSheetId="9">#REF!</definedName>
    <definedName name="WinCalendar_Calendar_12" localSheetId="8">#REF!</definedName>
    <definedName name="WinCalendar_Calendar_12" localSheetId="7">#REF!</definedName>
    <definedName name="WinCalendar_Calendar_12" localSheetId="2">#REF!</definedName>
    <definedName name="WinCalendar_Calendar_12" localSheetId="1">#REF!</definedName>
    <definedName name="WinCalendar_Calendar_12" localSheetId="0">#REF!</definedName>
    <definedName name="WinCalendar_Calendar_12">#REF!</definedName>
    <definedName name="WinCalendar_Calendar_2" localSheetId="4">#REF!</definedName>
    <definedName name="WinCalendar_Calendar_2" localSheetId="3">#REF!</definedName>
    <definedName name="WinCalendar_Calendar_2" localSheetId="6">#REF!</definedName>
    <definedName name="WinCalendar_Calendar_2" localSheetId="5">#REF!</definedName>
    <definedName name="WinCalendar_Calendar_2" localSheetId="10">#REF!</definedName>
    <definedName name="WinCalendar_Calendar_2" localSheetId="9">#REF!</definedName>
    <definedName name="WinCalendar_Calendar_2" localSheetId="8">#REF!</definedName>
    <definedName name="WinCalendar_Calendar_2" localSheetId="7">#REF!</definedName>
    <definedName name="WinCalendar_Calendar_2" localSheetId="2">#REF!</definedName>
    <definedName name="WinCalendar_Calendar_2" localSheetId="1">#REF!</definedName>
    <definedName name="WinCalendar_Calendar_2" localSheetId="0">#REF!</definedName>
    <definedName name="WinCalendar_Calendar_2">#REF!</definedName>
    <definedName name="WinCalendar_Calendar_3" localSheetId="4">#REF!</definedName>
    <definedName name="WinCalendar_Calendar_3" localSheetId="3">#REF!</definedName>
    <definedName name="WinCalendar_Calendar_3" localSheetId="6">#REF!</definedName>
    <definedName name="WinCalendar_Calendar_3" localSheetId="5">#REF!</definedName>
    <definedName name="WinCalendar_Calendar_3" localSheetId="10">#REF!</definedName>
    <definedName name="WinCalendar_Calendar_3" localSheetId="9">#REF!</definedName>
    <definedName name="WinCalendar_Calendar_3" localSheetId="8">#REF!</definedName>
    <definedName name="WinCalendar_Calendar_3" localSheetId="7">#REF!</definedName>
    <definedName name="WinCalendar_Calendar_3" localSheetId="2">#REF!</definedName>
    <definedName name="WinCalendar_Calendar_3" localSheetId="1">#REF!</definedName>
    <definedName name="WinCalendar_Calendar_3" localSheetId="0">#REF!</definedName>
    <definedName name="WinCalendar_Calendar_3">#REF!</definedName>
    <definedName name="WinCalendar_Calendar_4" localSheetId="4">#REF!</definedName>
    <definedName name="WinCalendar_Calendar_4" localSheetId="3">#REF!</definedName>
    <definedName name="WinCalendar_Calendar_4" localSheetId="6">#REF!</definedName>
    <definedName name="WinCalendar_Calendar_4" localSheetId="5">#REF!</definedName>
    <definedName name="WinCalendar_Calendar_4" localSheetId="10">#REF!</definedName>
    <definedName name="WinCalendar_Calendar_4" localSheetId="9">#REF!</definedName>
    <definedName name="WinCalendar_Calendar_4" localSheetId="8">#REF!</definedName>
    <definedName name="WinCalendar_Calendar_4" localSheetId="7">#REF!</definedName>
    <definedName name="WinCalendar_Calendar_4" localSheetId="2">#REF!</definedName>
    <definedName name="WinCalendar_Calendar_4" localSheetId="1">#REF!</definedName>
    <definedName name="WinCalendar_Calendar_4" localSheetId="0">#REF!</definedName>
    <definedName name="WinCalendar_Calendar_4">#REF!</definedName>
    <definedName name="WinCalendar_Calendar_5" localSheetId="4">#REF!</definedName>
    <definedName name="WinCalendar_Calendar_5" localSheetId="3">#REF!</definedName>
    <definedName name="WinCalendar_Calendar_5" localSheetId="6">#REF!</definedName>
    <definedName name="WinCalendar_Calendar_5" localSheetId="5">#REF!</definedName>
    <definedName name="WinCalendar_Calendar_5" localSheetId="10">#REF!</definedName>
    <definedName name="WinCalendar_Calendar_5" localSheetId="9">#REF!</definedName>
    <definedName name="WinCalendar_Calendar_5" localSheetId="8">#REF!</definedName>
    <definedName name="WinCalendar_Calendar_5" localSheetId="7">#REF!</definedName>
    <definedName name="WinCalendar_Calendar_5" localSheetId="2">#REF!</definedName>
    <definedName name="WinCalendar_Calendar_5" localSheetId="1">#REF!</definedName>
    <definedName name="WinCalendar_Calendar_5" localSheetId="0">#REF!</definedName>
    <definedName name="WinCalendar_Calendar_5">#REF!</definedName>
    <definedName name="WinCalendar_Calendar_6" localSheetId="4">#REF!</definedName>
    <definedName name="WinCalendar_Calendar_6" localSheetId="3">#REF!</definedName>
    <definedName name="WinCalendar_Calendar_6" localSheetId="6">#REF!</definedName>
    <definedName name="WinCalendar_Calendar_6" localSheetId="5">#REF!</definedName>
    <definedName name="WinCalendar_Calendar_6" localSheetId="10">#REF!</definedName>
    <definedName name="WinCalendar_Calendar_6" localSheetId="9">#REF!</definedName>
    <definedName name="WinCalendar_Calendar_6" localSheetId="8">#REF!</definedName>
    <definedName name="WinCalendar_Calendar_6" localSheetId="7">#REF!</definedName>
    <definedName name="WinCalendar_Calendar_6" localSheetId="2">#REF!</definedName>
    <definedName name="WinCalendar_Calendar_6" localSheetId="1">#REF!</definedName>
    <definedName name="WinCalendar_Calendar_6" localSheetId="0">#REF!</definedName>
    <definedName name="WinCalendar_Calendar_6">#REF!</definedName>
    <definedName name="WinCalendar_Calendar_7" localSheetId="4">#REF!</definedName>
    <definedName name="WinCalendar_Calendar_7" localSheetId="3">#REF!</definedName>
    <definedName name="WinCalendar_Calendar_7" localSheetId="6">#REF!</definedName>
    <definedName name="WinCalendar_Calendar_7" localSheetId="5">#REF!</definedName>
    <definedName name="WinCalendar_Calendar_7" localSheetId="10">#REF!</definedName>
    <definedName name="WinCalendar_Calendar_7" localSheetId="9">#REF!</definedName>
    <definedName name="WinCalendar_Calendar_7" localSheetId="8">#REF!</definedName>
    <definedName name="WinCalendar_Calendar_7" localSheetId="7">#REF!</definedName>
    <definedName name="WinCalendar_Calendar_7" localSheetId="2">#REF!</definedName>
    <definedName name="WinCalendar_Calendar_7" localSheetId="1">#REF!</definedName>
    <definedName name="WinCalendar_Calendar_7" localSheetId="0">#REF!</definedName>
    <definedName name="WinCalendar_Calendar_7">#REF!</definedName>
    <definedName name="WinCalendar_Calendar_8" localSheetId="4">#REF!</definedName>
    <definedName name="WinCalendar_Calendar_8" localSheetId="3">#REF!</definedName>
    <definedName name="WinCalendar_Calendar_8" localSheetId="6">#REF!</definedName>
    <definedName name="WinCalendar_Calendar_8" localSheetId="5">#REF!</definedName>
    <definedName name="WinCalendar_Calendar_8" localSheetId="10">#REF!</definedName>
    <definedName name="WinCalendar_Calendar_8" localSheetId="9">#REF!</definedName>
    <definedName name="WinCalendar_Calendar_8" localSheetId="8">#REF!</definedName>
    <definedName name="WinCalendar_Calendar_8" localSheetId="7">#REF!</definedName>
    <definedName name="WinCalendar_Calendar_8" localSheetId="2">#REF!</definedName>
    <definedName name="WinCalendar_Calendar_8" localSheetId="1">#REF!</definedName>
    <definedName name="WinCalendar_Calendar_8" localSheetId="0">#REF!</definedName>
    <definedName name="WinCalendar_Calendar_8">#REF!</definedName>
    <definedName name="WinCalendar_Calendar_9" localSheetId="4">#REF!</definedName>
    <definedName name="WinCalendar_Calendar_9" localSheetId="3">#REF!</definedName>
    <definedName name="WinCalendar_Calendar_9" localSheetId="6">#REF!</definedName>
    <definedName name="WinCalendar_Calendar_9" localSheetId="5">#REF!</definedName>
    <definedName name="WinCalendar_Calendar_9" localSheetId="10">#REF!</definedName>
    <definedName name="WinCalendar_Calendar_9" localSheetId="9">#REF!</definedName>
    <definedName name="WinCalendar_Calendar_9" localSheetId="8">#REF!</definedName>
    <definedName name="WinCalendar_Calendar_9" localSheetId="7">#REF!</definedName>
    <definedName name="WinCalendar_Calendar_9" localSheetId="2">#REF!</definedName>
    <definedName name="WinCalendar_Calendar_9" localSheetId="1">#REF!</definedName>
    <definedName name="WinCalendar_Calendar_9" localSheetId="0">#REF!</definedName>
    <definedName name="WinCalendar_Calendar_9">#REF!</definedName>
    <definedName name="wq" localSheetId="4">#REF!</definedName>
    <definedName name="wq" localSheetId="3">#REF!</definedName>
    <definedName name="wq" localSheetId="6">#REF!</definedName>
    <definedName name="wq" localSheetId="5">#REF!</definedName>
    <definedName name="wq" localSheetId="10">#REF!</definedName>
    <definedName name="wq" localSheetId="9">#REF!</definedName>
    <definedName name="wq" localSheetId="8">#REF!</definedName>
    <definedName name="wq" localSheetId="7">#REF!</definedName>
    <definedName name="wq" localSheetId="2">#REF!</definedName>
    <definedName name="wq" localSheetId="1">#REF!</definedName>
    <definedName name="wq" localSheetId="0">#REF!</definedName>
    <definedName name="wq">#REF!</definedName>
    <definedName name="ww" localSheetId="4">#REF!</definedName>
    <definedName name="ww" localSheetId="3">#REF!</definedName>
    <definedName name="ww" localSheetId="6">#REF!</definedName>
    <definedName name="ww" localSheetId="5">#REF!</definedName>
    <definedName name="ww" localSheetId="10">#REF!</definedName>
    <definedName name="ww" localSheetId="9">#REF!</definedName>
    <definedName name="ww" localSheetId="8">#REF!</definedName>
    <definedName name="ww" localSheetId="7">#REF!</definedName>
    <definedName name="ww" localSheetId="2">#REF!</definedName>
    <definedName name="ww" localSheetId="1">#REF!</definedName>
    <definedName name="ww" localSheetId="0">#REF!</definedName>
    <definedName name="ww">#REF!</definedName>
    <definedName name="www" localSheetId="4">#REF!</definedName>
    <definedName name="www" localSheetId="3">#REF!</definedName>
    <definedName name="www" localSheetId="6">#REF!</definedName>
    <definedName name="www" localSheetId="5">#REF!</definedName>
    <definedName name="www" localSheetId="10">#REF!</definedName>
    <definedName name="www" localSheetId="9">#REF!</definedName>
    <definedName name="www" localSheetId="8">#REF!</definedName>
    <definedName name="www" localSheetId="7">#REF!</definedName>
    <definedName name="www" localSheetId="2">#REF!</definedName>
    <definedName name="www" localSheetId="1">#REF!</definedName>
    <definedName name="www" localSheetId="0">#REF!</definedName>
    <definedName name="www">#REF!</definedName>
    <definedName name="X" localSheetId="4">#REF!</definedName>
    <definedName name="X" localSheetId="3">#REF!</definedName>
    <definedName name="X" localSheetId="6">#REF!</definedName>
    <definedName name="X" localSheetId="5">#REF!</definedName>
    <definedName name="X" localSheetId="10">#REF!</definedName>
    <definedName name="X" localSheetId="9">#REF!</definedName>
    <definedName name="X" localSheetId="8">#REF!</definedName>
    <definedName name="X" localSheetId="7">#REF!</definedName>
    <definedName name="X" localSheetId="2">#REF!</definedName>
    <definedName name="X" localSheetId="1">#REF!</definedName>
    <definedName name="X" localSheetId="0">#REF!</definedName>
    <definedName name="X">#REF!</definedName>
    <definedName name="XFDJXFJ" localSheetId="4">#REF!</definedName>
    <definedName name="XFDJXFJ" localSheetId="3">#REF!</definedName>
    <definedName name="XFDJXFJ" localSheetId="6">#REF!</definedName>
    <definedName name="XFDJXFJ" localSheetId="5">#REF!</definedName>
    <definedName name="XFDJXFJ" localSheetId="10">#REF!</definedName>
    <definedName name="XFDJXFJ" localSheetId="9">#REF!</definedName>
    <definedName name="XFDJXFJ" localSheetId="8">#REF!</definedName>
    <definedName name="XFDJXFJ" localSheetId="7">#REF!</definedName>
    <definedName name="XFDJXFJ" localSheetId="2">#REF!</definedName>
    <definedName name="XFDJXFJ" localSheetId="1">#REF!</definedName>
    <definedName name="XFDJXFJ" localSheetId="0">#REF!</definedName>
    <definedName name="XFDJXFJ">#REF!</definedName>
    <definedName name="XJXJXJX" localSheetId="4">#REF!</definedName>
    <definedName name="XJXJXJX" localSheetId="3">#REF!</definedName>
    <definedName name="XJXJXJX" localSheetId="6">#REF!</definedName>
    <definedName name="XJXJXJX" localSheetId="5">#REF!</definedName>
    <definedName name="XJXJXJX" localSheetId="10">#REF!</definedName>
    <definedName name="XJXJXJX" localSheetId="9">#REF!</definedName>
    <definedName name="XJXJXJX" localSheetId="8">#REF!</definedName>
    <definedName name="XJXJXJX" localSheetId="7">#REF!</definedName>
    <definedName name="XJXJXJX" localSheetId="2">#REF!</definedName>
    <definedName name="XJXJXJX" localSheetId="1">#REF!</definedName>
    <definedName name="XJXJXJX" localSheetId="0">#REF!</definedName>
    <definedName name="XJXJXJX">#REF!</definedName>
    <definedName name="XX" localSheetId="4">#REF!</definedName>
    <definedName name="XX" localSheetId="3">#REF!</definedName>
    <definedName name="XX" localSheetId="6">#REF!</definedName>
    <definedName name="XX" localSheetId="5">#REF!</definedName>
    <definedName name="XX" localSheetId="10">#REF!</definedName>
    <definedName name="XX" localSheetId="9">#REF!</definedName>
    <definedName name="XX" localSheetId="8">#REF!</definedName>
    <definedName name="XX" localSheetId="7">#REF!</definedName>
    <definedName name="XX" localSheetId="2">#REF!</definedName>
    <definedName name="XX" localSheetId="1">#REF!</definedName>
    <definedName name="XX" localSheetId="0">#REF!</definedName>
    <definedName name="XX">#REF!</definedName>
    <definedName name="XXXX" localSheetId="4">#REF!</definedName>
    <definedName name="XXXX" localSheetId="3">#REF!</definedName>
    <definedName name="XXXX" localSheetId="6">#REF!</definedName>
    <definedName name="XXXX" localSheetId="5">#REF!</definedName>
    <definedName name="XXXX" localSheetId="10">#REF!</definedName>
    <definedName name="XXXX" localSheetId="9">#REF!</definedName>
    <definedName name="XXXX" localSheetId="8">#REF!</definedName>
    <definedName name="XXXX" localSheetId="7">#REF!</definedName>
    <definedName name="XXXX" localSheetId="2">#REF!</definedName>
    <definedName name="XXXX" localSheetId="1">#REF!</definedName>
    <definedName name="XXXX" localSheetId="0">#REF!</definedName>
    <definedName name="XXXX">#REF!</definedName>
    <definedName name="xzzx">#N/A</definedName>
    <definedName name="yaallai" localSheetId="4">DATE(YEAR([0]!Loan_Start),MONTH([0]!Loan_Start)+Payment_Number,DAY([0]!Loan_Start))</definedName>
    <definedName name="yaallai" localSheetId="3">DATE(YEAR(Loan_Start),MONTH(Loan_Start)+Payment_Number,DAY(Loan_Start))</definedName>
    <definedName name="yaallai" localSheetId="6">DATE(YEAR([0]!Loan_Start),MONTH([0]!Loan_Start)+Payment_Number,DAY([0]!Loan_Start))</definedName>
    <definedName name="yaallai" localSheetId="5">DATE(YEAR(Loan_Start),MONTH(Loan_Start)+Payment_Number,DAY(Loan_Start))</definedName>
    <definedName name="yaallai" localSheetId="10">DATE(YEAR([0]!Loan_Start),MONTH([0]!Loan_Start)+Payment_Number,DAY([0]!Loan_Start))</definedName>
    <definedName name="yaallai" localSheetId="9">DATE(YEAR(Loan_Start),MONTH(Loan_Start)+Payment_Number,DAY(Loan_Start))</definedName>
    <definedName name="yaallai" localSheetId="8">DATE(YEAR([0]!Loan_Start),MONTH([0]!Loan_Start)+Payment_Number,DAY([0]!Loan_Start))</definedName>
    <definedName name="yaallai" localSheetId="7">DATE(YEAR(Loan_Start),MONTH(Loan_Start)+Payment_Number,DAY(Loan_Start))</definedName>
    <definedName name="yaallai" localSheetId="2">DATE(YEAR([0]!Loan_Start),MONTH([0]!Loan_Start)+Payment_Number,DAY([0]!Loan_Start))</definedName>
    <definedName name="yaallai" localSheetId="1">DATE(YEAR(Loan_Start),MONTH(Loan_Start)+Payment_Number,DAY(Loan_Start))</definedName>
    <definedName name="yaallai" localSheetId="0">DATE(YEAR([0]!Loan_Start),MONTH([0]!Loan_Start)+Payment_Number,DAY([0]!Loan_Start))</definedName>
    <definedName name="yaallai">DATE(YEAR(Loan_Start),MONTH(Loan_Start)+Payment_Number,DAY(Loan_Start))</definedName>
    <definedName name="yaeray" localSheetId="4">#REF!</definedName>
    <definedName name="yaeray" localSheetId="3">#REF!</definedName>
    <definedName name="yaeray" localSheetId="6">#REF!</definedName>
    <definedName name="yaeray" localSheetId="5">#REF!</definedName>
    <definedName name="yaeray" localSheetId="10">#REF!</definedName>
    <definedName name="yaeray" localSheetId="9">#REF!</definedName>
    <definedName name="yaeray" localSheetId="8">#REF!</definedName>
    <definedName name="yaeray" localSheetId="7">#REF!</definedName>
    <definedName name="yaeray" localSheetId="2">#REF!</definedName>
    <definedName name="yaeray" localSheetId="1">#REF!</definedName>
    <definedName name="yaeray" localSheetId="0">#REF!</definedName>
    <definedName name="yaeray">#REF!</definedName>
    <definedName name="yas" localSheetId="4">#REF!</definedName>
    <definedName name="yas" localSheetId="3">#REF!</definedName>
    <definedName name="yas" localSheetId="6">#REF!</definedName>
    <definedName name="yas" localSheetId="5">#REF!</definedName>
    <definedName name="yas" localSheetId="10">#REF!</definedName>
    <definedName name="yas" localSheetId="9">#REF!</definedName>
    <definedName name="yas" localSheetId="8">#REF!</definedName>
    <definedName name="yas" localSheetId="7">#REF!</definedName>
    <definedName name="yas" localSheetId="2">#REF!</definedName>
    <definedName name="yas" localSheetId="1">#REF!</definedName>
    <definedName name="yas" localSheetId="0">#REF!</definedName>
    <definedName name="yas">#REF!</definedName>
    <definedName name="yasmine" localSheetId="4">#REF!</definedName>
    <definedName name="yasmine" localSheetId="3">#REF!</definedName>
    <definedName name="yasmine" localSheetId="6">#REF!</definedName>
    <definedName name="yasmine" localSheetId="5">#REF!</definedName>
    <definedName name="yasmine" localSheetId="10">#REF!</definedName>
    <definedName name="yasmine" localSheetId="9">#REF!</definedName>
    <definedName name="yasmine" localSheetId="8">#REF!</definedName>
    <definedName name="yasmine" localSheetId="7">#REF!</definedName>
    <definedName name="yasmine" localSheetId="2">#REF!</definedName>
    <definedName name="yasmine" localSheetId="1">#REF!</definedName>
    <definedName name="yasmine" localSheetId="0">#REF!</definedName>
    <definedName name="yasmine">#REF!</definedName>
    <definedName name="YDTIDTI" localSheetId="4">#REF!</definedName>
    <definedName name="YDTIDTI" localSheetId="3">#REF!</definedName>
    <definedName name="YDTIDTI" localSheetId="6">#REF!</definedName>
    <definedName name="YDTIDTI" localSheetId="5">#REF!</definedName>
    <definedName name="YDTIDTI" localSheetId="10">#REF!</definedName>
    <definedName name="YDTIDTI" localSheetId="9">#REF!</definedName>
    <definedName name="YDTIDTI" localSheetId="8">#REF!</definedName>
    <definedName name="YDTIDTI" localSheetId="7">#REF!</definedName>
    <definedName name="YDTIDTI" localSheetId="2">#REF!</definedName>
    <definedName name="YDTIDTI" localSheetId="1">#REF!</definedName>
    <definedName name="YDTIDTI" localSheetId="0">#REF!</definedName>
    <definedName name="YDTIDTI">#REF!</definedName>
    <definedName name="yityii" localSheetId="4">#REF!</definedName>
    <definedName name="yityii" localSheetId="3">#REF!</definedName>
    <definedName name="yityii" localSheetId="6">#REF!</definedName>
    <definedName name="yityii" localSheetId="5">#REF!</definedName>
    <definedName name="yityii" localSheetId="10">#REF!</definedName>
    <definedName name="yityii" localSheetId="9">#REF!</definedName>
    <definedName name="yityii" localSheetId="8">#REF!</definedName>
    <definedName name="yityii" localSheetId="7">#REF!</definedName>
    <definedName name="yityii" localSheetId="2">#REF!</definedName>
    <definedName name="yityii" localSheetId="1">#REF!</definedName>
    <definedName name="yityii" localSheetId="0">#REF!</definedName>
    <definedName name="yityii">#REF!</definedName>
    <definedName name="yoopguip" localSheetId="4">#REF!</definedName>
    <definedName name="yoopguip" localSheetId="3">#REF!</definedName>
    <definedName name="yoopguip" localSheetId="6">#REF!</definedName>
    <definedName name="yoopguip" localSheetId="5">#REF!</definedName>
    <definedName name="yoopguip" localSheetId="10">#REF!</definedName>
    <definedName name="yoopguip" localSheetId="9">#REF!</definedName>
    <definedName name="yoopguip" localSheetId="8">#REF!</definedName>
    <definedName name="yoopguip" localSheetId="7">#REF!</definedName>
    <definedName name="yoopguip" localSheetId="2">#REF!</definedName>
    <definedName name="yoopguip" localSheetId="1">#REF!</definedName>
    <definedName name="yoopguip" localSheetId="0">#REF!</definedName>
    <definedName name="yoopguip">#REF!</definedName>
    <definedName name="YSTRUSR" localSheetId="4">#REF!</definedName>
    <definedName name="YSTRUSR" localSheetId="3">#REF!</definedName>
    <definedName name="YSTRUSR" localSheetId="6">#REF!</definedName>
    <definedName name="YSTRUSR" localSheetId="5">#REF!</definedName>
    <definedName name="YSTRUSR" localSheetId="10">#REF!</definedName>
    <definedName name="YSTRUSR" localSheetId="9">#REF!</definedName>
    <definedName name="YSTRUSR" localSheetId="8">#REF!</definedName>
    <definedName name="YSTRUSR" localSheetId="7">#REF!</definedName>
    <definedName name="YSTRUSR" localSheetId="2">#REF!</definedName>
    <definedName name="YSTRUSR" localSheetId="1">#REF!</definedName>
    <definedName name="YSTRUSR" localSheetId="0">#REF!</definedName>
    <definedName name="YSTRUSR">#REF!</definedName>
    <definedName name="YTD" localSheetId="4">[35]Specialities!#REF!</definedName>
    <definedName name="YTD" localSheetId="3">[35]Specialities!#REF!</definedName>
    <definedName name="YTD" localSheetId="6">[35]Specialities!#REF!</definedName>
    <definedName name="YTD" localSheetId="5">[35]Specialities!#REF!</definedName>
    <definedName name="YTD" localSheetId="10">[35]Specialities!#REF!</definedName>
    <definedName name="YTD" localSheetId="9">[35]Specialities!#REF!</definedName>
    <definedName name="YTD" localSheetId="8">[35]Specialities!#REF!</definedName>
    <definedName name="YTD" localSheetId="7">[35]Specialities!#REF!</definedName>
    <definedName name="YTD" localSheetId="2">[35]Specialities!#REF!</definedName>
    <definedName name="YTD" localSheetId="1">[35]Specialities!#REF!</definedName>
    <definedName name="YTD">[35]Specialities!#REF!</definedName>
    <definedName name="ytdityi" localSheetId="4">#REF!</definedName>
    <definedName name="ytdityi" localSheetId="3">#REF!</definedName>
    <definedName name="ytdityi" localSheetId="6">#REF!</definedName>
    <definedName name="ytdityi" localSheetId="5">#REF!</definedName>
    <definedName name="ytdityi" localSheetId="10">#REF!</definedName>
    <definedName name="ytdityi" localSheetId="9">#REF!</definedName>
    <definedName name="ytdityi" localSheetId="8">#REF!</definedName>
    <definedName name="ytdityi" localSheetId="7">#REF!</definedName>
    <definedName name="ytdityi" localSheetId="2">#REF!</definedName>
    <definedName name="ytdityi" localSheetId="1">#REF!</definedName>
    <definedName name="ytdityi" localSheetId="0">#REF!</definedName>
    <definedName name="ytdityi">#REF!</definedName>
    <definedName name="YTITDYI" localSheetId="4">#REF!</definedName>
    <definedName name="YTITDYI" localSheetId="3">#REF!</definedName>
    <definedName name="YTITDYI" localSheetId="6">#REF!</definedName>
    <definedName name="YTITDYI" localSheetId="5">#REF!</definedName>
    <definedName name="YTITDYI" localSheetId="10">#REF!</definedName>
    <definedName name="YTITDYI" localSheetId="9">#REF!</definedName>
    <definedName name="YTITDYI" localSheetId="8">#REF!</definedName>
    <definedName name="YTITDYI" localSheetId="7">#REF!</definedName>
    <definedName name="YTITDYI" localSheetId="2">#REF!</definedName>
    <definedName name="YTITDYI" localSheetId="1">#REF!</definedName>
    <definedName name="YTITDYI" localSheetId="0">#REF!</definedName>
    <definedName name="YTITDYI">#REF!</definedName>
    <definedName name="YTIYTI" localSheetId="4">#REF!</definedName>
    <definedName name="YTIYTI" localSheetId="3">#REF!</definedName>
    <definedName name="YTIYTI" localSheetId="6">#REF!</definedName>
    <definedName name="YTIYTI" localSheetId="5">#REF!</definedName>
    <definedName name="YTIYTI" localSheetId="10">#REF!</definedName>
    <definedName name="YTIYTI" localSheetId="9">#REF!</definedName>
    <definedName name="YTIYTI" localSheetId="8">#REF!</definedName>
    <definedName name="YTIYTI" localSheetId="7">#REF!</definedName>
    <definedName name="YTIYTI" localSheetId="2">#REF!</definedName>
    <definedName name="YTIYTI" localSheetId="1">#REF!</definedName>
    <definedName name="YTIYTI" localSheetId="0">#REF!</definedName>
    <definedName name="YTIYTI">#REF!</definedName>
    <definedName name="yttt" localSheetId="4">#REF!</definedName>
    <definedName name="yttt" localSheetId="3">#REF!</definedName>
    <definedName name="yttt" localSheetId="6">#REF!</definedName>
    <definedName name="yttt" localSheetId="5">#REF!</definedName>
    <definedName name="yttt" localSheetId="10">#REF!</definedName>
    <definedName name="yttt" localSheetId="9">#REF!</definedName>
    <definedName name="yttt" localSheetId="8">#REF!</definedName>
    <definedName name="yttt" localSheetId="7">#REF!</definedName>
    <definedName name="yttt" localSheetId="2">#REF!</definedName>
    <definedName name="yttt" localSheetId="1">#REF!</definedName>
    <definedName name="yttt" localSheetId="0">#REF!</definedName>
    <definedName name="yttt">#REF!</definedName>
    <definedName name="YUIUI" localSheetId="4">#REF!</definedName>
    <definedName name="YUIUI" localSheetId="3">#REF!</definedName>
    <definedName name="YUIUI" localSheetId="6">#REF!</definedName>
    <definedName name="YUIUI" localSheetId="5">#REF!</definedName>
    <definedName name="YUIUI" localSheetId="10">#REF!</definedName>
    <definedName name="YUIUI" localSheetId="9">#REF!</definedName>
    <definedName name="YUIUI" localSheetId="8">#REF!</definedName>
    <definedName name="YUIUI" localSheetId="7">#REF!</definedName>
    <definedName name="YUIUI" localSheetId="2">#REF!</definedName>
    <definedName name="YUIUI" localSheetId="1">#REF!</definedName>
    <definedName name="YUIUI" localSheetId="0">#REF!</definedName>
    <definedName name="YUIUI">#REF!</definedName>
    <definedName name="YUKUY" localSheetId="4">#REF!</definedName>
    <definedName name="YUKUY" localSheetId="3">#REF!</definedName>
    <definedName name="YUKUY" localSheetId="6">#REF!</definedName>
    <definedName name="YUKUY" localSheetId="5">#REF!</definedName>
    <definedName name="YUKUY" localSheetId="10">#REF!</definedName>
    <definedName name="YUKUY" localSheetId="9">#REF!</definedName>
    <definedName name="YUKUY" localSheetId="8">#REF!</definedName>
    <definedName name="YUKUY" localSheetId="7">#REF!</definedName>
    <definedName name="YUKUY" localSheetId="2">#REF!</definedName>
    <definedName name="YUKUY" localSheetId="1">#REF!</definedName>
    <definedName name="YUKUY" localSheetId="0">#REF!</definedName>
    <definedName name="YUKUY">#REF!</definedName>
    <definedName name="YYDTIDT" localSheetId="4">#REF!</definedName>
    <definedName name="YYDTIDT" localSheetId="3">#REF!</definedName>
    <definedName name="YYDTIDT" localSheetId="6">#REF!</definedName>
    <definedName name="YYDTIDT" localSheetId="5">#REF!</definedName>
    <definedName name="YYDTIDT" localSheetId="10">#REF!</definedName>
    <definedName name="YYDTIDT" localSheetId="9">#REF!</definedName>
    <definedName name="YYDTIDT" localSheetId="8">#REF!</definedName>
    <definedName name="YYDTIDT" localSheetId="7">#REF!</definedName>
    <definedName name="YYDTIDT" localSheetId="2">#REF!</definedName>
    <definedName name="YYDTIDT" localSheetId="1">#REF!</definedName>
    <definedName name="YYDTIDT" localSheetId="0">#REF!</definedName>
    <definedName name="YYDTIDT">#REF!</definedName>
    <definedName name="Z" localSheetId="4">#REF!</definedName>
    <definedName name="Z" localSheetId="3">#REF!</definedName>
    <definedName name="Z" localSheetId="6">#REF!</definedName>
    <definedName name="Z" localSheetId="5">#REF!</definedName>
    <definedName name="Z" localSheetId="10">#REF!</definedName>
    <definedName name="Z" localSheetId="9">#REF!</definedName>
    <definedName name="Z" localSheetId="8">#REF!</definedName>
    <definedName name="Z" localSheetId="7">#REF!</definedName>
    <definedName name="Z" localSheetId="2">#REF!</definedName>
    <definedName name="Z" localSheetId="1">#REF!</definedName>
    <definedName name="Z" localSheetId="0">#REF!</definedName>
    <definedName name="Z">#REF!</definedName>
    <definedName name="zaiton" localSheetId="4">#REF!</definedName>
    <definedName name="zaiton" localSheetId="3">#REF!</definedName>
    <definedName name="zaiton" localSheetId="6">#REF!</definedName>
    <definedName name="zaiton" localSheetId="5">#REF!</definedName>
    <definedName name="zaiton" localSheetId="10">#REF!</definedName>
    <definedName name="zaiton" localSheetId="9">#REF!</definedName>
    <definedName name="zaiton" localSheetId="8">#REF!</definedName>
    <definedName name="zaiton" localSheetId="7">#REF!</definedName>
    <definedName name="zaiton" localSheetId="2">#REF!</definedName>
    <definedName name="zaiton" localSheetId="1">#REF!</definedName>
    <definedName name="zaiton" localSheetId="0">#REF!</definedName>
    <definedName name="zaiton">#REF!</definedName>
    <definedName name="zdhfdz" localSheetId="4">#REF!</definedName>
    <definedName name="zdhfdz" localSheetId="3">#REF!</definedName>
    <definedName name="zdhfdz" localSheetId="6">#REF!</definedName>
    <definedName name="zdhfdz" localSheetId="5">#REF!</definedName>
    <definedName name="zdhfdz" localSheetId="10">#REF!</definedName>
    <definedName name="zdhfdz" localSheetId="9">#REF!</definedName>
    <definedName name="zdhfdz" localSheetId="8">#REF!</definedName>
    <definedName name="zdhfdz" localSheetId="7">#REF!</definedName>
    <definedName name="zdhfdz" localSheetId="2">#REF!</definedName>
    <definedName name="zdhfdz" localSheetId="1">#REF!</definedName>
    <definedName name="zdhfdz" localSheetId="0">#REF!</definedName>
    <definedName name="zdhfdz">#REF!</definedName>
    <definedName name="zdhzdfh">IF('[12]General  (3)'!Loan_Amount*'[12]General  (3)'!Interest_Rate*'[12]General  (3)'!Loan_Years*'[12]General  (3)'!Loan_Start&gt;0,1,0)</definedName>
    <definedName name="ZGFZDSG" localSheetId="4">#REF!</definedName>
    <definedName name="ZGFZDSG" localSheetId="3">#REF!</definedName>
    <definedName name="ZGFZDSG" localSheetId="6">#REF!</definedName>
    <definedName name="ZGFZDSG" localSheetId="5">#REF!</definedName>
    <definedName name="ZGFZDSG" localSheetId="10">#REF!</definedName>
    <definedName name="ZGFZDSG" localSheetId="9">#REF!</definedName>
    <definedName name="ZGFZDSG" localSheetId="8">#REF!</definedName>
    <definedName name="ZGFZDSG" localSheetId="7">#REF!</definedName>
    <definedName name="ZGFZDSG" localSheetId="2">#REF!</definedName>
    <definedName name="ZGFZDSG" localSheetId="1">#REF!</definedName>
    <definedName name="ZGFZDSG" localSheetId="0">#REF!</definedName>
    <definedName name="ZGFZDSG">#REF!</definedName>
    <definedName name="ZZZ" localSheetId="4">#REF!</definedName>
    <definedName name="ZZZ" localSheetId="3">#REF!</definedName>
    <definedName name="ZZZ" localSheetId="6">#REF!</definedName>
    <definedName name="ZZZ" localSheetId="5">#REF!</definedName>
    <definedName name="ZZZ" localSheetId="10">#REF!</definedName>
    <definedName name="ZZZ" localSheetId="9">#REF!</definedName>
    <definedName name="ZZZ" localSheetId="8">#REF!</definedName>
    <definedName name="ZZZ" localSheetId="7">#REF!</definedName>
    <definedName name="ZZZ" localSheetId="2">#REF!</definedName>
    <definedName name="ZZZ" localSheetId="1">#REF!</definedName>
    <definedName name="ZZZ" localSheetId="0">#REF!</definedName>
    <definedName name="ZZZ">#REF!</definedName>
    <definedName name="ZZZASXADSDA" localSheetId="4">#REF!</definedName>
    <definedName name="ZZZASXADSDA" localSheetId="3">#REF!</definedName>
    <definedName name="ZZZASXADSDA" localSheetId="6">#REF!</definedName>
    <definedName name="ZZZASXADSDA" localSheetId="5">#REF!</definedName>
    <definedName name="ZZZASXADSDA" localSheetId="10">#REF!</definedName>
    <definedName name="ZZZASXADSDA" localSheetId="9">#REF!</definedName>
    <definedName name="ZZZASXADSDA" localSheetId="8">#REF!</definedName>
    <definedName name="ZZZASXADSDA" localSheetId="7">#REF!</definedName>
    <definedName name="ZZZASXADSDA" localSheetId="2">#REF!</definedName>
    <definedName name="ZZZASXADSDA" localSheetId="1">#REF!</definedName>
    <definedName name="ZZZASXADSDA" localSheetId="0">#REF!</definedName>
    <definedName name="ZZZASXADSDA">#REF!</definedName>
    <definedName name="ZZZZ" localSheetId="4">#REF!</definedName>
    <definedName name="ZZZZ" localSheetId="3">#REF!</definedName>
    <definedName name="ZZZZ" localSheetId="6">#REF!</definedName>
    <definedName name="ZZZZ" localSheetId="5">#REF!</definedName>
    <definedName name="ZZZZ" localSheetId="10">#REF!</definedName>
    <definedName name="ZZZZ" localSheetId="9">#REF!</definedName>
    <definedName name="ZZZZ" localSheetId="8">#REF!</definedName>
    <definedName name="ZZZZ" localSheetId="7">#REF!</definedName>
    <definedName name="ZZZZ" localSheetId="2">#REF!</definedName>
    <definedName name="ZZZZ" localSheetId="1">#REF!</definedName>
    <definedName name="ZZZZ" localSheetId="0">#REF!</definedName>
    <definedName name="ZZZZ">#REF!</definedName>
    <definedName name="ZZZZZZZZZZZZZZZZZZZZZZZZZZZ" localSheetId="4">#REF!</definedName>
    <definedName name="ZZZZZZZZZZZZZZZZZZZZZZZZZZZ" localSheetId="3">#REF!</definedName>
    <definedName name="ZZZZZZZZZZZZZZZZZZZZZZZZZZZ" localSheetId="6">#REF!</definedName>
    <definedName name="ZZZZZZZZZZZZZZZZZZZZZZZZZZZ" localSheetId="5">#REF!</definedName>
    <definedName name="ZZZZZZZZZZZZZZZZZZZZZZZZZZZ" localSheetId="10">#REF!</definedName>
    <definedName name="ZZZZZZZZZZZZZZZZZZZZZZZZZZZ" localSheetId="9">#REF!</definedName>
    <definedName name="ZZZZZZZZZZZZZZZZZZZZZZZZZZZ" localSheetId="8">#REF!</definedName>
    <definedName name="ZZZZZZZZZZZZZZZZZZZZZZZZZZZ" localSheetId="7">#REF!</definedName>
    <definedName name="ZZZZZZZZZZZZZZZZZZZZZZZZZZZ" localSheetId="2">#REF!</definedName>
    <definedName name="ZZZZZZZZZZZZZZZZZZZZZZZZZZZ" localSheetId="1">#REF!</definedName>
    <definedName name="ZZZZZZZZZZZZZZZZZZZZZZZZZZZ" localSheetId="0">#REF!</definedName>
    <definedName name="ZZZZZZZZZZZZZZZZZZZZZZZZZZZ">#REF!</definedName>
    <definedName name="ZZZZZZZZZZZZZZZZZZZZZZZZZZZZZZZZZZZZZ" localSheetId="4">#REF!</definedName>
    <definedName name="ZZZZZZZZZZZZZZZZZZZZZZZZZZZZZZZZZZZZZ" localSheetId="3">#REF!</definedName>
    <definedName name="ZZZZZZZZZZZZZZZZZZZZZZZZZZZZZZZZZZZZZ" localSheetId="6">#REF!</definedName>
    <definedName name="ZZZZZZZZZZZZZZZZZZZZZZZZZZZZZZZZZZZZZ" localSheetId="5">#REF!</definedName>
    <definedName name="ZZZZZZZZZZZZZZZZZZZZZZZZZZZZZZZZZZZZZ" localSheetId="10">#REF!</definedName>
    <definedName name="ZZZZZZZZZZZZZZZZZZZZZZZZZZZZZZZZZZZZZ" localSheetId="9">#REF!</definedName>
    <definedName name="ZZZZZZZZZZZZZZZZZZZZZZZZZZZZZZZZZZZZZ" localSheetId="8">#REF!</definedName>
    <definedName name="ZZZZZZZZZZZZZZZZZZZZZZZZZZZZZZZZZZZZZ" localSheetId="7">#REF!</definedName>
    <definedName name="ZZZZZZZZZZZZZZZZZZZZZZZZZZZZZZZZZZZZZ" localSheetId="2">#REF!</definedName>
    <definedName name="ZZZZZZZZZZZZZZZZZZZZZZZZZZZZZZZZZZZZZ" localSheetId="1">#REF!</definedName>
    <definedName name="ZZZZZZZZZZZZZZZZZZZZZZZZZZZZZZZZZZZZZ" localSheetId="0">#REF!</definedName>
    <definedName name="ZZZZZZZZZZZZZZZZZZZZZZZZZZZZZZZZZZZZZ">#REF!</definedName>
    <definedName name="اااااا" localSheetId="4">#REF!</definedName>
    <definedName name="اااااا" localSheetId="3">#REF!</definedName>
    <definedName name="اااااا" localSheetId="6">#REF!</definedName>
    <definedName name="اااااا" localSheetId="5">#REF!</definedName>
    <definedName name="اااااا" localSheetId="10">#REF!</definedName>
    <definedName name="اااااا" localSheetId="9">#REF!</definedName>
    <definedName name="اااااا" localSheetId="8">#REF!</definedName>
    <definedName name="اااااا" localSheetId="7">#REF!</definedName>
    <definedName name="اااااا" localSheetId="2">#REF!</definedName>
    <definedName name="اااااا" localSheetId="1">#REF!</definedName>
    <definedName name="اااااا" localSheetId="0">#REF!</definedName>
    <definedName name="اااااا">#REF!</definedName>
    <definedName name="احمد_صبحى" localSheetId="4">#REF!</definedName>
    <definedName name="احمد_صبحى" localSheetId="3">#REF!</definedName>
    <definedName name="احمد_صبحى" localSheetId="6">#REF!</definedName>
    <definedName name="احمد_صبحى" localSheetId="5">#REF!</definedName>
    <definedName name="احمد_صبحى" localSheetId="10">#REF!</definedName>
    <definedName name="احمد_صبحى" localSheetId="9">#REF!</definedName>
    <definedName name="احمد_صبحى" localSheetId="8">#REF!</definedName>
    <definedName name="احمد_صبحى" localSheetId="7">#REF!</definedName>
    <definedName name="احمد_صبحى" localSheetId="2">#REF!</definedName>
    <definedName name="احمد_صبحى" localSheetId="1">#REF!</definedName>
    <definedName name="احمد_صبحى" localSheetId="0">#REF!</definedName>
    <definedName name="احمد_صبحى">#REF!</definedName>
    <definedName name="الأسنان" localSheetId="4">#REF!</definedName>
    <definedName name="الأسنان" localSheetId="3">#REF!</definedName>
    <definedName name="الأسنان" localSheetId="6">#REF!</definedName>
    <definedName name="الأسنان" localSheetId="5">#REF!</definedName>
    <definedName name="الأسنان" localSheetId="10">#REF!</definedName>
    <definedName name="الأسنان" localSheetId="9">#REF!</definedName>
    <definedName name="الأسنان" localSheetId="8">#REF!</definedName>
    <definedName name="الأسنان" localSheetId="7">#REF!</definedName>
    <definedName name="الأسنان" localSheetId="2">#REF!</definedName>
    <definedName name="الأسنان" localSheetId="1">#REF!</definedName>
    <definedName name="الأسنان" localSheetId="0">#REF!</definedName>
    <definedName name="الأسنان">#REF!</definedName>
    <definedName name="الاشعة" localSheetId="4">#REF!</definedName>
    <definedName name="الاشعة" localSheetId="3">#REF!</definedName>
    <definedName name="الاشعة" localSheetId="6">#REF!</definedName>
    <definedName name="الاشعة" localSheetId="5">#REF!</definedName>
    <definedName name="الاشعة" localSheetId="10">#REF!</definedName>
    <definedName name="الاشعة" localSheetId="9">#REF!</definedName>
    <definedName name="الاشعة" localSheetId="8">#REF!</definedName>
    <definedName name="الاشعة" localSheetId="7">#REF!</definedName>
    <definedName name="الاشعة" localSheetId="2">#REF!</definedName>
    <definedName name="الاشعة" localSheetId="1">#REF!</definedName>
    <definedName name="الاشعة" localSheetId="0">#REF!</definedName>
    <definedName name="الاشعة">#REF!</definedName>
    <definedName name="الاشعة\" localSheetId="4">#REF!</definedName>
    <definedName name="الاشعة\" localSheetId="3">#REF!</definedName>
    <definedName name="الاشعة\" localSheetId="6">#REF!</definedName>
    <definedName name="الاشعة\" localSheetId="5">#REF!</definedName>
    <definedName name="الاشعة\" localSheetId="10">#REF!</definedName>
    <definedName name="الاشعة\" localSheetId="9">#REF!</definedName>
    <definedName name="الاشعة\" localSheetId="8">#REF!</definedName>
    <definedName name="الاشعة\" localSheetId="7">#REF!</definedName>
    <definedName name="الاشعة\" localSheetId="2">#REF!</definedName>
    <definedName name="الاشعة\" localSheetId="1">#REF!</definedName>
    <definedName name="الاشعة\" localSheetId="0">#REF!</definedName>
    <definedName name="الاشعة\">#REF!</definedName>
    <definedName name="الإضافي_الثابت" localSheetId="4">#REF!</definedName>
    <definedName name="الإضافي_الثابت" localSheetId="3">#REF!</definedName>
    <definedName name="الإضافي_الثابت" localSheetId="6">#REF!</definedName>
    <definedName name="الإضافي_الثابت" localSheetId="5">#REF!</definedName>
    <definedName name="الإضافي_الثابت" localSheetId="10">#REF!</definedName>
    <definedName name="الإضافي_الثابت" localSheetId="9">#REF!</definedName>
    <definedName name="الإضافي_الثابت" localSheetId="8">#REF!</definedName>
    <definedName name="الإضافي_الثابت" localSheetId="7">#REF!</definedName>
    <definedName name="الإضافي_الثابت" localSheetId="2">#REF!</definedName>
    <definedName name="الإضافي_الثابت" localSheetId="1">#REF!</definedName>
    <definedName name="الإضافي_الثابت" localSheetId="0">#REF!</definedName>
    <definedName name="الإضافي_الثابت">#REF!</definedName>
    <definedName name="الأطفال" localSheetId="4">#REF!</definedName>
    <definedName name="الأطفال" localSheetId="3">#REF!</definedName>
    <definedName name="الأطفال" localSheetId="6">#REF!</definedName>
    <definedName name="الأطفال" localSheetId="5">#REF!</definedName>
    <definedName name="الأطفال" localSheetId="10">#REF!</definedName>
    <definedName name="الأطفال" localSheetId="9">#REF!</definedName>
    <definedName name="الأطفال" localSheetId="8">#REF!</definedName>
    <definedName name="الأطفال" localSheetId="7">#REF!</definedName>
    <definedName name="الأطفال" localSheetId="2">#REF!</definedName>
    <definedName name="الأطفال" localSheetId="1">#REF!</definedName>
    <definedName name="الأطفال" localSheetId="0">#REF!</definedName>
    <definedName name="الأطفال">#REF!</definedName>
    <definedName name="الإنصراف_المبكر" localSheetId="4">#REF!</definedName>
    <definedName name="الإنصراف_المبكر" localSheetId="3">#REF!</definedName>
    <definedName name="الإنصراف_المبكر" localSheetId="6">#REF!</definedName>
    <definedName name="الإنصراف_المبكر" localSheetId="5">#REF!</definedName>
    <definedName name="الإنصراف_المبكر" localSheetId="10">#REF!</definedName>
    <definedName name="الإنصراف_المبكر" localSheetId="9">#REF!</definedName>
    <definedName name="الإنصراف_المبكر" localSheetId="8">#REF!</definedName>
    <definedName name="الإنصراف_المبكر" localSheetId="7">#REF!</definedName>
    <definedName name="الإنصراف_المبكر" localSheetId="2">#REF!</definedName>
    <definedName name="الإنصراف_المبكر" localSheetId="1">#REF!</definedName>
    <definedName name="الإنصراف_المبكر" localSheetId="0">#REF!</definedName>
    <definedName name="الإنصراف_المبكر">#REF!</definedName>
    <definedName name="الأورام" localSheetId="4">#REF!</definedName>
    <definedName name="الأورام" localSheetId="3">#REF!</definedName>
    <definedName name="الأورام" localSheetId="6">#REF!</definedName>
    <definedName name="الأورام" localSheetId="5">#REF!</definedName>
    <definedName name="الأورام" localSheetId="10">#REF!</definedName>
    <definedName name="الأورام" localSheetId="9">#REF!</definedName>
    <definedName name="الأورام" localSheetId="8">#REF!</definedName>
    <definedName name="الأورام" localSheetId="7">#REF!</definedName>
    <definedName name="الأورام" localSheetId="2">#REF!</definedName>
    <definedName name="الأورام" localSheetId="1">#REF!</definedName>
    <definedName name="الأورام" localSheetId="0">#REF!</definedName>
    <definedName name="الأورام">#REF!</definedName>
    <definedName name="الباطنة" localSheetId="4">#REF!</definedName>
    <definedName name="الباطنة" localSheetId="3">#REF!</definedName>
    <definedName name="الباطنة" localSheetId="6">#REF!</definedName>
    <definedName name="الباطنة" localSheetId="5">#REF!</definedName>
    <definedName name="الباطنة" localSheetId="10">#REF!</definedName>
    <definedName name="الباطنة" localSheetId="9">#REF!</definedName>
    <definedName name="الباطنة" localSheetId="8">#REF!</definedName>
    <definedName name="الباطنة" localSheetId="7">#REF!</definedName>
    <definedName name="الباطنة" localSheetId="2">#REF!</definedName>
    <definedName name="الباطنة" localSheetId="1">#REF!</definedName>
    <definedName name="الباطنة" localSheetId="0">#REF!</definedName>
    <definedName name="الباطنة">#REF!</definedName>
    <definedName name="الباطنه" localSheetId="4">#REF!</definedName>
    <definedName name="الباطنه" localSheetId="3">#REF!</definedName>
    <definedName name="الباطنه" localSheetId="6">#REF!</definedName>
    <definedName name="الباطنه" localSheetId="5">#REF!</definedName>
    <definedName name="الباطنه" localSheetId="10">#REF!</definedName>
    <definedName name="الباطنه" localSheetId="9">#REF!</definedName>
    <definedName name="الباطنه" localSheetId="8">#REF!</definedName>
    <definedName name="الباطنه" localSheetId="7">#REF!</definedName>
    <definedName name="الباطنه" localSheetId="2">#REF!</definedName>
    <definedName name="الباطنه" localSheetId="1">#REF!</definedName>
    <definedName name="الباطنه" localSheetId="0">#REF!</definedName>
    <definedName name="الباطنه">#REF!</definedName>
    <definedName name="التأخير_اكثر_من_ساعة" localSheetId="4">#REF!</definedName>
    <definedName name="التأخير_اكثر_من_ساعة" localSheetId="3">#REF!</definedName>
    <definedName name="التأخير_اكثر_من_ساعة" localSheetId="6">#REF!</definedName>
    <definedName name="التأخير_اكثر_من_ساعة" localSheetId="5">#REF!</definedName>
    <definedName name="التأخير_اكثر_من_ساعة" localSheetId="10">#REF!</definedName>
    <definedName name="التأخير_اكثر_من_ساعة" localSheetId="9">#REF!</definedName>
    <definedName name="التأخير_اكثر_من_ساعة" localSheetId="8">#REF!</definedName>
    <definedName name="التأخير_اكثر_من_ساعة" localSheetId="7">#REF!</definedName>
    <definedName name="التأخير_اكثر_من_ساعة" localSheetId="2">#REF!</definedName>
    <definedName name="التأخير_اكثر_من_ساعة" localSheetId="1">#REF!</definedName>
    <definedName name="التأخير_اكثر_من_ساعة" localSheetId="0">#REF!</definedName>
    <definedName name="التأخير_اكثر_من_ساعة">#REF!</definedName>
    <definedName name="التخاطب" localSheetId="4">#REF!</definedName>
    <definedName name="التخاطب" localSheetId="3">#REF!</definedName>
    <definedName name="التخاطب" localSheetId="6">#REF!</definedName>
    <definedName name="التخاطب" localSheetId="5">#REF!</definedName>
    <definedName name="التخاطب" localSheetId="10">#REF!</definedName>
    <definedName name="التخاطب" localSheetId="9">#REF!</definedName>
    <definedName name="التخاطب" localSheetId="8">#REF!</definedName>
    <definedName name="التخاطب" localSheetId="7">#REF!</definedName>
    <definedName name="التخاطب" localSheetId="2">#REF!</definedName>
    <definedName name="التخاطب" localSheetId="1">#REF!</definedName>
    <definedName name="التخاطب" localSheetId="0">#REF!</definedName>
    <definedName name="التخاطب">#REF!</definedName>
    <definedName name="التغذية" localSheetId="4">#REF!</definedName>
    <definedName name="التغذية" localSheetId="3">#REF!</definedName>
    <definedName name="التغذية" localSheetId="6">#REF!</definedName>
    <definedName name="التغذية" localSheetId="5">#REF!</definedName>
    <definedName name="التغذية" localSheetId="10">#REF!</definedName>
    <definedName name="التغذية" localSheetId="9">#REF!</definedName>
    <definedName name="التغذية" localSheetId="8">#REF!</definedName>
    <definedName name="التغذية" localSheetId="7">#REF!</definedName>
    <definedName name="التغذية" localSheetId="2">#REF!</definedName>
    <definedName name="التغذية" localSheetId="1">#REF!</definedName>
    <definedName name="التغذية" localSheetId="0">#REF!</definedName>
    <definedName name="التغذية">#REF!</definedName>
    <definedName name="الجراحة" localSheetId="4">#REF!</definedName>
    <definedName name="الجراحة" localSheetId="3">#REF!</definedName>
    <definedName name="الجراحة" localSheetId="6">#REF!</definedName>
    <definedName name="الجراحة" localSheetId="5">#REF!</definedName>
    <definedName name="الجراحة" localSheetId="10">#REF!</definedName>
    <definedName name="الجراحة" localSheetId="9">#REF!</definedName>
    <definedName name="الجراحة" localSheetId="8">#REF!</definedName>
    <definedName name="الجراحة" localSheetId="7">#REF!</definedName>
    <definedName name="الجراحة" localSheetId="2">#REF!</definedName>
    <definedName name="الجراحة" localSheetId="1">#REF!</definedName>
    <definedName name="الجراحة" localSheetId="0">#REF!</definedName>
    <definedName name="الجراحة">#REF!</definedName>
    <definedName name="الجراحه" localSheetId="4">#REF!</definedName>
    <definedName name="الجراحه" localSheetId="3">#REF!</definedName>
    <definedName name="الجراحه" localSheetId="6">#REF!</definedName>
    <definedName name="الجراحه" localSheetId="5">#REF!</definedName>
    <definedName name="الجراحه" localSheetId="10">#REF!</definedName>
    <definedName name="الجراحه" localSheetId="9">#REF!</definedName>
    <definedName name="الجراحه" localSheetId="8">#REF!</definedName>
    <definedName name="الجراحه" localSheetId="7">#REF!</definedName>
    <definedName name="الجراحه" localSheetId="2">#REF!</definedName>
    <definedName name="الجراحه" localSheetId="1">#REF!</definedName>
    <definedName name="الجراحه" localSheetId="0">#REF!</definedName>
    <definedName name="الجراحه">#REF!</definedName>
    <definedName name="الجلدية" localSheetId="4">#REF!</definedName>
    <definedName name="الجلدية" localSheetId="3">#REF!</definedName>
    <definedName name="الجلدية" localSheetId="6">#REF!</definedName>
    <definedName name="الجلدية" localSheetId="5">#REF!</definedName>
    <definedName name="الجلدية" localSheetId="10">#REF!</definedName>
    <definedName name="الجلدية" localSheetId="9">#REF!</definedName>
    <definedName name="الجلدية" localSheetId="8">#REF!</definedName>
    <definedName name="الجلدية" localSheetId="7">#REF!</definedName>
    <definedName name="الجلدية" localSheetId="2">#REF!</definedName>
    <definedName name="الجلدية" localSheetId="1">#REF!</definedName>
    <definedName name="الجلدية" localSheetId="0">#REF!</definedName>
    <definedName name="الجلدية">#REF!</definedName>
    <definedName name="الحسابات" localSheetId="4">#REF!</definedName>
    <definedName name="الحسابات" localSheetId="3">#REF!</definedName>
    <definedName name="الحسابات" localSheetId="6">#REF!</definedName>
    <definedName name="الحسابات" localSheetId="5">#REF!</definedName>
    <definedName name="الحسابات" localSheetId="10">#REF!</definedName>
    <definedName name="الحسابات" localSheetId="9">#REF!</definedName>
    <definedName name="الحسابات" localSheetId="8">#REF!</definedName>
    <definedName name="الحسابات" localSheetId="7">#REF!</definedName>
    <definedName name="الحسابات" localSheetId="2">#REF!</definedName>
    <definedName name="الحسابات" localSheetId="1">#REF!</definedName>
    <definedName name="الحسابات" localSheetId="0">#REF!</definedName>
    <definedName name="الحسابات">#REF!</definedName>
    <definedName name="الرمد" localSheetId="4">#REF!</definedName>
    <definedName name="الرمد" localSheetId="3">#REF!</definedName>
    <definedName name="الرمد" localSheetId="6">#REF!</definedName>
    <definedName name="الرمد" localSheetId="5">#REF!</definedName>
    <definedName name="الرمد" localSheetId="10">#REF!</definedName>
    <definedName name="الرمد" localSheetId="9">#REF!</definedName>
    <definedName name="الرمد" localSheetId="8">#REF!</definedName>
    <definedName name="الرمد" localSheetId="7">#REF!</definedName>
    <definedName name="الرمد" localSheetId="2">#REF!</definedName>
    <definedName name="الرمد" localSheetId="1">#REF!</definedName>
    <definedName name="الرمد" localSheetId="0">#REF!</definedName>
    <definedName name="الرمد">#REF!</definedName>
    <definedName name="السمعيات" localSheetId="4">#REF!</definedName>
    <definedName name="السمعيات" localSheetId="3">#REF!</definedName>
    <definedName name="السمعيات" localSheetId="6">#REF!</definedName>
    <definedName name="السمعيات" localSheetId="5">#REF!</definedName>
    <definedName name="السمعيات" localSheetId="10">#REF!</definedName>
    <definedName name="السمعيات" localSheetId="9">#REF!</definedName>
    <definedName name="السمعيات" localSheetId="8">#REF!</definedName>
    <definedName name="السمعيات" localSheetId="7">#REF!</definedName>
    <definedName name="السمعيات" localSheetId="2">#REF!</definedName>
    <definedName name="السمعيات" localSheetId="1">#REF!</definedName>
    <definedName name="السمعيات" localSheetId="0">#REF!</definedName>
    <definedName name="السمعيات">#REF!</definedName>
    <definedName name="الصدرية" localSheetId="4">#REF!</definedName>
    <definedName name="الصدرية" localSheetId="3">#REF!</definedName>
    <definedName name="الصدرية" localSheetId="6">#REF!</definedName>
    <definedName name="الصدرية" localSheetId="5">#REF!</definedName>
    <definedName name="الصدرية" localSheetId="10">#REF!</definedName>
    <definedName name="الصدرية" localSheetId="9">#REF!</definedName>
    <definedName name="الصدرية" localSheetId="8">#REF!</definedName>
    <definedName name="الصدرية" localSheetId="7">#REF!</definedName>
    <definedName name="الصدرية" localSheetId="2">#REF!</definedName>
    <definedName name="الصدرية" localSheetId="1">#REF!</definedName>
    <definedName name="الصدرية" localSheetId="0">#REF!</definedName>
    <definedName name="الصدرية">#REF!</definedName>
    <definedName name="الطب_الطبيعى" localSheetId="4">#REF!</definedName>
    <definedName name="الطب_الطبيعى" localSheetId="3">#REF!</definedName>
    <definedName name="الطب_الطبيعى" localSheetId="6">#REF!</definedName>
    <definedName name="الطب_الطبيعى" localSheetId="5">#REF!</definedName>
    <definedName name="الطب_الطبيعى" localSheetId="10">#REF!</definedName>
    <definedName name="الطب_الطبيعى" localSheetId="9">#REF!</definedName>
    <definedName name="الطب_الطبيعى" localSheetId="8">#REF!</definedName>
    <definedName name="الطب_الطبيعى" localSheetId="7">#REF!</definedName>
    <definedName name="الطب_الطبيعى" localSheetId="2">#REF!</definedName>
    <definedName name="الطب_الطبيعى" localSheetId="1">#REF!</definedName>
    <definedName name="الطب_الطبيعى" localSheetId="0">#REF!</definedName>
    <definedName name="الطب_الطبيعى">#REF!</definedName>
    <definedName name="العصبية_والنفسية" localSheetId="4">#REF!</definedName>
    <definedName name="العصبية_والنفسية" localSheetId="3">#REF!</definedName>
    <definedName name="العصبية_والنفسية" localSheetId="6">#REF!</definedName>
    <definedName name="العصبية_والنفسية" localSheetId="5">#REF!</definedName>
    <definedName name="العصبية_والنفسية" localSheetId="10">#REF!</definedName>
    <definedName name="العصبية_والنفسية" localSheetId="9">#REF!</definedName>
    <definedName name="العصبية_والنفسية" localSheetId="8">#REF!</definedName>
    <definedName name="العصبية_والنفسية" localSheetId="7">#REF!</definedName>
    <definedName name="العصبية_والنفسية" localSheetId="2">#REF!</definedName>
    <definedName name="العصبية_والنفسية" localSheetId="1">#REF!</definedName>
    <definedName name="العصبية_والنفسية" localSheetId="0">#REF!</definedName>
    <definedName name="العصبية_والنفسية">#REF!</definedName>
    <definedName name="العظام" localSheetId="4">#REF!</definedName>
    <definedName name="العظام" localSheetId="3">#REF!</definedName>
    <definedName name="العظام" localSheetId="6">#REF!</definedName>
    <definedName name="العظام" localSheetId="5">#REF!</definedName>
    <definedName name="العظام" localSheetId="10">#REF!</definedName>
    <definedName name="العظام" localSheetId="9">#REF!</definedName>
    <definedName name="العظام" localSheetId="8">#REF!</definedName>
    <definedName name="العظام" localSheetId="7">#REF!</definedName>
    <definedName name="العظام" localSheetId="2">#REF!</definedName>
    <definedName name="العظام" localSheetId="1">#REF!</definedName>
    <definedName name="العظام" localSheetId="0">#REF!</definedName>
    <definedName name="العظام">#REF!</definedName>
    <definedName name="العظام\" localSheetId="4">#REF!</definedName>
    <definedName name="العظام\" localSheetId="3">#REF!</definedName>
    <definedName name="العظام\" localSheetId="6">#REF!</definedName>
    <definedName name="العظام\" localSheetId="5">#REF!</definedName>
    <definedName name="العظام\" localSheetId="10">#REF!</definedName>
    <definedName name="العظام\" localSheetId="9">#REF!</definedName>
    <definedName name="العظام\" localSheetId="8">#REF!</definedName>
    <definedName name="العظام\" localSheetId="7">#REF!</definedName>
    <definedName name="العظام\" localSheetId="2">#REF!</definedName>
    <definedName name="العظام\" localSheetId="1">#REF!</definedName>
    <definedName name="العظام\" localSheetId="0">#REF!</definedName>
    <definedName name="العظام\">#REF!</definedName>
    <definedName name="الفئات" localSheetId="4">#REF!</definedName>
    <definedName name="الفئات" localSheetId="3">#REF!</definedName>
    <definedName name="الفئات" localSheetId="6">#REF!</definedName>
    <definedName name="الفئات" localSheetId="5">#REF!</definedName>
    <definedName name="الفئات" localSheetId="10">#REF!</definedName>
    <definedName name="الفئات" localSheetId="9">#REF!</definedName>
    <definedName name="الفئات" localSheetId="8">#REF!</definedName>
    <definedName name="الفئات" localSheetId="7">#REF!</definedName>
    <definedName name="الفئات" localSheetId="2">#REF!</definedName>
    <definedName name="الفئات" localSheetId="1">#REF!</definedName>
    <definedName name="الفئات" localSheetId="0">#REF!</definedName>
    <definedName name="الفئات">#REF!</definedName>
    <definedName name="القلب" localSheetId="4">#REF!</definedName>
    <definedName name="القلب" localSheetId="3">#REF!</definedName>
    <definedName name="القلب" localSheetId="6">#REF!</definedName>
    <definedName name="القلب" localSheetId="5">#REF!</definedName>
    <definedName name="القلب" localSheetId="10">#REF!</definedName>
    <definedName name="القلب" localSheetId="9">#REF!</definedName>
    <definedName name="القلب" localSheetId="8">#REF!</definedName>
    <definedName name="القلب" localSheetId="7">#REF!</definedName>
    <definedName name="القلب" localSheetId="2">#REF!</definedName>
    <definedName name="القلب" localSheetId="1">#REF!</definedName>
    <definedName name="القلب" localSheetId="0">#REF!</definedName>
    <definedName name="القلب">#REF!</definedName>
    <definedName name="المسالك" localSheetId="4">#REF!</definedName>
    <definedName name="المسالك" localSheetId="3">#REF!</definedName>
    <definedName name="المسالك" localSheetId="6">#REF!</definedName>
    <definedName name="المسالك" localSheetId="5">#REF!</definedName>
    <definedName name="المسالك" localSheetId="10">#REF!</definedName>
    <definedName name="المسالك" localSheetId="9">#REF!</definedName>
    <definedName name="المسالك" localSheetId="8">#REF!</definedName>
    <definedName name="المسالك" localSheetId="7">#REF!</definedName>
    <definedName name="المسالك" localSheetId="2">#REF!</definedName>
    <definedName name="المسالك" localSheetId="1">#REF!</definedName>
    <definedName name="المسالك" localSheetId="0">#REF!</definedName>
    <definedName name="المسالك">#REF!</definedName>
    <definedName name="النساء" localSheetId="4">#REF!</definedName>
    <definedName name="النساء" localSheetId="3">#REF!</definedName>
    <definedName name="النساء" localSheetId="6">#REF!</definedName>
    <definedName name="النساء" localSheetId="5">#REF!</definedName>
    <definedName name="النساء" localSheetId="10">#REF!</definedName>
    <definedName name="النساء" localSheetId="9">#REF!</definedName>
    <definedName name="النساء" localSheetId="8">#REF!</definedName>
    <definedName name="النساء" localSheetId="7">#REF!</definedName>
    <definedName name="النساء" localSheetId="2">#REF!</definedName>
    <definedName name="النساء" localSheetId="1">#REF!</definedName>
    <definedName name="النساء" localSheetId="0">#REF!</definedName>
    <definedName name="النساء">#REF!</definedName>
    <definedName name="النساء\" localSheetId="4">#REF!</definedName>
    <definedName name="النساء\" localSheetId="3">#REF!</definedName>
    <definedName name="النساء\" localSheetId="6">#REF!</definedName>
    <definedName name="النساء\" localSheetId="5">#REF!</definedName>
    <definedName name="النساء\" localSheetId="10">#REF!</definedName>
    <definedName name="النساء\" localSheetId="9">#REF!</definedName>
    <definedName name="النساء\" localSheetId="8">#REF!</definedName>
    <definedName name="النساء\" localSheetId="7">#REF!</definedName>
    <definedName name="النساء\" localSheetId="2">#REF!</definedName>
    <definedName name="النساء\" localSheetId="1">#REF!</definedName>
    <definedName name="النساء\" localSheetId="0">#REF!</definedName>
    <definedName name="النساء\">#REF!</definedName>
    <definedName name="أمراض_دم" localSheetId="4">#REF!</definedName>
    <definedName name="أمراض_دم" localSheetId="3">#REF!</definedName>
    <definedName name="أمراض_دم" localSheetId="6">#REF!</definedName>
    <definedName name="أمراض_دم" localSheetId="5">#REF!</definedName>
    <definedName name="أمراض_دم" localSheetId="10">#REF!</definedName>
    <definedName name="أمراض_دم" localSheetId="9">#REF!</definedName>
    <definedName name="أمراض_دم" localSheetId="8">#REF!</definedName>
    <definedName name="أمراض_دم" localSheetId="7">#REF!</definedName>
    <definedName name="أمراض_دم" localSheetId="2">#REF!</definedName>
    <definedName name="أمراض_دم" localSheetId="1">#REF!</definedName>
    <definedName name="أمراض_دم" localSheetId="0">#REF!</definedName>
    <definedName name="أمراض_دم">#REF!</definedName>
    <definedName name="أنف_وأذن" localSheetId="4">#REF!</definedName>
    <definedName name="أنف_وأذن" localSheetId="3">#REF!</definedName>
    <definedName name="أنف_وأذن" localSheetId="6">#REF!</definedName>
    <definedName name="أنف_وأذن" localSheetId="5">#REF!</definedName>
    <definedName name="أنف_وأذن" localSheetId="10">#REF!</definedName>
    <definedName name="أنف_وأذن" localSheetId="9">#REF!</definedName>
    <definedName name="أنف_وأذن" localSheetId="8">#REF!</definedName>
    <definedName name="أنف_وأذن" localSheetId="7">#REF!</definedName>
    <definedName name="أنف_وأذن" localSheetId="2">#REF!</definedName>
    <definedName name="أنف_وأذن" localSheetId="1">#REF!</definedName>
    <definedName name="أنف_وأذن" localSheetId="0">#REF!</definedName>
    <definedName name="أنف_وأذن">#REF!</definedName>
    <definedName name="بترول" localSheetId="4">#REF!</definedName>
    <definedName name="بترول" localSheetId="3">#REF!</definedName>
    <definedName name="بترول" localSheetId="6">#REF!</definedName>
    <definedName name="بترول" localSheetId="5">#REF!</definedName>
    <definedName name="بترول" localSheetId="10">#REF!</definedName>
    <definedName name="بترول" localSheetId="9">#REF!</definedName>
    <definedName name="بترول" localSheetId="8">#REF!</definedName>
    <definedName name="بترول" localSheetId="7">#REF!</definedName>
    <definedName name="بترول" localSheetId="2">#REF!</definedName>
    <definedName name="بترول" localSheetId="1">#REF!</definedName>
    <definedName name="بترول" localSheetId="0">#REF!</definedName>
    <definedName name="بترول">#REF!</definedName>
    <definedName name="برة" localSheetId="4">#REF!</definedName>
    <definedName name="برة" localSheetId="3">#REF!</definedName>
    <definedName name="برة" localSheetId="6">#REF!</definedName>
    <definedName name="برة" localSheetId="5">#REF!</definedName>
    <definedName name="برة" localSheetId="10">#REF!</definedName>
    <definedName name="برة" localSheetId="9">#REF!</definedName>
    <definedName name="برة" localSheetId="8">#REF!</definedName>
    <definedName name="برة" localSheetId="7">#REF!</definedName>
    <definedName name="برة" localSheetId="2">#REF!</definedName>
    <definedName name="برة" localSheetId="1">#REF!</definedName>
    <definedName name="برة" localSheetId="0">#REF!</definedName>
    <definedName name="برة">#REF!</definedName>
    <definedName name="بنوك" localSheetId="4">#REF!</definedName>
    <definedName name="بنوك" localSheetId="3">#REF!</definedName>
    <definedName name="بنوك" localSheetId="6">#REF!</definedName>
    <definedName name="بنوك" localSheetId="5">#REF!</definedName>
    <definedName name="بنوك" localSheetId="10">#REF!</definedName>
    <definedName name="بنوك" localSheetId="9">#REF!</definedName>
    <definedName name="بنوك" localSheetId="8">#REF!</definedName>
    <definedName name="بنوك" localSheetId="7">#REF!</definedName>
    <definedName name="بنوك" localSheetId="2">#REF!</definedName>
    <definedName name="بنوك" localSheetId="1">#REF!</definedName>
    <definedName name="بنوك" localSheetId="0">#REF!</definedName>
    <definedName name="بنوك">#REF!</definedName>
    <definedName name="تامين" localSheetId="4">#REF!</definedName>
    <definedName name="تامين" localSheetId="3">#REF!</definedName>
    <definedName name="تامين" localSheetId="6">#REF!</definedName>
    <definedName name="تامين" localSheetId="5">#REF!</definedName>
    <definedName name="تامين" localSheetId="10">#REF!</definedName>
    <definedName name="تامين" localSheetId="9">#REF!</definedName>
    <definedName name="تامين" localSheetId="8">#REF!</definedName>
    <definedName name="تامين" localSheetId="7">#REF!</definedName>
    <definedName name="تامين" localSheetId="2">#REF!</definedName>
    <definedName name="تامين" localSheetId="1">#REF!</definedName>
    <definedName name="تامين" localSheetId="0">#REF!</definedName>
    <definedName name="تامين">#REF!</definedName>
    <definedName name="تصنيف_الفئات" localSheetId="4">#REF!</definedName>
    <definedName name="تصنيف_الفئات" localSheetId="3">#REF!</definedName>
    <definedName name="تصنيف_الفئات" localSheetId="6">#REF!</definedName>
    <definedName name="تصنيف_الفئات" localSheetId="5">#REF!</definedName>
    <definedName name="تصنيف_الفئات" localSheetId="10">#REF!</definedName>
    <definedName name="تصنيف_الفئات" localSheetId="9">#REF!</definedName>
    <definedName name="تصنيف_الفئات" localSheetId="8">#REF!</definedName>
    <definedName name="تصنيف_الفئات" localSheetId="7">#REF!</definedName>
    <definedName name="تصنيف_الفئات" localSheetId="2">#REF!</definedName>
    <definedName name="تصنيف_الفئات" localSheetId="1">#REF!</definedName>
    <definedName name="تصنيف_الفئات" localSheetId="0">#REF!</definedName>
    <definedName name="تصنيف_الفئات">#REF!</definedName>
    <definedName name="جراحة_الأطفال" localSheetId="4">#REF!</definedName>
    <definedName name="جراحة_الأطفال" localSheetId="3">#REF!</definedName>
    <definedName name="جراحة_الأطفال" localSheetId="6">#REF!</definedName>
    <definedName name="جراحة_الأطفال" localSheetId="5">#REF!</definedName>
    <definedName name="جراحة_الأطفال" localSheetId="10">#REF!</definedName>
    <definedName name="جراحة_الأطفال" localSheetId="9">#REF!</definedName>
    <definedName name="جراحة_الأطفال" localSheetId="8">#REF!</definedName>
    <definedName name="جراحة_الأطفال" localSheetId="7">#REF!</definedName>
    <definedName name="جراحة_الأطفال" localSheetId="2">#REF!</definedName>
    <definedName name="جراحة_الأطفال" localSheetId="1">#REF!</definedName>
    <definedName name="جراحة_الأطفال" localSheetId="0">#REF!</definedName>
    <definedName name="جراحة_الأطفال">#REF!</definedName>
    <definedName name="جراحة_الأوعية" localSheetId="4">#REF!</definedName>
    <definedName name="جراحة_الأوعية" localSheetId="3">#REF!</definedName>
    <definedName name="جراحة_الأوعية" localSheetId="6">#REF!</definedName>
    <definedName name="جراحة_الأوعية" localSheetId="5">#REF!</definedName>
    <definedName name="جراحة_الأوعية" localSheetId="10">#REF!</definedName>
    <definedName name="جراحة_الأوعية" localSheetId="9">#REF!</definedName>
    <definedName name="جراحة_الأوعية" localSheetId="8">#REF!</definedName>
    <definedName name="جراحة_الأوعية" localSheetId="7">#REF!</definedName>
    <definedName name="جراحة_الأوعية" localSheetId="2">#REF!</definedName>
    <definedName name="جراحة_الأوعية" localSheetId="1">#REF!</definedName>
    <definedName name="جراحة_الأوعية" localSheetId="0">#REF!</definedName>
    <definedName name="جراحة_الأوعية">#REF!</definedName>
    <definedName name="جراحة_المخ_والأعصاب" localSheetId="4">#REF!</definedName>
    <definedName name="جراحة_المخ_والأعصاب" localSheetId="3">#REF!</definedName>
    <definedName name="جراحة_المخ_والأعصاب" localSheetId="6">#REF!</definedName>
    <definedName name="جراحة_المخ_والأعصاب" localSheetId="5">#REF!</definedName>
    <definedName name="جراحة_المخ_والأعصاب" localSheetId="10">#REF!</definedName>
    <definedName name="جراحة_المخ_والأعصاب" localSheetId="9">#REF!</definedName>
    <definedName name="جراحة_المخ_والأعصاب" localSheetId="8">#REF!</definedName>
    <definedName name="جراحة_المخ_والأعصاب" localSheetId="7">#REF!</definedName>
    <definedName name="جراحة_المخ_والأعصاب" localSheetId="2">#REF!</definedName>
    <definedName name="جراحة_المخ_والأعصاب" localSheetId="1">#REF!</definedName>
    <definedName name="جراحة_المخ_والأعصاب" localSheetId="0">#REF!</definedName>
    <definedName name="جراحة_المخ_والأعصاب">#REF!</definedName>
    <definedName name="جراحة_أوعية" localSheetId="4">#REF!</definedName>
    <definedName name="جراحة_أوعية" localSheetId="3">#REF!</definedName>
    <definedName name="جراحة_أوعية" localSheetId="6">#REF!</definedName>
    <definedName name="جراحة_أوعية" localSheetId="5">#REF!</definedName>
    <definedName name="جراحة_أوعية" localSheetId="10">#REF!</definedName>
    <definedName name="جراحة_أوعية" localSheetId="9">#REF!</definedName>
    <definedName name="جراحة_أوعية" localSheetId="8">#REF!</definedName>
    <definedName name="جراحة_أوعية" localSheetId="7">#REF!</definedName>
    <definedName name="جراحة_أوعية" localSheetId="2">#REF!</definedName>
    <definedName name="جراحة_أوعية" localSheetId="1">#REF!</definedName>
    <definedName name="جراحة_أوعية" localSheetId="0">#REF!</definedName>
    <definedName name="جراحة_أوعية">#REF!</definedName>
    <definedName name="جراحة_تجميل" localSheetId="4">#REF!</definedName>
    <definedName name="جراحة_تجميل" localSheetId="3">#REF!</definedName>
    <definedName name="جراحة_تجميل" localSheetId="6">#REF!</definedName>
    <definedName name="جراحة_تجميل" localSheetId="5">#REF!</definedName>
    <definedName name="جراحة_تجميل" localSheetId="10">#REF!</definedName>
    <definedName name="جراحة_تجميل" localSheetId="9">#REF!</definedName>
    <definedName name="جراحة_تجميل" localSheetId="8">#REF!</definedName>
    <definedName name="جراحة_تجميل" localSheetId="7">#REF!</definedName>
    <definedName name="جراحة_تجميل" localSheetId="2">#REF!</definedName>
    <definedName name="جراحة_تجميل" localSheetId="1">#REF!</definedName>
    <definedName name="جراحة_تجميل" localSheetId="0">#REF!</definedName>
    <definedName name="جراحة_تجميل">#REF!</definedName>
    <definedName name="جراحة_عظام" localSheetId="4">#REF!</definedName>
    <definedName name="جراحة_عظام" localSheetId="3">#REF!</definedName>
    <definedName name="جراحة_عظام" localSheetId="6">#REF!</definedName>
    <definedName name="جراحة_عظام" localSheetId="5">#REF!</definedName>
    <definedName name="جراحة_عظام" localSheetId="10">#REF!</definedName>
    <definedName name="جراحة_عظام" localSheetId="9">#REF!</definedName>
    <definedName name="جراحة_عظام" localSheetId="8">#REF!</definedName>
    <definedName name="جراحة_عظام" localSheetId="7">#REF!</definedName>
    <definedName name="جراحة_عظام" localSheetId="2">#REF!</definedName>
    <definedName name="جراحة_عظام" localSheetId="1">#REF!</definedName>
    <definedName name="جراحة_عظام" localSheetId="0">#REF!</definedName>
    <definedName name="جراحة_عظام">#REF!</definedName>
    <definedName name="جراحة_مخ_وأعصاب" localSheetId="4">#REF!</definedName>
    <definedName name="جراحة_مخ_وأعصاب" localSheetId="3">#REF!</definedName>
    <definedName name="جراحة_مخ_وأعصاب" localSheetId="6">#REF!</definedName>
    <definedName name="جراحة_مخ_وأعصاب" localSheetId="5">#REF!</definedName>
    <definedName name="جراحة_مخ_وأعصاب" localSheetId="10">#REF!</definedName>
    <definedName name="جراحة_مخ_وأعصاب" localSheetId="9">#REF!</definedName>
    <definedName name="جراحة_مخ_وأعصاب" localSheetId="8">#REF!</definedName>
    <definedName name="جراحة_مخ_وأعصاب" localSheetId="7">#REF!</definedName>
    <definedName name="جراحة_مخ_وأعصاب" localSheetId="2">#REF!</definedName>
    <definedName name="جراحة_مخ_وأعصاب" localSheetId="1">#REF!</definedName>
    <definedName name="جراحة_مخ_وأعصاب" localSheetId="0">#REF!</definedName>
    <definedName name="جراحة_مخ_وأعصاب">#REF!</definedName>
    <definedName name="جراحة_وجة_وفكين" localSheetId="4">#REF!</definedName>
    <definedName name="جراحة_وجة_وفكين" localSheetId="3">#REF!</definedName>
    <definedName name="جراحة_وجة_وفكين" localSheetId="6">#REF!</definedName>
    <definedName name="جراحة_وجة_وفكين" localSheetId="5">#REF!</definedName>
    <definedName name="جراحة_وجة_وفكين" localSheetId="10">#REF!</definedName>
    <definedName name="جراحة_وجة_وفكين" localSheetId="9">#REF!</definedName>
    <definedName name="جراحة_وجة_وفكين" localSheetId="8">#REF!</definedName>
    <definedName name="جراحة_وجة_وفكين" localSheetId="7">#REF!</definedName>
    <definedName name="جراحة_وجة_وفكين" localSheetId="2">#REF!</definedName>
    <definedName name="جراحة_وجة_وفكين" localSheetId="1">#REF!</definedName>
    <definedName name="جراحة_وجة_وفكين" localSheetId="0">#REF!</definedName>
    <definedName name="جراحة_وجة_وفكين">#REF!</definedName>
    <definedName name="جزاء_الإشراف_الداخلي" localSheetId="4">#REF!</definedName>
    <definedName name="جزاء_الإشراف_الداخلي" localSheetId="3">#REF!</definedName>
    <definedName name="جزاء_الإشراف_الداخلي" localSheetId="6">#REF!</definedName>
    <definedName name="جزاء_الإشراف_الداخلي" localSheetId="5">#REF!</definedName>
    <definedName name="جزاء_الإشراف_الداخلي" localSheetId="10">#REF!</definedName>
    <definedName name="جزاء_الإشراف_الداخلي" localSheetId="9">#REF!</definedName>
    <definedName name="جزاء_الإشراف_الداخلي" localSheetId="8">#REF!</definedName>
    <definedName name="جزاء_الإشراف_الداخلي" localSheetId="7">#REF!</definedName>
    <definedName name="جزاء_الإشراف_الداخلي" localSheetId="2">#REF!</definedName>
    <definedName name="جزاء_الإشراف_الداخلي" localSheetId="1">#REF!</definedName>
    <definedName name="جزاء_الإشراف_الداخلي" localSheetId="0">#REF!</definedName>
    <definedName name="جزاء_الإشراف_الداخلي">#REF!</definedName>
    <definedName name="رمد" localSheetId="4">#REF!</definedName>
    <definedName name="رمد" localSheetId="3">#REF!</definedName>
    <definedName name="رمد" localSheetId="6">#REF!</definedName>
    <definedName name="رمد" localSheetId="5">#REF!</definedName>
    <definedName name="رمد" localSheetId="10">#REF!</definedName>
    <definedName name="رمد" localSheetId="9">#REF!</definedName>
    <definedName name="رمد" localSheetId="8">#REF!</definedName>
    <definedName name="رمد" localSheetId="7">#REF!</definedName>
    <definedName name="رمد" localSheetId="2">#REF!</definedName>
    <definedName name="رمد" localSheetId="1">#REF!</definedName>
    <definedName name="رمد" localSheetId="0">#REF!</definedName>
    <definedName name="رمد">#REF!</definedName>
    <definedName name="شركات_اخرى" localSheetId="4">#REF!</definedName>
    <definedName name="شركات_اخرى" localSheetId="3">#REF!</definedName>
    <definedName name="شركات_اخرى" localSheetId="6">#REF!</definedName>
    <definedName name="شركات_اخرى" localSheetId="5">#REF!</definedName>
    <definedName name="شركات_اخرى" localSheetId="10">#REF!</definedName>
    <definedName name="شركات_اخرى" localSheetId="9">#REF!</definedName>
    <definedName name="شركات_اخرى" localSheetId="8">#REF!</definedName>
    <definedName name="شركات_اخرى" localSheetId="7">#REF!</definedName>
    <definedName name="شركات_اخرى" localSheetId="2">#REF!</definedName>
    <definedName name="شركات_اخرى" localSheetId="1">#REF!</definedName>
    <definedName name="شركات_اخرى" localSheetId="0">#REF!</definedName>
    <definedName name="شركات_اخرى">#REF!</definedName>
    <definedName name="شركات_ملاحة" localSheetId="4">#REF!</definedName>
    <definedName name="شركات_ملاحة" localSheetId="3">#REF!</definedName>
    <definedName name="شركات_ملاحة" localSheetId="6">#REF!</definedName>
    <definedName name="شركات_ملاحة" localSheetId="5">#REF!</definedName>
    <definedName name="شركات_ملاحة" localSheetId="10">#REF!</definedName>
    <definedName name="شركات_ملاحة" localSheetId="9">#REF!</definedName>
    <definedName name="شركات_ملاحة" localSheetId="8">#REF!</definedName>
    <definedName name="شركات_ملاحة" localSheetId="7">#REF!</definedName>
    <definedName name="شركات_ملاحة" localSheetId="2">#REF!</definedName>
    <definedName name="شركات_ملاحة" localSheetId="1">#REF!</definedName>
    <definedName name="شركات_ملاحة" localSheetId="0">#REF!</definedName>
    <definedName name="شركات_ملاحة">#REF!</definedName>
    <definedName name="شريف_10" localSheetId="4">#REF!</definedName>
    <definedName name="شريف_10" localSheetId="3">#REF!</definedName>
    <definedName name="شريف_10" localSheetId="6">#REF!</definedName>
    <definedName name="شريف_10" localSheetId="5">#REF!</definedName>
    <definedName name="شريف_10" localSheetId="10">#REF!</definedName>
    <definedName name="شريف_10" localSheetId="9">#REF!</definedName>
    <definedName name="شريف_10" localSheetId="8">#REF!</definedName>
    <definedName name="شريف_10" localSheetId="7">#REF!</definedName>
    <definedName name="شريف_10" localSheetId="2">#REF!</definedName>
    <definedName name="شريف_10" localSheetId="1">#REF!</definedName>
    <definedName name="شريف_10" localSheetId="0">#REF!</definedName>
    <definedName name="شريف_10">#REF!</definedName>
    <definedName name="عصبية_ونفسية" localSheetId="4">#REF!</definedName>
    <definedName name="عصبية_ونفسية" localSheetId="3">#REF!</definedName>
    <definedName name="عصبية_ونفسية" localSheetId="6">#REF!</definedName>
    <definedName name="عصبية_ونفسية" localSheetId="5">#REF!</definedName>
    <definedName name="عصبية_ونفسية" localSheetId="10">#REF!</definedName>
    <definedName name="عصبية_ونفسية" localSheetId="9">#REF!</definedName>
    <definedName name="عصبية_ونفسية" localSheetId="8">#REF!</definedName>
    <definedName name="عصبية_ونفسية" localSheetId="7">#REF!</definedName>
    <definedName name="عصبية_ونفسية" localSheetId="2">#REF!</definedName>
    <definedName name="عصبية_ونفسية" localSheetId="1">#REF!</definedName>
    <definedName name="عصبية_ونفسية" localSheetId="0">#REF!</definedName>
    <definedName name="عصبية_ونفسية">#REF!</definedName>
    <definedName name="مخ_و_اعصاب" localSheetId="4">#REF!</definedName>
    <definedName name="مخ_و_اعصاب" localSheetId="3">#REF!</definedName>
    <definedName name="مخ_و_اعصاب" localSheetId="6">#REF!</definedName>
    <definedName name="مخ_و_اعصاب" localSheetId="5">#REF!</definedName>
    <definedName name="مخ_و_اعصاب" localSheetId="10">#REF!</definedName>
    <definedName name="مخ_و_اعصاب" localSheetId="9">#REF!</definedName>
    <definedName name="مخ_و_اعصاب" localSheetId="8">#REF!</definedName>
    <definedName name="مخ_و_اعصاب" localSheetId="7">#REF!</definedName>
    <definedName name="مخ_و_اعصاب" localSheetId="2">#REF!</definedName>
    <definedName name="مخ_و_اعصاب" localSheetId="1">#REF!</definedName>
    <definedName name="مخ_و_اعصاب" localSheetId="0">#REF!</definedName>
    <definedName name="مخ_و_اعصاب">#REF!</definedName>
    <definedName name="نجلاء_عبد_الفتاح" localSheetId="4">#REF!</definedName>
    <definedName name="نجلاء_عبد_الفتاح" localSheetId="3">#REF!</definedName>
    <definedName name="نجلاء_عبد_الفتاح" localSheetId="6">#REF!</definedName>
    <definedName name="نجلاء_عبد_الفتاح" localSheetId="5">#REF!</definedName>
    <definedName name="نجلاء_عبد_الفتاح" localSheetId="10">#REF!</definedName>
    <definedName name="نجلاء_عبد_الفتاح" localSheetId="9">#REF!</definedName>
    <definedName name="نجلاء_عبد_الفتاح" localSheetId="8">#REF!</definedName>
    <definedName name="نجلاء_عبد_الفتاح" localSheetId="7">#REF!</definedName>
    <definedName name="نجلاء_عبد_الفتاح" localSheetId="2">#REF!</definedName>
    <definedName name="نجلاء_عبد_الفتاح" localSheetId="1">#REF!</definedName>
    <definedName name="نجلاء_عبد_الفتاح" localSheetId="0">#REF!</definedName>
    <definedName name="نجلاء_عبد_الفتاح">#REF!</definedName>
    <definedName name="نقابات" localSheetId="4">#REF!</definedName>
    <definedName name="نقابات" localSheetId="3">#REF!</definedName>
    <definedName name="نقابات" localSheetId="6">#REF!</definedName>
    <definedName name="نقابات" localSheetId="5">#REF!</definedName>
    <definedName name="نقابات" localSheetId="10">#REF!</definedName>
    <definedName name="نقابات" localSheetId="9">#REF!</definedName>
    <definedName name="نقابات" localSheetId="8">#REF!</definedName>
    <definedName name="نقابات" localSheetId="7">#REF!</definedName>
    <definedName name="نقابات" localSheetId="2">#REF!</definedName>
    <definedName name="نقابات" localSheetId="1">#REF!</definedName>
    <definedName name="نقابات" localSheetId="0">#REF!</definedName>
    <definedName name="نقابات">#REF!</definedName>
    <definedName name="نن" localSheetId="4">#REF!</definedName>
    <definedName name="نن" localSheetId="3">#REF!</definedName>
    <definedName name="نن" localSheetId="6">#REF!</definedName>
    <definedName name="نن" localSheetId="5">#REF!</definedName>
    <definedName name="نن" localSheetId="10">#REF!</definedName>
    <definedName name="نن" localSheetId="9">#REF!</definedName>
    <definedName name="نن" localSheetId="8">#REF!</definedName>
    <definedName name="نن" localSheetId="7">#REF!</definedName>
    <definedName name="نن" localSheetId="2">#REF!</definedName>
    <definedName name="نن" localSheetId="1">#REF!</definedName>
    <definedName name="نن" localSheetId="0">#REF!</definedName>
    <definedName name="نن">#REF!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65" i="10" l="1"/>
  <c r="AA366" i="10"/>
  <c r="AA364" i="10"/>
  <c r="AA355" i="10"/>
  <c r="AA356" i="10"/>
  <c r="AA357" i="10"/>
  <c r="AA358" i="10"/>
  <c r="AA359" i="10"/>
  <c r="AA360" i="10"/>
  <c r="AA361" i="10"/>
  <c r="AA362" i="10"/>
  <c r="AA363" i="10"/>
  <c r="AB96" i="10"/>
  <c r="AA354" i="10"/>
  <c r="M16" i="10"/>
  <c r="N16" i="10"/>
  <c r="M17" i="10"/>
  <c r="N17" i="10"/>
  <c r="M18" i="10"/>
  <c r="N18" i="10"/>
  <c r="M19" i="10"/>
  <c r="N19" i="10"/>
  <c r="M20" i="10"/>
  <c r="N20" i="10"/>
  <c r="M21" i="10"/>
  <c r="N21" i="10"/>
  <c r="M22" i="10"/>
  <c r="N22" i="10"/>
  <c r="M23" i="10"/>
  <c r="N23" i="10"/>
  <c r="AA351" i="10"/>
  <c r="AA352" i="10"/>
  <c r="AA353" i="10"/>
  <c r="I1" i="10"/>
  <c r="C9" i="10"/>
  <c r="O88" i="10"/>
  <c r="X88" i="10" s="1"/>
  <c r="M88" i="10"/>
  <c r="V88" i="10" s="1"/>
  <c r="O61" i="10"/>
  <c r="M61" i="10"/>
  <c r="O59" i="10"/>
  <c r="AB59" i="10" s="1"/>
  <c r="M59" i="10"/>
  <c r="O55" i="10"/>
  <c r="M55" i="10"/>
  <c r="L88" i="10"/>
  <c r="J88" i="10"/>
  <c r="L61" i="10"/>
  <c r="J61" i="10"/>
  <c r="AA61" i="10" s="1"/>
  <c r="L59" i="10"/>
  <c r="J59" i="10"/>
  <c r="L55" i="10"/>
  <c r="J55" i="10"/>
  <c r="I88" i="10"/>
  <c r="G88" i="10"/>
  <c r="AE88" i="10" s="1"/>
  <c r="I61" i="10"/>
  <c r="H61" i="10" s="1"/>
  <c r="G61" i="10"/>
  <c r="AE61" i="10" s="1"/>
  <c r="I59" i="10"/>
  <c r="G59" i="10"/>
  <c r="I55" i="10"/>
  <c r="G55" i="10"/>
  <c r="H55" i="10" s="1"/>
  <c r="F88" i="10"/>
  <c r="AD88" i="10" s="1"/>
  <c r="F61" i="10"/>
  <c r="F59" i="10"/>
  <c r="F55" i="10"/>
  <c r="D55" i="10"/>
  <c r="D59" i="10"/>
  <c r="E59" i="10" s="1"/>
  <c r="D61" i="10"/>
  <c r="D88" i="10"/>
  <c r="AA97" i="10"/>
  <c r="AA98" i="10"/>
  <c r="AA99" i="10"/>
  <c r="AA100" i="10"/>
  <c r="AA101" i="10"/>
  <c r="AA102" i="10"/>
  <c r="AA103" i="10"/>
  <c r="AA104" i="10"/>
  <c r="AA105" i="10"/>
  <c r="AA106" i="10"/>
  <c r="AA107" i="10"/>
  <c r="AA108" i="10"/>
  <c r="AA109" i="10"/>
  <c r="AA110" i="10"/>
  <c r="AA111" i="10"/>
  <c r="AA112" i="10"/>
  <c r="AA113" i="10"/>
  <c r="AA114" i="10"/>
  <c r="AA115" i="10"/>
  <c r="AA116" i="10"/>
  <c r="AA117" i="10"/>
  <c r="AA118" i="10"/>
  <c r="AA119" i="10"/>
  <c r="AA120" i="10"/>
  <c r="AA121" i="10"/>
  <c r="AA122" i="10"/>
  <c r="AA123" i="10"/>
  <c r="AA124" i="10"/>
  <c r="AA125" i="10"/>
  <c r="AA126" i="10"/>
  <c r="AA127" i="10"/>
  <c r="AA128" i="10"/>
  <c r="AA129" i="10"/>
  <c r="AA130" i="10"/>
  <c r="AA131" i="10"/>
  <c r="AA132" i="10"/>
  <c r="AA133" i="10"/>
  <c r="AA134" i="10"/>
  <c r="AA135" i="10"/>
  <c r="AA136" i="10"/>
  <c r="AA137" i="10"/>
  <c r="AA138" i="10"/>
  <c r="AA139" i="10"/>
  <c r="AA140" i="10"/>
  <c r="AA141" i="10"/>
  <c r="AA142" i="10"/>
  <c r="AA143" i="10"/>
  <c r="AA144" i="10"/>
  <c r="AA145" i="10"/>
  <c r="AA146" i="10"/>
  <c r="AA147" i="10"/>
  <c r="AA148" i="10"/>
  <c r="AA149" i="10"/>
  <c r="AA150" i="10"/>
  <c r="AA151" i="10"/>
  <c r="AA152" i="10"/>
  <c r="AA153" i="10"/>
  <c r="AA154" i="10"/>
  <c r="AA155" i="10"/>
  <c r="AA156" i="10"/>
  <c r="AA157" i="10"/>
  <c r="AA158" i="10"/>
  <c r="AA159" i="10"/>
  <c r="AA160" i="10"/>
  <c r="AA161" i="10"/>
  <c r="AA162" i="10"/>
  <c r="AA163" i="10"/>
  <c r="AA164" i="10"/>
  <c r="AA165" i="10"/>
  <c r="AA166" i="10"/>
  <c r="AA167" i="10"/>
  <c r="AA168" i="10"/>
  <c r="AA169" i="10"/>
  <c r="AA170" i="10"/>
  <c r="AA171" i="10"/>
  <c r="AA172" i="10"/>
  <c r="AA173" i="10"/>
  <c r="AA174" i="10"/>
  <c r="AA175" i="10"/>
  <c r="AA176" i="10"/>
  <c r="AA177" i="10"/>
  <c r="AA178" i="10"/>
  <c r="AA179" i="10"/>
  <c r="AA180" i="10"/>
  <c r="AA181" i="10"/>
  <c r="AA182" i="10"/>
  <c r="AA183" i="10"/>
  <c r="AA184" i="10"/>
  <c r="AA185" i="10"/>
  <c r="AA186" i="10"/>
  <c r="AA187" i="10"/>
  <c r="AA188" i="10"/>
  <c r="AA189" i="10"/>
  <c r="AA190" i="10"/>
  <c r="AA191" i="10"/>
  <c r="AA192" i="10"/>
  <c r="AA193" i="10"/>
  <c r="AA194" i="10"/>
  <c r="AA195" i="10"/>
  <c r="AA196" i="10"/>
  <c r="AA197" i="10"/>
  <c r="AA198" i="10"/>
  <c r="AA199" i="10"/>
  <c r="AA200" i="10"/>
  <c r="AA201" i="10"/>
  <c r="AA202" i="10"/>
  <c r="AA203" i="10"/>
  <c r="AA204" i="10"/>
  <c r="AA205" i="10"/>
  <c r="AA206" i="10"/>
  <c r="AA207" i="10"/>
  <c r="AA208" i="10"/>
  <c r="AA209" i="10"/>
  <c r="AA210" i="10"/>
  <c r="AA211" i="10"/>
  <c r="AA212" i="10"/>
  <c r="AA213" i="10"/>
  <c r="AA214" i="10"/>
  <c r="AA215" i="10"/>
  <c r="AA216" i="10"/>
  <c r="AA217" i="10"/>
  <c r="AA218" i="10"/>
  <c r="AA219" i="10"/>
  <c r="AA220" i="10"/>
  <c r="AA221" i="10"/>
  <c r="AA222" i="10"/>
  <c r="AA223" i="10"/>
  <c r="AA224" i="10"/>
  <c r="AA225" i="10"/>
  <c r="AA226" i="10"/>
  <c r="AA227" i="10"/>
  <c r="AA228" i="10"/>
  <c r="AA229" i="10"/>
  <c r="AA230" i="10"/>
  <c r="AA231" i="10"/>
  <c r="AA232" i="10"/>
  <c r="AA233" i="10"/>
  <c r="AA234" i="10"/>
  <c r="AA235" i="10"/>
  <c r="AA236" i="10"/>
  <c r="AA237" i="10"/>
  <c r="AA238" i="10"/>
  <c r="AA239" i="10"/>
  <c r="AA240" i="10"/>
  <c r="AA241" i="10"/>
  <c r="AA242" i="10"/>
  <c r="AA243" i="10"/>
  <c r="AA244" i="10"/>
  <c r="AA245" i="10"/>
  <c r="AA246" i="10"/>
  <c r="AA247" i="10"/>
  <c r="AA248" i="10"/>
  <c r="AA249" i="10"/>
  <c r="AA250" i="10"/>
  <c r="AA251" i="10"/>
  <c r="AA252" i="10"/>
  <c r="AA253" i="10"/>
  <c r="AA254" i="10"/>
  <c r="AA255" i="10"/>
  <c r="AA256" i="10"/>
  <c r="AA257" i="10"/>
  <c r="AA258" i="10"/>
  <c r="AA259" i="10"/>
  <c r="AA260" i="10"/>
  <c r="AA261" i="10"/>
  <c r="AA262" i="10"/>
  <c r="AA263" i="10"/>
  <c r="AA264" i="10"/>
  <c r="AA265" i="10"/>
  <c r="AA266" i="10"/>
  <c r="AA267" i="10"/>
  <c r="AA268" i="10"/>
  <c r="AA269" i="10"/>
  <c r="AA270" i="10"/>
  <c r="AA271" i="10"/>
  <c r="AA272" i="10"/>
  <c r="AA273" i="10"/>
  <c r="AA274" i="10"/>
  <c r="AA275" i="10"/>
  <c r="AA276" i="10"/>
  <c r="AA277" i="10"/>
  <c r="AA278" i="10"/>
  <c r="AA279" i="10"/>
  <c r="AA280" i="10"/>
  <c r="AA281" i="10"/>
  <c r="AA282" i="10"/>
  <c r="AA283" i="10"/>
  <c r="AA284" i="10"/>
  <c r="AA285" i="10"/>
  <c r="AA286" i="10"/>
  <c r="AA287" i="10"/>
  <c r="AA288" i="10"/>
  <c r="AA289" i="10"/>
  <c r="AA290" i="10"/>
  <c r="AA291" i="10"/>
  <c r="AA292" i="10"/>
  <c r="AA293" i="10"/>
  <c r="AA294" i="10"/>
  <c r="AA295" i="10"/>
  <c r="AA296" i="10"/>
  <c r="AA297" i="10"/>
  <c r="AA298" i="10"/>
  <c r="AA299" i="10"/>
  <c r="AA300" i="10"/>
  <c r="AA301" i="10"/>
  <c r="AA302" i="10"/>
  <c r="AA303" i="10"/>
  <c r="AA304" i="10"/>
  <c r="AA305" i="10"/>
  <c r="AA306" i="10"/>
  <c r="AA307" i="10"/>
  <c r="AA308" i="10"/>
  <c r="AA309" i="10"/>
  <c r="AA310" i="10"/>
  <c r="AA311" i="10"/>
  <c r="AA312" i="10"/>
  <c r="AA313" i="10"/>
  <c r="AA314" i="10"/>
  <c r="AA315" i="10"/>
  <c r="AA316" i="10"/>
  <c r="AA317" i="10"/>
  <c r="AA318" i="10"/>
  <c r="AA319" i="10"/>
  <c r="AA320" i="10"/>
  <c r="AA321" i="10"/>
  <c r="AA322" i="10"/>
  <c r="AA323" i="10"/>
  <c r="AA324" i="10"/>
  <c r="AA325" i="10"/>
  <c r="AA326" i="10"/>
  <c r="AA327" i="10"/>
  <c r="AA328" i="10"/>
  <c r="AA329" i="10"/>
  <c r="AA330" i="10"/>
  <c r="AA331" i="10"/>
  <c r="AA332" i="10"/>
  <c r="AA333" i="10"/>
  <c r="AA334" i="10"/>
  <c r="AA335" i="10"/>
  <c r="AA336" i="10"/>
  <c r="AA337" i="10"/>
  <c r="AA338" i="10"/>
  <c r="AA339" i="10"/>
  <c r="AA340" i="10"/>
  <c r="AA341" i="10"/>
  <c r="AA342" i="10"/>
  <c r="AA343" i="10"/>
  <c r="AA344" i="10"/>
  <c r="AA345" i="10"/>
  <c r="AA346" i="10"/>
  <c r="AA347" i="10"/>
  <c r="AA348" i="10"/>
  <c r="AA349" i="10"/>
  <c r="AA350" i="10"/>
  <c r="AA96" i="10"/>
  <c r="L1" i="10"/>
  <c r="N88" i="10"/>
  <c r="K88" i="10"/>
  <c r="K59" i="10"/>
  <c r="H88" i="10"/>
  <c r="N61" i="10"/>
  <c r="Z61" i="10" s="1"/>
  <c r="N55" i="10"/>
  <c r="N59" i="10"/>
  <c r="B28" i="10"/>
  <c r="B27" i="10"/>
  <c r="B26" i="10"/>
  <c r="B25" i="10"/>
  <c r="B15" i="10"/>
  <c r="B20" i="10"/>
  <c r="B19" i="10"/>
  <c r="B18" i="10"/>
  <c r="B17" i="10"/>
  <c r="B16" i="10"/>
  <c r="B23" i="10"/>
  <c r="B24" i="10"/>
  <c r="B22" i="10"/>
  <c r="B21" i="10"/>
  <c r="E11" i="10"/>
  <c r="F11" i="10"/>
  <c r="G11" i="10"/>
  <c r="H11" i="10"/>
  <c r="K1" i="10"/>
  <c r="U55" i="10" s="1"/>
  <c r="I11" i="10"/>
  <c r="J11" i="10"/>
  <c r="AE55" i="10"/>
  <c r="V55" i="10"/>
  <c r="AF55" i="10"/>
  <c r="AB55" i="10"/>
  <c r="X55" i="10"/>
  <c r="AD55" i="10"/>
  <c r="V61" i="10"/>
  <c r="E55" i="10"/>
  <c r="E88" i="10"/>
  <c r="AC88" i="10"/>
  <c r="AF88" i="10"/>
  <c r="AE59" i="10"/>
  <c r="AA59" i="10"/>
  <c r="AC59" i="10"/>
  <c r="AD59" i="10"/>
  <c r="X59" i="10"/>
  <c r="K11" i="10"/>
  <c r="L11" i="10"/>
  <c r="M11" i="10"/>
  <c r="N11" i="10"/>
  <c r="W88" i="10"/>
  <c r="W59" i="10"/>
  <c r="Y59" i="10"/>
  <c r="Y88" i="10"/>
  <c r="O11" i="10"/>
  <c r="P11" i="10"/>
  <c r="Q11" i="10"/>
  <c r="R11" i="10"/>
  <c r="S11" i="10"/>
  <c r="T11" i="10"/>
  <c r="U11" i="10"/>
  <c r="V11" i="10"/>
  <c r="W11" i="10"/>
  <c r="X11" i="10"/>
  <c r="Y11" i="10"/>
  <c r="Z11" i="10"/>
  <c r="AA11" i="10"/>
  <c r="AB11" i="10"/>
  <c r="AC11" i="10"/>
  <c r="AD11" i="10"/>
  <c r="AE11" i="10"/>
  <c r="AF11" i="10"/>
  <c r="AG11" i="10"/>
  <c r="AH11" i="10"/>
  <c r="P55" i="10" l="1"/>
  <c r="P61" i="10"/>
  <c r="R59" i="10"/>
  <c r="S59" i="10"/>
  <c r="S61" i="10"/>
  <c r="R61" i="10"/>
  <c r="Q61" i="10" s="1"/>
  <c r="AB61" i="10"/>
  <c r="AD61" i="10"/>
  <c r="X61" i="10"/>
  <c r="AF61" i="10"/>
  <c r="K61" i="10"/>
  <c r="H59" i="10"/>
  <c r="AF59" i="10"/>
  <c r="AC61" i="10"/>
  <c r="E61" i="10"/>
  <c r="AA55" i="10"/>
  <c r="AC55" i="10"/>
  <c r="Z55" i="10"/>
  <c r="Z59" i="10"/>
  <c r="S55" i="10"/>
  <c r="T55" i="10" s="1"/>
  <c r="R88" i="10"/>
  <c r="P59" i="10"/>
  <c r="Q59" i="10" s="1"/>
  <c r="R55" i="10"/>
  <c r="Q55" i="10" s="1"/>
  <c r="U59" i="10"/>
  <c r="T59" i="10" s="1"/>
  <c r="P88" i="10"/>
  <c r="U61" i="10"/>
  <c r="V59" i="10"/>
  <c r="K55" i="10"/>
  <c r="AB88" i="10"/>
  <c r="U88" i="10"/>
  <c r="S88" i="10"/>
  <c r="AA88" i="10"/>
  <c r="Z88" i="10"/>
  <c r="U357" i="10"/>
  <c r="Y357" i="10"/>
  <c r="X243" i="10"/>
  <c r="X147" i="10"/>
  <c r="Z229" i="10"/>
  <c r="V163" i="10"/>
  <c r="Z269" i="10"/>
  <c r="V159" i="10"/>
  <c r="L356" i="10"/>
  <c r="R352" i="10"/>
  <c r="T291" i="10"/>
  <c r="V99" i="10"/>
  <c r="W293" i="10"/>
  <c r="T306" i="10"/>
  <c r="X253" i="10"/>
  <c r="Q225" i="10"/>
  <c r="T358" i="10"/>
  <c r="W354" i="10"/>
  <c r="Z258" i="10"/>
  <c r="Y355" i="10"/>
  <c r="Q360" i="10"/>
  <c r="M355" i="10"/>
  <c r="J363" i="10"/>
  <c r="U267" i="10"/>
  <c r="V344" i="10"/>
  <c r="V256" i="10"/>
  <c r="S363" i="10"/>
  <c r="W357" i="10"/>
  <c r="T352" i="10"/>
  <c r="D353" i="10"/>
  <c r="X126" i="10"/>
  <c r="V126" i="10"/>
  <c r="W225" i="10"/>
  <c r="W267" i="10"/>
  <c r="Y239" i="10"/>
  <c r="U334" i="10"/>
  <c r="X358" i="10"/>
  <c r="X354" i="10"/>
  <c r="X99" i="10"/>
  <c r="W337" i="10"/>
  <c r="Y343" i="10"/>
  <c r="W365" i="10"/>
  <c r="W353" i="10"/>
  <c r="L365" i="10"/>
  <c r="X353" i="10"/>
  <c r="L351" i="10"/>
  <c r="F351" i="10"/>
  <c r="V360" i="10"/>
  <c r="G357" i="10"/>
  <c r="I352" i="10"/>
  <c r="T335" i="10"/>
  <c r="W304" i="10"/>
  <c r="P313" i="10"/>
  <c r="Y178" i="10"/>
  <c r="Z318" i="10"/>
  <c r="V303" i="10"/>
  <c r="S115" i="10"/>
  <c r="V286" i="10"/>
  <c r="T323" i="10"/>
  <c r="X169" i="10"/>
  <c r="W350" i="10"/>
  <c r="L319" i="10"/>
  <c r="Q147" i="10"/>
  <c r="Z257" i="10"/>
  <c r="Q276" i="10"/>
  <c r="T311" i="10"/>
  <c r="Z239" i="10"/>
  <c r="Q284" i="10"/>
  <c r="W250" i="10"/>
  <c r="U162" i="10"/>
  <c r="M348" i="10"/>
  <c r="L101" i="10"/>
  <c r="M96" i="10"/>
  <c r="U214" i="10"/>
  <c r="P207" i="10"/>
  <c r="R212" i="10"/>
  <c r="W213" i="10"/>
  <c r="S295" i="10"/>
  <c r="W332" i="10"/>
  <c r="Y244" i="10"/>
  <c r="V190" i="10"/>
  <c r="T278" i="10"/>
  <c r="X254" i="10"/>
  <c r="X142" i="10"/>
  <c r="W247" i="10"/>
  <c r="Y223" i="10"/>
  <c r="T156" i="10"/>
  <c r="V327" i="10"/>
  <c r="T307" i="10"/>
  <c r="W326" i="10"/>
  <c r="Z297" i="10"/>
  <c r="Y174" i="10"/>
  <c r="P184" i="10"/>
  <c r="M176" i="10"/>
  <c r="Z193" i="10"/>
  <c r="W308" i="10"/>
  <c r="U300" i="10"/>
  <c r="X297" i="10"/>
  <c r="V133" i="10"/>
  <c r="P340" i="10"/>
  <c r="R311" i="10"/>
  <c r="W153" i="10"/>
  <c r="R334" i="10"/>
  <c r="Q240" i="10"/>
  <c r="V123" i="10"/>
  <c r="Y288" i="10"/>
  <c r="X235" i="10"/>
  <c r="R301" i="10"/>
  <c r="T283" i="10"/>
  <c r="U269" i="10"/>
  <c r="V180" i="10"/>
  <c r="R344" i="10"/>
  <c r="J164" i="10"/>
  <c r="M290" i="10"/>
  <c r="M323" i="10"/>
  <c r="P242" i="10"/>
  <c r="T250" i="10"/>
  <c r="Z282" i="10"/>
  <c r="Z247" i="10"/>
  <c r="X176" i="10"/>
  <c r="Q346" i="10"/>
  <c r="Q260" i="10"/>
  <c r="Z347" i="10"/>
  <c r="Z260" i="10"/>
  <c r="S230" i="10"/>
  <c r="X246" i="10"/>
  <c r="W148" i="10"/>
  <c r="O362" i="10"/>
  <c r="F353" i="10"/>
  <c r="Y188" i="10"/>
  <c r="Y212" i="10"/>
  <c r="W149" i="10"/>
  <c r="W237" i="10"/>
  <c r="T191" i="10"/>
  <c r="Y286" i="10"/>
  <c r="Q356" i="10"/>
  <c r="J352" i="10"/>
  <c r="S147" i="10"/>
  <c r="Y192" i="10"/>
  <c r="M164" i="10"/>
  <c r="P271" i="10"/>
  <c r="X255" i="10"/>
  <c r="W248" i="10"/>
  <c r="Y364" i="10"/>
  <c r="W359" i="10"/>
  <c r="U338" i="10"/>
  <c r="Y361" i="10"/>
  <c r="X359" i="10"/>
  <c r="W363" i="10"/>
  <c r="F362" i="10"/>
  <c r="U318" i="10"/>
  <c r="W223" i="10"/>
  <c r="Y366" i="10"/>
  <c r="R353" i="10"/>
  <c r="R351" i="10"/>
  <c r="Y351" i="10"/>
  <c r="X363" i="10"/>
  <c r="X283" i="10"/>
  <c r="R267" i="10"/>
  <c r="R350" i="10"/>
  <c r="Y317" i="10"/>
  <c r="Q168" i="10"/>
  <c r="G366" i="10"/>
  <c r="I359" i="10"/>
  <c r="O357" i="10"/>
  <c r="R308" i="10"/>
  <c r="W274" i="10"/>
  <c r="U281" i="10"/>
  <c r="M365" i="10"/>
  <c r="V363" i="10"/>
  <c r="U366" i="10"/>
  <c r="R360" i="10"/>
  <c r="I366" i="10"/>
  <c r="J354" i="10"/>
  <c r="I363" i="10"/>
  <c r="R354" i="10"/>
  <c r="T351" i="10"/>
  <c r="V173" i="10"/>
  <c r="X157" i="10"/>
  <c r="Y116" i="10"/>
  <c r="Y342" i="10"/>
  <c r="X259" i="10"/>
  <c r="W305" i="10"/>
  <c r="X281" i="10"/>
  <c r="Y220" i="10"/>
  <c r="Z341" i="10"/>
  <c r="P165" i="10"/>
  <c r="R333" i="10"/>
  <c r="Q343" i="10"/>
  <c r="W338" i="10"/>
  <c r="O233" i="10"/>
  <c r="Y319" i="10"/>
  <c r="U284" i="10"/>
  <c r="W121" i="10"/>
  <c r="V320" i="10"/>
  <c r="Z249" i="10"/>
  <c r="R175" i="10"/>
  <c r="M261" i="10"/>
  <c r="U225" i="10"/>
  <c r="Z145" i="10"/>
  <c r="P342" i="10"/>
  <c r="R323" i="10"/>
  <c r="Y125" i="10"/>
  <c r="Q259" i="10"/>
  <c r="V295" i="10"/>
  <c r="U235" i="10"/>
  <c r="X225" i="10"/>
  <c r="U345" i="10"/>
  <c r="Q268" i="10"/>
  <c r="X249" i="10"/>
  <c r="S134" i="10"/>
  <c r="Z181" i="10"/>
  <c r="S109" i="10"/>
  <c r="V230" i="10"/>
  <c r="Z243" i="10"/>
  <c r="X115" i="10"/>
  <c r="V150" i="10"/>
  <c r="X236" i="10"/>
  <c r="R330" i="10"/>
  <c r="V184" i="10"/>
  <c r="L332" i="10"/>
  <c r="T132" i="10"/>
  <c r="S232" i="10"/>
  <c r="Z293" i="10"/>
  <c r="X309" i="10"/>
  <c r="D24" i="10"/>
  <c r="Z245" i="10"/>
  <c r="U118" i="10"/>
  <c r="T215" i="10"/>
  <c r="R304" i="10"/>
  <c r="V333" i="10"/>
  <c r="X314" i="10"/>
  <c r="Q145" i="10"/>
  <c r="T285" i="10"/>
  <c r="X270" i="10"/>
  <c r="V223" i="10"/>
  <c r="X230" i="10"/>
  <c r="P253" i="10"/>
  <c r="V138" i="10"/>
  <c r="Q311" i="10"/>
  <c r="Z252" i="10"/>
  <c r="S163" i="10"/>
  <c r="W278" i="10"/>
  <c r="V101" i="10"/>
  <c r="Z264" i="10"/>
  <c r="V130" i="10"/>
  <c r="Q336" i="10"/>
  <c r="Y202" i="10"/>
  <c r="O265" i="10"/>
  <c r="Y258" i="10"/>
  <c r="T245" i="10"/>
  <c r="U314" i="10"/>
  <c r="Q324" i="10"/>
  <c r="L354" i="10"/>
  <c r="V356" i="10"/>
  <c r="X107" i="10"/>
  <c r="T287" i="10"/>
  <c r="L272" i="10"/>
  <c r="Y300" i="10"/>
  <c r="U115" i="10"/>
  <c r="W273" i="10"/>
  <c r="D359" i="10"/>
  <c r="G353" i="10"/>
  <c r="U311" i="10"/>
  <c r="W284" i="10"/>
  <c r="X272" i="10"/>
  <c r="Z349" i="10"/>
  <c r="Z313" i="10"/>
  <c r="V331" i="10"/>
  <c r="M352" i="10"/>
  <c r="F361" i="10"/>
  <c r="V217" i="10"/>
  <c r="G356" i="10"/>
  <c r="O356" i="10"/>
  <c r="Z357" i="10"/>
  <c r="U358" i="10"/>
  <c r="Z161" i="10"/>
  <c r="V330" i="10"/>
  <c r="V365" i="10"/>
  <c r="T353" i="10"/>
  <c r="Y352" i="10"/>
  <c r="U356" i="10"/>
  <c r="P359" i="10"/>
  <c r="Y316" i="10"/>
  <c r="O187" i="10"/>
  <c r="Z225" i="10"/>
  <c r="W176" i="10"/>
  <c r="X231" i="10"/>
  <c r="P365" i="10"/>
  <c r="S356" i="10"/>
  <c r="W282" i="10"/>
  <c r="X250" i="10"/>
  <c r="U185" i="10"/>
  <c r="U101" i="10"/>
  <c r="T356" i="10"/>
  <c r="F355" i="10"/>
  <c r="R366" i="10"/>
  <c r="F360" i="10"/>
  <c r="Z366" i="10"/>
  <c r="L352" i="10"/>
  <c r="Q355" i="10"/>
  <c r="Z361" i="10"/>
  <c r="L362" i="10"/>
  <c r="W255" i="10"/>
  <c r="V191" i="10"/>
  <c r="X146" i="10"/>
  <c r="Y251" i="10"/>
  <c r="S271" i="10"/>
  <c r="U129" i="10"/>
  <c r="W318" i="10"/>
  <c r="U141" i="10"/>
  <c r="Z158" i="10"/>
  <c r="V226" i="10"/>
  <c r="P327" i="10"/>
  <c r="X310" i="10"/>
  <c r="P220" i="10"/>
  <c r="U186" i="10"/>
  <c r="M259" i="10"/>
  <c r="S106" i="10"/>
  <c r="X284" i="10"/>
  <c r="Q273" i="10"/>
  <c r="U213" i="10"/>
  <c r="V236" i="10"/>
  <c r="Q255" i="10"/>
  <c r="V334" i="10"/>
  <c r="O179" i="10"/>
  <c r="X133" i="10"/>
  <c r="L155" i="10"/>
  <c r="T98" i="10"/>
  <c r="Y181" i="10"/>
  <c r="Z241" i="10"/>
  <c r="Q335" i="10"/>
  <c r="T151" i="10"/>
  <c r="S132" i="10"/>
  <c r="Y118" i="10"/>
  <c r="Z178" i="10"/>
  <c r="P311" i="10"/>
  <c r="U220" i="10"/>
  <c r="P167" i="10"/>
  <c r="W239" i="10"/>
  <c r="H24" i="10"/>
  <c r="Z188" i="10"/>
  <c r="W113" i="10"/>
  <c r="Q182" i="10"/>
  <c r="U192" i="10"/>
  <c r="R210" i="10"/>
  <c r="Y231" i="10"/>
  <c r="P205" i="10"/>
  <c r="Q344" i="10"/>
  <c r="V315" i="10"/>
  <c r="Z118" i="10"/>
  <c r="V131" i="10"/>
  <c r="Y348" i="10"/>
  <c r="S161" i="10"/>
  <c r="O221" i="10"/>
  <c r="I308" i="10"/>
  <c r="T163" i="10"/>
  <c r="M207" i="10"/>
  <c r="V242" i="10"/>
  <c r="Y171" i="10"/>
  <c r="W196" i="10"/>
  <c r="X266" i="10"/>
  <c r="X190" i="10"/>
  <c r="J223" i="10"/>
  <c r="R241" i="10"/>
  <c r="P278" i="10"/>
  <c r="T146" i="10"/>
  <c r="V114" i="10"/>
  <c r="Z302" i="10"/>
  <c r="Z284" i="10"/>
  <c r="V107" i="10"/>
  <c r="X183" i="10"/>
  <c r="S289" i="10"/>
  <c r="U226" i="10"/>
  <c r="G188" i="10"/>
  <c r="Z256" i="10"/>
  <c r="Z233" i="10"/>
  <c r="X145" i="10"/>
  <c r="X242" i="10"/>
  <c r="Q364" i="10"/>
  <c r="J356" i="10"/>
  <c r="Y137" i="10"/>
  <c r="V220" i="10"/>
  <c r="V304" i="10"/>
  <c r="Z291" i="10"/>
  <c r="Z173" i="10"/>
  <c r="M273" i="10"/>
  <c r="S366" i="10"/>
  <c r="J361" i="10"/>
  <c r="Z231" i="10"/>
  <c r="X108" i="10"/>
  <c r="V321" i="10"/>
  <c r="X210" i="10"/>
  <c r="V280" i="10"/>
  <c r="U335" i="10"/>
  <c r="R365" i="10"/>
  <c r="F354" i="10"/>
  <c r="Y296" i="10"/>
  <c r="T357" i="10"/>
  <c r="Y359" i="10"/>
  <c r="T365" i="10"/>
  <c r="W358" i="10"/>
  <c r="X132" i="10"/>
  <c r="R170" i="10"/>
  <c r="Z143" i="10"/>
  <c r="V364" i="10"/>
  <c r="S355" i="10"/>
  <c r="M364" i="10"/>
  <c r="S353" i="10"/>
  <c r="U149" i="10"/>
  <c r="X348" i="10"/>
  <c r="Z169" i="10"/>
  <c r="Z114" i="10"/>
  <c r="V244" i="10"/>
  <c r="X224" i="10"/>
  <c r="I361" i="10"/>
  <c r="U362" i="10"/>
  <c r="W229" i="10"/>
  <c r="X275" i="10"/>
  <c r="Z138" i="10"/>
  <c r="Y169" i="10"/>
  <c r="G354" i="10"/>
  <c r="G352" i="10"/>
  <c r="O354" i="10"/>
  <c r="Q358" i="10"/>
  <c r="Q351" i="10"/>
  <c r="W351" i="10"/>
  <c r="D360" i="10"/>
  <c r="T361" i="10"/>
  <c r="U274" i="10"/>
  <c r="U154" i="10"/>
  <c r="Z228" i="10"/>
  <c r="S198" i="10"/>
  <c r="Y222" i="10"/>
  <c r="P137" i="10"/>
  <c r="X280" i="10"/>
  <c r="V340" i="10"/>
  <c r="Y210" i="10"/>
  <c r="X212" i="10"/>
  <c r="Y277" i="10"/>
  <c r="P247" i="10"/>
  <c r="P218" i="10"/>
  <c r="R147" i="10"/>
  <c r="V338" i="10"/>
  <c r="V132" i="10"/>
  <c r="W188" i="10"/>
  <c r="V278" i="10"/>
  <c r="U291" i="10"/>
  <c r="T227" i="10"/>
  <c r="Y250" i="10"/>
  <c r="S173" i="10"/>
  <c r="T336" i="10"/>
  <c r="P192" i="10"/>
  <c r="T344" i="10"/>
  <c r="T258" i="10"/>
  <c r="Z238" i="10"/>
  <c r="W180" i="10"/>
  <c r="V98" i="10"/>
  <c r="Z276" i="10"/>
  <c r="X350" i="10"/>
  <c r="Z267" i="10"/>
  <c r="X98" i="10"/>
  <c r="X265" i="10"/>
  <c r="S312" i="10"/>
  <c r="V201" i="10"/>
  <c r="Z334" i="10"/>
  <c r="V268" i="10"/>
  <c r="T177" i="10"/>
  <c r="X335" i="10"/>
  <c r="X219" i="10"/>
  <c r="R139" i="10"/>
  <c r="X187" i="10"/>
  <c r="X182" i="10"/>
  <c r="Z99" i="10"/>
  <c r="J331" i="10"/>
  <c r="X313" i="10"/>
  <c r="X203" i="10"/>
  <c r="Z280" i="10"/>
  <c r="X257" i="10"/>
  <c r="T294" i="10"/>
  <c r="X321" i="10"/>
  <c r="P301" i="10"/>
  <c r="W235" i="10"/>
  <c r="M231" i="10"/>
  <c r="Y256" i="10"/>
  <c r="W140" i="10"/>
  <c r="X207" i="10"/>
  <c r="V270" i="10"/>
  <c r="U321" i="10"/>
  <c r="T207" i="10"/>
  <c r="W141" i="10"/>
  <c r="X342" i="10"/>
  <c r="T317" i="10"/>
  <c r="R234" i="10"/>
  <c r="Z141" i="10"/>
  <c r="P173" i="10"/>
  <c r="W230" i="10"/>
  <c r="V102" i="10"/>
  <c r="S217" i="10"/>
  <c r="P133" i="10"/>
  <c r="T246" i="10"/>
  <c r="T216" i="10"/>
  <c r="V105" i="10"/>
  <c r="Y145" i="10"/>
  <c r="V210" i="10"/>
  <c r="V151" i="10"/>
  <c r="F364" i="10"/>
  <c r="Z356" i="10"/>
  <c r="U165" i="10"/>
  <c r="W236" i="10"/>
  <c r="V337" i="10"/>
  <c r="W234" i="10"/>
  <c r="Y213" i="10"/>
  <c r="Y132" i="10"/>
  <c r="J364" i="10"/>
  <c r="O352" i="10"/>
  <c r="R97" i="10"/>
  <c r="Z348" i="10"/>
  <c r="Y324" i="10"/>
  <c r="X211" i="10"/>
  <c r="P297" i="10"/>
  <c r="Z204" i="10"/>
  <c r="L366" i="10"/>
  <c r="Z351" i="10"/>
  <c r="R191" i="10"/>
  <c r="I364" i="10"/>
  <c r="P354" i="10"/>
  <c r="M363" i="10"/>
  <c r="U353" i="10"/>
  <c r="X279" i="10"/>
  <c r="U316" i="10"/>
  <c r="P251" i="10"/>
  <c r="U359" i="10"/>
  <c r="Z355" i="10"/>
  <c r="S364" i="10"/>
  <c r="S359" i="10"/>
  <c r="Z222" i="10"/>
  <c r="V288" i="10"/>
  <c r="Y190" i="10"/>
  <c r="V183" i="10"/>
  <c r="Y279" i="10"/>
  <c r="U294" i="10"/>
  <c r="W361" i="10"/>
  <c r="R359" i="10"/>
  <c r="S297" i="10"/>
  <c r="Q111" i="10"/>
  <c r="W199" i="10"/>
  <c r="Z327" i="10"/>
  <c r="J357" i="10"/>
  <c r="J355" i="10"/>
  <c r="V358" i="10"/>
  <c r="W356" i="10"/>
  <c r="U352" i="10"/>
  <c r="R357" i="10"/>
  <c r="V362" i="10"/>
  <c r="I353" i="10"/>
  <c r="T343" i="10"/>
  <c r="S274" i="10"/>
  <c r="V350" i="10"/>
  <c r="Y308" i="10"/>
  <c r="R259" i="10"/>
  <c r="U257" i="10"/>
  <c r="Y107" i="10"/>
  <c r="Q264" i="10"/>
  <c r="W319" i="10"/>
  <c r="W299" i="10"/>
  <c r="O266" i="10"/>
  <c r="U131" i="10"/>
  <c r="M165" i="10"/>
  <c r="X100" i="10"/>
  <c r="Z335" i="10"/>
  <c r="S204" i="10"/>
  <c r="W201" i="10"/>
  <c r="Z316" i="10"/>
  <c r="W151" i="10"/>
  <c r="X140" i="10"/>
  <c r="Z127" i="10"/>
  <c r="Y269" i="10"/>
  <c r="U336" i="10"/>
  <c r="Q287" i="10"/>
  <c r="Y143" i="10"/>
  <c r="T349" i="10"/>
  <c r="Z155" i="10"/>
  <c r="U103" i="10"/>
  <c r="R255" i="10"/>
  <c r="W300" i="10"/>
  <c r="O102" i="10"/>
  <c r="T342" i="10"/>
  <c r="S247" i="10"/>
  <c r="Y119" i="10"/>
  <c r="P164" i="10"/>
  <c r="Z218" i="10"/>
  <c r="U312" i="10"/>
  <c r="Q195" i="10"/>
  <c r="X282" i="10"/>
  <c r="Y194" i="10"/>
  <c r="X113" i="10"/>
  <c r="U241" i="10"/>
  <c r="U293" i="10"/>
  <c r="S131" i="10"/>
  <c r="R220" i="10"/>
  <c r="R195" i="10"/>
  <c r="Z109" i="10"/>
  <c r="Z283" i="10"/>
  <c r="U204" i="10"/>
  <c r="Z103" i="10"/>
  <c r="R288" i="10"/>
  <c r="U188" i="10"/>
  <c r="U104" i="10"/>
  <c r="T330" i="10"/>
  <c r="S128" i="10"/>
  <c r="Y264" i="10"/>
  <c r="Y297" i="10"/>
  <c r="U175" i="10"/>
  <c r="Y247" i="10"/>
  <c r="S183" i="10"/>
  <c r="T266" i="10"/>
  <c r="U144" i="10"/>
  <c r="Q279" i="10"/>
  <c r="S258" i="10"/>
  <c r="Q251" i="10"/>
  <c r="S231" i="10"/>
  <c r="Y102" i="10"/>
  <c r="Q319" i="10"/>
  <c r="Y219" i="10"/>
  <c r="P188" i="10"/>
  <c r="Z119" i="10"/>
  <c r="W174" i="10"/>
  <c r="Q207" i="10"/>
  <c r="X152" i="10"/>
  <c r="I161" i="10"/>
  <c r="Z177" i="10"/>
  <c r="U330" i="10"/>
  <c r="O364" i="10"/>
  <c r="G358" i="10"/>
  <c r="Y332" i="10"/>
  <c r="W96" i="10"/>
  <c r="W145" i="10"/>
  <c r="Y292" i="10"/>
  <c r="Y96" i="10"/>
  <c r="Y193" i="10"/>
  <c r="D355" i="10"/>
  <c r="R363" i="10"/>
  <c r="Z134" i="10"/>
  <c r="V259" i="10"/>
  <c r="W207" i="10"/>
  <c r="W160" i="10"/>
  <c r="Y272" i="10"/>
  <c r="V142" i="10"/>
  <c r="L364" i="10"/>
  <c r="R361" i="10"/>
  <c r="R203" i="10"/>
  <c r="L363" i="10"/>
  <c r="U360" i="10"/>
  <c r="M360" i="10"/>
  <c r="M353" i="10"/>
  <c r="X268" i="10"/>
  <c r="Y311" i="10"/>
  <c r="Z236" i="10"/>
  <c r="S360" i="10"/>
  <c r="Q357" i="10"/>
  <c r="G364" i="10"/>
  <c r="I357" i="10"/>
  <c r="U297" i="10"/>
  <c r="X322" i="10"/>
  <c r="Z111" i="10"/>
  <c r="W336" i="10"/>
  <c r="P131" i="10"/>
  <c r="V272" i="10"/>
  <c r="F358" i="10"/>
  <c r="D362" i="10"/>
  <c r="X308" i="10"/>
  <c r="X141" i="10"/>
  <c r="W171" i="10"/>
  <c r="V174" i="10"/>
  <c r="Z352" i="10"/>
  <c r="V361" i="10"/>
  <c r="Q361" i="10"/>
  <c r="X360" i="10"/>
  <c r="Q354" i="10"/>
  <c r="P360" i="10"/>
  <c r="R356" i="10"/>
  <c r="P351" i="10"/>
  <c r="W339" i="10"/>
  <c r="Z223" i="10"/>
  <c r="X137" i="10"/>
  <c r="S315" i="10"/>
  <c r="U341" i="10"/>
  <c r="Y198" i="10"/>
  <c r="S277" i="10"/>
  <c r="Z336" i="10"/>
  <c r="W258" i="10"/>
  <c r="Y233" i="10"/>
  <c r="Z112" i="10"/>
  <c r="U222" i="10"/>
  <c r="P181" i="10"/>
  <c r="T236" i="10"/>
  <c r="T100" i="10"/>
  <c r="S123" i="10"/>
  <c r="X234" i="10"/>
  <c r="Z166" i="10"/>
  <c r="R281" i="10"/>
  <c r="Q219" i="10"/>
  <c r="T202" i="10"/>
  <c r="Q347" i="10"/>
  <c r="Z182" i="10"/>
  <c r="J290" i="10"/>
  <c r="Y284" i="10"/>
  <c r="Q345" i="10"/>
  <c r="Z301" i="10"/>
  <c r="V249" i="10"/>
  <c r="V247" i="10"/>
  <c r="P143" i="10"/>
  <c r="Z299" i="10"/>
  <c r="Z207" i="10"/>
  <c r="V199" i="10"/>
  <c r="R126" i="10"/>
  <c r="Z344" i="10"/>
  <c r="U169" i="10"/>
  <c r="W328" i="10"/>
  <c r="Y344" i="10"/>
  <c r="Y325" i="10"/>
  <c r="W150" i="10"/>
  <c r="R128" i="10"/>
  <c r="R125" i="10"/>
  <c r="V318" i="10"/>
  <c r="X223" i="10"/>
  <c r="F205" i="10"/>
  <c r="W287" i="10"/>
  <c r="Y330" i="10"/>
  <c r="R96" i="10"/>
  <c r="P187" i="10"/>
  <c r="X112" i="10"/>
  <c r="Q136" i="10"/>
  <c r="Y276" i="10"/>
  <c r="Q221" i="10"/>
  <c r="P209" i="10"/>
  <c r="Z307" i="10"/>
  <c r="Z115" i="10"/>
  <c r="Z338" i="10"/>
  <c r="W211" i="10"/>
  <c r="U308" i="10"/>
  <c r="Y139" i="10"/>
  <c r="T140" i="10"/>
  <c r="U254" i="10"/>
  <c r="W215" i="10"/>
  <c r="P303" i="10"/>
  <c r="R162" i="10"/>
  <c r="X334" i="10"/>
  <c r="X172" i="10"/>
  <c r="Y161" i="10"/>
  <c r="S273" i="10"/>
  <c r="U196" i="10"/>
  <c r="U246" i="10"/>
  <c r="W185" i="10"/>
  <c r="U107" i="10"/>
  <c r="S236" i="10"/>
  <c r="U119" i="10"/>
  <c r="Q249" i="10"/>
  <c r="U117" i="10"/>
  <c r="R355" i="10"/>
  <c r="X237" i="10"/>
  <c r="Y302" i="10"/>
  <c r="V301" i="10"/>
  <c r="X361" i="10"/>
  <c r="X244" i="10"/>
  <c r="Y150" i="10"/>
  <c r="R272" i="10"/>
  <c r="V359" i="10"/>
  <c r="J366" i="10"/>
  <c r="O366" i="10"/>
  <c r="D96" i="10"/>
  <c r="U268" i="10"/>
  <c r="L360" i="10"/>
  <c r="O360" i="10"/>
  <c r="X299" i="10"/>
  <c r="U320" i="10"/>
  <c r="X180" i="10"/>
  <c r="G360" i="10"/>
  <c r="X198" i="10"/>
  <c r="Y136" i="10"/>
  <c r="W352" i="10"/>
  <c r="R358" i="10"/>
  <c r="X356" i="10"/>
  <c r="P357" i="10"/>
  <c r="W138" i="10"/>
  <c r="V342" i="10"/>
  <c r="W296" i="10"/>
  <c r="V336" i="10"/>
  <c r="T175" i="10"/>
  <c r="Y195" i="10"/>
  <c r="T345" i="10"/>
  <c r="W204" i="10"/>
  <c r="W265" i="10"/>
  <c r="Z304" i="10"/>
  <c r="U122" i="10"/>
  <c r="O207" i="10"/>
  <c r="R225" i="10"/>
  <c r="V228" i="10"/>
  <c r="Y185" i="10"/>
  <c r="O228" i="10"/>
  <c r="R253" i="10"/>
  <c r="Q139" i="10"/>
  <c r="G24" i="10"/>
  <c r="W102" i="10"/>
  <c r="V156" i="10"/>
  <c r="Z153" i="10"/>
  <c r="O229" i="10"/>
  <c r="X154" i="10"/>
  <c r="X277" i="10"/>
  <c r="T290" i="10"/>
  <c r="W195" i="10"/>
  <c r="V207" i="10"/>
  <c r="V224" i="10"/>
  <c r="Y177" i="10"/>
  <c r="W163" i="10"/>
  <c r="S197" i="10"/>
  <c r="X217" i="10"/>
  <c r="Z206" i="10"/>
  <c r="S203" i="10"/>
  <c r="Y327" i="10"/>
  <c r="Q234" i="10"/>
  <c r="Z104" i="10"/>
  <c r="W224" i="10"/>
  <c r="Z189" i="10"/>
  <c r="T220" i="10"/>
  <c r="Q175" i="10"/>
  <c r="U166" i="10"/>
  <c r="P345" i="10"/>
  <c r="V182" i="10"/>
  <c r="W335" i="10"/>
  <c r="Q233" i="10"/>
  <c r="S308" i="10"/>
  <c r="P318" i="10"/>
  <c r="Z210" i="10"/>
  <c r="V161" i="10"/>
  <c r="Q123" i="10"/>
  <c r="V109" i="10"/>
  <c r="S328" i="10"/>
  <c r="W209" i="10"/>
  <c r="P198" i="10"/>
  <c r="W170" i="10"/>
  <c r="Z240" i="10"/>
  <c r="R303" i="10"/>
  <c r="O183" i="10"/>
  <c r="R142" i="10"/>
  <c r="Q162" i="10"/>
  <c r="M252" i="10"/>
  <c r="M248" i="10"/>
  <c r="O314" i="10"/>
  <c r="I322" i="10"/>
  <c r="D312" i="10"/>
  <c r="W322" i="10"/>
  <c r="U134" i="10"/>
  <c r="T259" i="10"/>
  <c r="X101" i="10"/>
  <c r="G218" i="10"/>
  <c r="U96" i="10"/>
  <c r="P337" i="10"/>
  <c r="Y186" i="10"/>
  <c r="G102" i="10"/>
  <c r="I270" i="10"/>
  <c r="I189" i="10"/>
  <c r="O166" i="10"/>
  <c r="U343" i="10"/>
  <c r="O293" i="10"/>
  <c r="Y205" i="10"/>
  <c r="U348" i="10"/>
  <c r="T170" i="10"/>
  <c r="X320" i="10"/>
  <c r="U223" i="10"/>
  <c r="M193" i="10"/>
  <c r="S313" i="10"/>
  <c r="V250" i="10"/>
  <c r="W146" i="10"/>
  <c r="O345" i="10"/>
  <c r="F220" i="10"/>
  <c r="O277" i="10"/>
  <c r="R181" i="10"/>
  <c r="W202" i="10"/>
  <c r="W187" i="10"/>
  <c r="U163" i="10"/>
  <c r="G169" i="10"/>
  <c r="L113" i="10"/>
  <c r="O344" i="10"/>
  <c r="S176" i="10"/>
  <c r="U102" i="10"/>
  <c r="T219" i="10"/>
  <c r="P358" i="10"/>
  <c r="V202" i="10"/>
  <c r="Q102" i="10"/>
  <c r="X288" i="10"/>
  <c r="G359" i="10"/>
  <c r="V206" i="10"/>
  <c r="W333" i="10"/>
  <c r="R329" i="10"/>
  <c r="P352" i="10"/>
  <c r="W364" i="10"/>
  <c r="M362" i="10"/>
  <c r="Z263" i="10"/>
  <c r="V167" i="10"/>
  <c r="Z353" i="10"/>
  <c r="O363" i="10"/>
  <c r="Y216" i="10"/>
  <c r="Q246" i="10"/>
  <c r="V218" i="10"/>
  <c r="T362" i="10"/>
  <c r="S319" i="10"/>
  <c r="F365" i="10"/>
  <c r="R362" i="10"/>
  <c r="J359" i="10"/>
  <c r="Y363" i="10"/>
  <c r="I355" i="10"/>
  <c r="R226" i="10"/>
  <c r="P334" i="10"/>
  <c r="W345" i="10"/>
  <c r="U209" i="10"/>
  <c r="V305" i="10"/>
  <c r="M191" i="10"/>
  <c r="Z237" i="10"/>
  <c r="Y273" i="10"/>
  <c r="U261" i="10"/>
  <c r="V216" i="10"/>
  <c r="Y111" i="10"/>
  <c r="W321" i="10"/>
  <c r="Z272" i="10"/>
  <c r="Y237" i="10"/>
  <c r="U190" i="10"/>
  <c r="X261" i="10"/>
  <c r="W205" i="10"/>
  <c r="R300" i="10"/>
  <c r="W232" i="10"/>
  <c r="V189" i="10"/>
  <c r="X209" i="10"/>
  <c r="S334" i="10"/>
  <c r="Z121" i="10"/>
  <c r="U298" i="10"/>
  <c r="W206" i="10"/>
  <c r="X143" i="10"/>
  <c r="W214" i="10"/>
  <c r="R233" i="10"/>
  <c r="U202" i="10"/>
  <c r="Y293" i="10"/>
  <c r="U259" i="10"/>
  <c r="P177" i="10"/>
  <c r="W203" i="10"/>
  <c r="Q310" i="10"/>
  <c r="Y204" i="10"/>
  <c r="W320" i="10"/>
  <c r="U227" i="10"/>
  <c r="R244" i="10"/>
  <c r="X200" i="10"/>
  <c r="F24" i="10"/>
  <c r="R245" i="10"/>
  <c r="Z345" i="10"/>
  <c r="Z149" i="10"/>
  <c r="P299" i="10"/>
  <c r="Z255" i="10"/>
  <c r="W197" i="10"/>
  <c r="Y147" i="10"/>
  <c r="R284" i="10"/>
  <c r="V298" i="10"/>
  <c r="Z296" i="10"/>
  <c r="Q218" i="10"/>
  <c r="O245" i="10"/>
  <c r="Y140" i="10"/>
  <c r="P257" i="10"/>
  <c r="R105" i="10"/>
  <c r="V110" i="10"/>
  <c r="V212" i="10"/>
  <c r="R320" i="10"/>
  <c r="T136" i="10"/>
  <c r="L162" i="10"/>
  <c r="I311" i="10"/>
  <c r="Y176" i="10"/>
  <c r="U158" i="10"/>
  <c r="P203" i="10"/>
  <c r="O216" i="10"/>
  <c r="W159" i="10"/>
  <c r="Q109" i="10"/>
  <c r="Z235" i="10"/>
  <c r="R159" i="10"/>
  <c r="Z312" i="10"/>
  <c r="P183" i="10"/>
  <c r="P244" i="10"/>
  <c r="T339" i="10"/>
  <c r="T321" i="10"/>
  <c r="O165" i="10"/>
  <c r="M208" i="10"/>
  <c r="O301" i="10"/>
  <c r="I273" i="10"/>
  <c r="P199" i="10"/>
  <c r="Y105" i="10"/>
  <c r="L151" i="10"/>
  <c r="O322" i="10"/>
  <c r="S162" i="10"/>
  <c r="Q209" i="10"/>
  <c r="V290" i="10"/>
  <c r="Q160" i="10"/>
  <c r="Y158" i="10"/>
  <c r="U197" i="10"/>
  <c r="V245" i="10"/>
  <c r="S168" i="10"/>
  <c r="M250" i="10"/>
  <c r="J103" i="10"/>
  <c r="X188" i="10"/>
  <c r="J187" i="10"/>
  <c r="W194" i="10"/>
  <c r="P248" i="10"/>
  <c r="P161" i="10"/>
  <c r="W124" i="10"/>
  <c r="P124" i="10"/>
  <c r="O152" i="10"/>
  <c r="J114" i="10"/>
  <c r="Z175" i="10"/>
  <c r="G362" i="10"/>
  <c r="R227" i="10"/>
  <c r="U270" i="10"/>
  <c r="Z326" i="10"/>
  <c r="U363" i="10"/>
  <c r="V246" i="10"/>
  <c r="P341" i="10"/>
  <c r="U263" i="10"/>
  <c r="D363" i="10"/>
  <c r="U361" i="10"/>
  <c r="W362" i="10"/>
  <c r="V203" i="10"/>
  <c r="Q365" i="10"/>
  <c r="O96" i="10"/>
  <c r="O351" i="10"/>
  <c r="Z209" i="10"/>
  <c r="S244" i="10"/>
  <c r="S365" i="10"/>
  <c r="W276" i="10"/>
  <c r="V125" i="10"/>
  <c r="L355" i="10"/>
  <c r="M357" i="10"/>
  <c r="I365" i="10"/>
  <c r="O365" i="10"/>
  <c r="T363" i="10"/>
  <c r="X218" i="10"/>
  <c r="P210" i="10"/>
  <c r="U164" i="10"/>
  <c r="V306" i="10"/>
  <c r="X240" i="10"/>
  <c r="X252" i="10"/>
  <c r="W251" i="10"/>
  <c r="X269" i="10"/>
  <c r="X301" i="10"/>
  <c r="X161" i="10"/>
  <c r="Z190" i="10"/>
  <c r="T284" i="10"/>
  <c r="M350" i="10"/>
  <c r="V325" i="10"/>
  <c r="P163" i="10"/>
  <c r="Y211" i="10"/>
  <c r="V328" i="10"/>
  <c r="M99" i="10"/>
  <c r="X338" i="10"/>
  <c r="S330" i="10"/>
  <c r="X97" i="10"/>
  <c r="X215" i="10"/>
  <c r="X104" i="10"/>
  <c r="W281" i="10"/>
  <c r="W168" i="10"/>
  <c r="P322" i="10"/>
  <c r="V204" i="10"/>
  <c r="Y257" i="10"/>
  <c r="Y108" i="10"/>
  <c r="W263" i="10"/>
  <c r="P215" i="10"/>
  <c r="O294" i="10"/>
  <c r="T267" i="10"/>
  <c r="R205" i="10"/>
  <c r="X127" i="10"/>
  <c r="Y304" i="10"/>
  <c r="V264" i="10"/>
  <c r="P119" i="10"/>
  <c r="Q151" i="10"/>
  <c r="Z279" i="10"/>
  <c r="X191" i="10"/>
  <c r="U295" i="10"/>
  <c r="V115" i="10"/>
  <c r="M291" i="10"/>
  <c r="W117" i="10"/>
  <c r="Y263" i="10"/>
  <c r="V285" i="10"/>
  <c r="X206" i="10"/>
  <c r="W128" i="10"/>
  <c r="Y278" i="10"/>
  <c r="T314" i="10"/>
  <c r="R214" i="10"/>
  <c r="W343" i="10"/>
  <c r="Z319" i="10"/>
  <c r="M339" i="10"/>
  <c r="U199" i="10"/>
  <c r="V252" i="10"/>
  <c r="X226" i="10"/>
  <c r="P107" i="10"/>
  <c r="D203" i="10"/>
  <c r="W136" i="10"/>
  <c r="S309" i="10"/>
  <c r="L115" i="10"/>
  <c r="Z278" i="10"/>
  <c r="V348" i="10"/>
  <c r="L147" i="10"/>
  <c r="Y255" i="10"/>
  <c r="Z126" i="10"/>
  <c r="P141" i="10"/>
  <c r="U172" i="10"/>
  <c r="Q127" i="10"/>
  <c r="L278" i="10"/>
  <c r="Q163" i="10"/>
  <c r="T310" i="10"/>
  <c r="W330" i="10"/>
  <c r="T119" i="10"/>
  <c r="O98" i="10"/>
  <c r="L145" i="10"/>
  <c r="S153" i="10"/>
  <c r="W116" i="10"/>
  <c r="Z324" i="10"/>
  <c r="O170" i="10"/>
  <c r="P135" i="10"/>
  <c r="W347" i="10"/>
  <c r="X114" i="10"/>
  <c r="Z200" i="10"/>
  <c r="Q250" i="10"/>
  <c r="P130" i="10"/>
  <c r="Z232" i="10"/>
  <c r="W147" i="10"/>
  <c r="X349" i="10"/>
  <c r="V205" i="10"/>
  <c r="F157" i="10"/>
  <c r="Q222" i="10"/>
  <c r="P217" i="10"/>
  <c r="W306" i="10"/>
  <c r="Z251" i="10"/>
  <c r="L300" i="10"/>
  <c r="U317" i="10"/>
  <c r="I315" i="10"/>
  <c r="Z100" i="10"/>
  <c r="G160" i="10"/>
  <c r="O359" i="10"/>
  <c r="X328" i="10"/>
  <c r="W280" i="10"/>
  <c r="O175" i="10"/>
  <c r="J360" i="10"/>
  <c r="Y321" i="10"/>
  <c r="X228" i="10"/>
  <c r="Z211" i="10"/>
  <c r="V357" i="10"/>
  <c r="Q363" i="10"/>
  <c r="T360" i="10"/>
  <c r="Y201" i="10"/>
  <c r="D364" i="10"/>
  <c r="X365" i="10"/>
  <c r="V353" i="10"/>
  <c r="V313" i="10"/>
  <c r="Z320" i="10"/>
  <c r="Z364" i="10"/>
  <c r="Z287" i="10"/>
  <c r="P206" i="10"/>
  <c r="D361" i="10"/>
  <c r="P364" i="10"/>
  <c r="R364" i="10"/>
  <c r="M366" i="10"/>
  <c r="Z226" i="10"/>
  <c r="W252" i="10"/>
  <c r="X315" i="10"/>
  <c r="U256" i="10"/>
  <c r="U243" i="10"/>
  <c r="P228" i="10"/>
  <c r="W286" i="10"/>
  <c r="O311" i="10"/>
  <c r="X245" i="10"/>
  <c r="R183" i="10"/>
  <c r="Y253" i="10"/>
  <c r="T203" i="10"/>
  <c r="Z246" i="10"/>
  <c r="Y271" i="10"/>
  <c r="V141" i="10"/>
  <c r="R99" i="10"/>
  <c r="O118" i="10"/>
  <c r="U233" i="10"/>
  <c r="W169" i="10"/>
  <c r="Y165" i="10"/>
  <c r="O198" i="10"/>
  <c r="S299" i="10"/>
  <c r="S269" i="10"/>
  <c r="V124" i="10"/>
  <c r="R266" i="10"/>
  <c r="U287" i="10"/>
  <c r="X293" i="10"/>
  <c r="V265" i="10"/>
  <c r="Y154" i="10"/>
  <c r="Z122" i="10"/>
  <c r="Y191" i="10"/>
  <c r="Z285" i="10"/>
  <c r="U272" i="10"/>
  <c r="V119" i="10"/>
  <c r="Z333" i="10"/>
  <c r="W268" i="10"/>
  <c r="X341" i="10"/>
  <c r="R201" i="10"/>
  <c r="V121" i="10"/>
  <c r="X260" i="10"/>
  <c r="U271" i="10"/>
  <c r="Z321" i="10"/>
  <c r="M120" i="10"/>
  <c r="P109" i="10"/>
  <c r="V299" i="10"/>
  <c r="Y365" i="10"/>
  <c r="P361" i="10"/>
  <c r="Z365" i="10"/>
  <c r="U153" i="10"/>
  <c r="V307" i="10"/>
  <c r="X289" i="10"/>
  <c r="G365" i="10"/>
  <c r="Y353" i="10"/>
  <c r="U252" i="10"/>
  <c r="T279" i="10"/>
  <c r="D365" i="10"/>
  <c r="Q362" i="10"/>
  <c r="I360" i="10"/>
  <c r="X352" i="10"/>
  <c r="Y117" i="10"/>
  <c r="M356" i="10"/>
  <c r="X366" i="10"/>
  <c r="V96" i="10"/>
  <c r="T298" i="10"/>
  <c r="X258" i="10"/>
  <c r="L357" i="10"/>
  <c r="U98" i="10"/>
  <c r="U277" i="10"/>
  <c r="J362" i="10"/>
  <c r="M358" i="10"/>
  <c r="M359" i="10"/>
  <c r="L361" i="10"/>
  <c r="Q232" i="10"/>
  <c r="Q167" i="10"/>
  <c r="X264" i="10"/>
  <c r="U200" i="10"/>
  <c r="Y101" i="10"/>
  <c r="X160" i="10"/>
  <c r="Y126" i="10"/>
  <c r="S248" i="10"/>
  <c r="W238" i="10"/>
  <c r="W279" i="10"/>
  <c r="V323" i="10"/>
  <c r="X247" i="10"/>
  <c r="V128" i="10"/>
  <c r="X208" i="10"/>
  <c r="V235" i="10"/>
  <c r="U207" i="10"/>
  <c r="M288" i="10"/>
  <c r="Z254" i="10"/>
  <c r="P270" i="10"/>
  <c r="U339" i="10"/>
  <c r="X186" i="10"/>
  <c r="G143" i="10"/>
  <c r="V209" i="10"/>
  <c r="O133" i="10"/>
  <c r="Y225" i="10"/>
  <c r="Z196" i="10"/>
  <c r="S324" i="10"/>
  <c r="U258" i="10"/>
  <c r="R260" i="10"/>
  <c r="Y240" i="10"/>
  <c r="T201" i="10"/>
  <c r="Y285" i="10"/>
  <c r="P347" i="10"/>
  <c r="T184" i="10"/>
  <c r="Z234" i="10"/>
  <c r="M280" i="10"/>
  <c r="Z217" i="10"/>
  <c r="V177" i="10"/>
  <c r="U99" i="10"/>
  <c r="Y346" i="10"/>
  <c r="Q299" i="10"/>
  <c r="P115" i="10"/>
  <c r="Y309" i="10"/>
  <c r="W152" i="10"/>
  <c r="Z195" i="10"/>
  <c r="V366" i="10"/>
  <c r="S278" i="10"/>
  <c r="Z268" i="10"/>
  <c r="X109" i="10"/>
  <c r="U365" i="10"/>
  <c r="Z330" i="10"/>
  <c r="R338" i="10"/>
  <c r="Y252" i="10"/>
  <c r="T366" i="10"/>
  <c r="F363" i="10"/>
  <c r="X362" i="10"/>
  <c r="S352" i="10"/>
  <c r="U142" i="10"/>
  <c r="T355" i="10"/>
  <c r="D358" i="10"/>
  <c r="W132" i="10"/>
  <c r="V283" i="10"/>
  <c r="V339" i="10"/>
  <c r="M361" i="10"/>
  <c r="S358" i="10"/>
  <c r="V213" i="10"/>
  <c r="M24" i="10"/>
  <c r="U250" i="10"/>
  <c r="J353" i="10"/>
  <c r="R315" i="10"/>
  <c r="P212" i="10"/>
  <c r="U342" i="10"/>
  <c r="Y358" i="10"/>
  <c r="Y128" i="10"/>
  <c r="G361" i="10"/>
  <c r="F352" i="10"/>
  <c r="Z221" i="10"/>
  <c r="Q353" i="10"/>
  <c r="P363" i="10"/>
  <c r="Y148" i="10"/>
  <c r="Z194" i="10"/>
  <c r="W98" i="10"/>
  <c r="W355" i="10"/>
  <c r="X171" i="10"/>
  <c r="Y333" i="10"/>
  <c r="Y362" i="10"/>
  <c r="Y360" i="10"/>
  <c r="S354" i="10"/>
  <c r="Q352" i="10"/>
  <c r="W97" i="10"/>
  <c r="Z184" i="10"/>
  <c r="T324" i="10"/>
  <c r="U280" i="10"/>
  <c r="X346" i="10"/>
  <c r="V271" i="10"/>
  <c r="P285" i="10"/>
  <c r="S241" i="10"/>
  <c r="V322" i="10"/>
  <c r="W349" i="10"/>
  <c r="W302" i="10"/>
  <c r="U111" i="10"/>
  <c r="O347" i="10"/>
  <c r="Y151" i="10"/>
  <c r="T331" i="10"/>
  <c r="R108" i="10"/>
  <c r="T260" i="10"/>
  <c r="U155" i="10"/>
  <c r="Z152" i="10"/>
  <c r="P349" i="10"/>
  <c r="V181" i="10"/>
  <c r="U286" i="10"/>
  <c r="X105" i="10"/>
  <c r="Y291" i="10"/>
  <c r="R136" i="10"/>
  <c r="S288" i="10"/>
  <c r="Z167" i="10"/>
  <c r="P230" i="10"/>
  <c r="Y236" i="10"/>
  <c r="R286" i="10"/>
  <c r="R190" i="10"/>
  <c r="W222" i="10"/>
  <c r="W126" i="10"/>
  <c r="X319" i="10"/>
  <c r="L307" i="10"/>
  <c r="Z137" i="10"/>
  <c r="Z150" i="10"/>
  <c r="W144" i="10"/>
  <c r="U253" i="10"/>
  <c r="Y318" i="10"/>
  <c r="T248" i="10"/>
  <c r="U240" i="10"/>
  <c r="U303" i="10"/>
  <c r="M245" i="10"/>
  <c r="V335" i="10"/>
  <c r="R340" i="10"/>
  <c r="V234" i="10"/>
  <c r="V279" i="10"/>
  <c r="Y313" i="10"/>
  <c r="U159" i="10"/>
  <c r="P300" i="10"/>
  <c r="P287" i="10"/>
  <c r="V147" i="10"/>
  <c r="V221" i="10"/>
  <c r="V175" i="10"/>
  <c r="U206" i="10"/>
  <c r="W249" i="10"/>
  <c r="R273" i="10"/>
  <c r="S175" i="10"/>
  <c r="M347" i="10"/>
  <c r="U179" i="10"/>
  <c r="O103" i="10"/>
  <c r="S246" i="10"/>
  <c r="J287" i="10"/>
  <c r="Q200" i="10"/>
  <c r="Q329" i="10"/>
  <c r="I345" i="10"/>
  <c r="Z224" i="10"/>
  <c r="U138" i="10"/>
  <c r="P122" i="10"/>
  <c r="G250" i="10"/>
  <c r="W245" i="10"/>
  <c r="O292" i="10"/>
  <c r="R165" i="10"/>
  <c r="S292" i="10"/>
  <c r="I194" i="10"/>
  <c r="S167" i="10"/>
  <c r="R114" i="10"/>
  <c r="W270" i="10"/>
  <c r="W256" i="10"/>
  <c r="M278" i="10"/>
  <c r="G295" i="10"/>
  <c r="M322" i="10"/>
  <c r="W103" i="10"/>
  <c r="V266" i="10"/>
  <c r="Y155" i="10"/>
  <c r="Y138" i="10"/>
  <c r="S342" i="10"/>
  <c r="M114" i="10"/>
  <c r="J333" i="10"/>
  <c r="G197" i="10"/>
  <c r="R235" i="10"/>
  <c r="L218" i="10"/>
  <c r="J121" i="10"/>
  <c r="Z306" i="10"/>
  <c r="U191" i="10"/>
  <c r="Y341" i="10"/>
  <c r="M237" i="10"/>
  <c r="R113" i="10"/>
  <c r="V233" i="10"/>
  <c r="X233" i="10"/>
  <c r="X167" i="10"/>
  <c r="U150" i="10"/>
  <c r="O361" i="10"/>
  <c r="W172" i="10"/>
  <c r="Q133" i="10"/>
  <c r="Y197" i="10"/>
  <c r="P356" i="10"/>
  <c r="X204" i="10"/>
  <c r="X156" i="10"/>
  <c r="U306" i="10"/>
  <c r="O353" i="10"/>
  <c r="D366" i="10"/>
  <c r="J358" i="10"/>
  <c r="L353" i="10"/>
  <c r="P125" i="10"/>
  <c r="V351" i="10"/>
  <c r="V355" i="10"/>
  <c r="X343" i="10"/>
  <c r="Z156" i="10"/>
  <c r="Y329" i="10"/>
  <c r="Z359" i="10"/>
  <c r="W99" i="10"/>
  <c r="U170" i="10"/>
  <c r="P355" i="10"/>
  <c r="I354" i="10"/>
  <c r="Y354" i="10"/>
  <c r="U351" i="10"/>
  <c r="V300" i="10"/>
  <c r="Z342" i="10"/>
  <c r="S341" i="10"/>
  <c r="X120" i="10"/>
  <c r="W135" i="10"/>
  <c r="V291" i="10"/>
  <c r="W161" i="10"/>
  <c r="Z102" i="10"/>
  <c r="P229" i="10"/>
  <c r="U100" i="10"/>
  <c r="U194" i="10"/>
  <c r="Z300" i="10"/>
  <c r="Y287" i="10"/>
  <c r="U205" i="10"/>
  <c r="Y184" i="10"/>
  <c r="P312" i="10"/>
  <c r="Z328" i="10"/>
  <c r="X238" i="10"/>
  <c r="U245" i="10"/>
  <c r="T240" i="10"/>
  <c r="W137" i="10"/>
  <c r="S166" i="10"/>
  <c r="S310" i="10"/>
  <c r="X300" i="10"/>
  <c r="V332" i="10"/>
  <c r="M190" i="10"/>
  <c r="W179" i="10"/>
  <c r="Z253" i="10"/>
  <c r="S340" i="10"/>
  <c r="S296" i="10"/>
  <c r="U305" i="10"/>
  <c r="X251" i="10"/>
  <c r="Q237" i="10"/>
  <c r="W182" i="10"/>
  <c r="X305" i="10"/>
  <c r="T237" i="10"/>
  <c r="W220" i="10"/>
  <c r="P256" i="10"/>
  <c r="S239" i="10"/>
  <c r="R151" i="10"/>
  <c r="W240" i="10"/>
  <c r="T340" i="10"/>
  <c r="T252" i="10"/>
  <c r="U307" i="10"/>
  <c r="V316" i="10"/>
  <c r="Y275" i="10"/>
  <c r="Y114" i="10"/>
  <c r="U322" i="10"/>
  <c r="Y235" i="10"/>
  <c r="U112" i="10"/>
  <c r="S327" i="10"/>
  <c r="Q216" i="10"/>
  <c r="R229" i="10"/>
  <c r="P283" i="10"/>
  <c r="U239" i="10"/>
  <c r="S298" i="10"/>
  <c r="Y157" i="10"/>
  <c r="Z265" i="10"/>
  <c r="T108" i="10"/>
  <c r="Q245" i="10"/>
  <c r="T232" i="10"/>
  <c r="Y183" i="10"/>
  <c r="L345" i="10"/>
  <c r="Q300" i="10"/>
  <c r="D241" i="10"/>
  <c r="Q303" i="10"/>
  <c r="I168" i="10"/>
  <c r="X202" i="10"/>
  <c r="S107" i="10"/>
  <c r="W246" i="10"/>
  <c r="J320" i="10"/>
  <c r="X184" i="10"/>
  <c r="R237" i="10"/>
  <c r="Z159" i="10"/>
  <c r="O120" i="10"/>
  <c r="V345" i="10"/>
  <c r="J314" i="10"/>
  <c r="Q138" i="10"/>
  <c r="W193" i="10"/>
  <c r="Q128" i="10"/>
  <c r="S282" i="10"/>
  <c r="W217" i="10"/>
  <c r="R199" i="10"/>
  <c r="U301" i="10"/>
  <c r="X302" i="10"/>
  <c r="T296" i="10"/>
  <c r="I316" i="10"/>
  <c r="O111" i="10"/>
  <c r="P252" i="10"/>
  <c r="T261" i="10"/>
  <c r="P305" i="10"/>
  <c r="Q332" i="10"/>
  <c r="D207" i="10"/>
  <c r="J201" i="10"/>
  <c r="W198" i="10"/>
  <c r="U304" i="10"/>
  <c r="U324" i="10"/>
  <c r="D351" i="10"/>
  <c r="U283" i="10"/>
  <c r="W110" i="10"/>
  <c r="P160" i="10"/>
  <c r="G355" i="10"/>
  <c r="S139" i="10"/>
  <c r="X241" i="10"/>
  <c r="Q282" i="10"/>
  <c r="Q359" i="10"/>
  <c r="W366" i="10"/>
  <c r="Z358" i="10"/>
  <c r="V352" i="10"/>
  <c r="R327" i="10"/>
  <c r="X351" i="10"/>
  <c r="D354" i="10"/>
  <c r="Q201" i="10"/>
  <c r="V136" i="10"/>
  <c r="X222" i="10"/>
  <c r="I356" i="10"/>
  <c r="U273" i="10"/>
  <c r="V111" i="10"/>
  <c r="V354" i="10"/>
  <c r="T359" i="10"/>
  <c r="I351" i="10"/>
  <c r="P353" i="10"/>
  <c r="V214" i="10"/>
  <c r="X248" i="10"/>
  <c r="Q349" i="10"/>
  <c r="X136" i="10"/>
  <c r="Z331" i="10"/>
  <c r="Z329" i="10"/>
  <c r="X139" i="10"/>
  <c r="T302" i="10"/>
  <c r="Z323" i="10"/>
  <c r="Q294" i="10"/>
  <c r="Z191" i="10"/>
  <c r="Q253" i="10"/>
  <c r="V253" i="10"/>
  <c r="Q244" i="10"/>
  <c r="U232" i="10"/>
  <c r="R297" i="10"/>
  <c r="O208" i="10"/>
  <c r="S281" i="10"/>
  <c r="Q297" i="10"/>
  <c r="R282" i="10"/>
  <c r="P201" i="10"/>
  <c r="V211" i="10"/>
  <c r="R312" i="10"/>
  <c r="Z147" i="10"/>
  <c r="U221" i="10"/>
  <c r="Q105" i="10"/>
  <c r="Q117" i="10"/>
  <c r="M127" i="10"/>
  <c r="W104" i="10"/>
  <c r="U292" i="10"/>
  <c r="P266" i="10"/>
  <c r="V188" i="10"/>
  <c r="V143" i="10"/>
  <c r="V237" i="10"/>
  <c r="Z97" i="10"/>
  <c r="Q342" i="10"/>
  <c r="Z262" i="10"/>
  <c r="M194" i="10"/>
  <c r="P329" i="10"/>
  <c r="X174" i="10"/>
  <c r="U326" i="10"/>
  <c r="L148" i="10"/>
  <c r="T144" i="10"/>
  <c r="Y144" i="10"/>
  <c r="S272" i="10"/>
  <c r="X149" i="10"/>
  <c r="O326" i="10"/>
  <c r="S291" i="10"/>
  <c r="W241" i="10"/>
  <c r="Z98" i="10"/>
  <c r="M117" i="10"/>
  <c r="S267" i="10"/>
  <c r="X229" i="10"/>
  <c r="U128" i="10"/>
  <c r="Q205" i="10"/>
  <c r="S304" i="10"/>
  <c r="T282" i="10"/>
  <c r="U279" i="10"/>
  <c r="Q308" i="10"/>
  <c r="X185" i="10"/>
  <c r="Y322" i="10"/>
  <c r="M109" i="10"/>
  <c r="G195" i="10"/>
  <c r="O210" i="10"/>
  <c r="R207" i="10"/>
  <c r="R182" i="10"/>
  <c r="R252" i="10"/>
  <c r="Y280" i="10"/>
  <c r="W200" i="10"/>
  <c r="W173" i="10"/>
  <c r="V284" i="10"/>
  <c r="R111" i="10"/>
  <c r="Y349" i="10"/>
  <c r="R206" i="10"/>
  <c r="M281" i="10"/>
  <c r="M236" i="10"/>
  <c r="U167" i="10"/>
  <c r="G219" i="10"/>
  <c r="Y238" i="10"/>
  <c r="Y142" i="10"/>
  <c r="X192" i="10"/>
  <c r="Q107" i="10"/>
  <c r="M140" i="10"/>
  <c r="S314" i="10"/>
  <c r="V293" i="10"/>
  <c r="S237" i="10"/>
  <c r="T328" i="10"/>
  <c r="W297" i="10"/>
  <c r="W315" i="10"/>
  <c r="X294" i="10"/>
  <c r="Q326" i="10"/>
  <c r="D222" i="10"/>
  <c r="O172" i="10"/>
  <c r="O282" i="10"/>
  <c r="Q320" i="10"/>
  <c r="P321" i="10"/>
  <c r="S348" i="10"/>
  <c r="S170" i="10"/>
  <c r="X227" i="10"/>
  <c r="W127" i="10"/>
  <c r="Q183" i="10"/>
  <c r="R268" i="10"/>
  <c r="S205" i="10"/>
  <c r="I362" i="10"/>
  <c r="U176" i="10"/>
  <c r="W301" i="10"/>
  <c r="Z160" i="10"/>
  <c r="O355" i="10"/>
  <c r="U106" i="10"/>
  <c r="Q193" i="10"/>
  <c r="W257" i="10"/>
  <c r="Z362" i="10"/>
  <c r="F366" i="10"/>
  <c r="J365" i="10"/>
  <c r="L359" i="10"/>
  <c r="Y241" i="10"/>
  <c r="X355" i="10"/>
  <c r="O358" i="10"/>
  <c r="P310" i="10"/>
  <c r="Y301" i="10"/>
  <c r="T325" i="10"/>
  <c r="X357" i="10"/>
  <c r="W219" i="10"/>
  <c r="S157" i="10"/>
  <c r="W360" i="10"/>
  <c r="G351" i="10"/>
  <c r="Z363" i="10"/>
  <c r="M351" i="10"/>
  <c r="X312" i="10"/>
  <c r="Y259" i="10"/>
  <c r="U346" i="10"/>
  <c r="U187" i="10"/>
  <c r="V308" i="10"/>
  <c r="W101" i="10"/>
  <c r="Z171" i="10"/>
  <c r="Z199" i="10"/>
  <c r="W331" i="10"/>
  <c r="Z113" i="10"/>
  <c r="Y172" i="10"/>
  <c r="O107" i="10"/>
  <c r="U309" i="10"/>
  <c r="Z244" i="10"/>
  <c r="X325" i="10"/>
  <c r="I166" i="10"/>
  <c r="O186" i="10"/>
  <c r="R298" i="10"/>
  <c r="W118" i="10"/>
  <c r="Y339" i="10"/>
  <c r="R240" i="10"/>
  <c r="X239" i="10"/>
  <c r="S337" i="10"/>
  <c r="R187" i="10"/>
  <c r="S306" i="10"/>
  <c r="L347" i="10"/>
  <c r="W109" i="10"/>
  <c r="V135" i="10"/>
  <c r="Y129" i="10"/>
  <c r="Y232" i="10"/>
  <c r="X220" i="10"/>
  <c r="Q272" i="10"/>
  <c r="Z108" i="10"/>
  <c r="U249" i="10"/>
  <c r="U289" i="10"/>
  <c r="W165" i="10"/>
  <c r="X262" i="10"/>
  <c r="V219" i="10"/>
  <c r="V273" i="10"/>
  <c r="Q185" i="10"/>
  <c r="Y270" i="10"/>
  <c r="S349" i="10"/>
  <c r="T316" i="10"/>
  <c r="Y97" i="10"/>
  <c r="W254" i="10"/>
  <c r="Y163" i="10"/>
  <c r="J258" i="10"/>
  <c r="X285" i="10"/>
  <c r="W277" i="10"/>
  <c r="S346" i="10"/>
  <c r="W186" i="10"/>
  <c r="P191" i="10"/>
  <c r="S226" i="10"/>
  <c r="Y160" i="10"/>
  <c r="V166" i="10"/>
  <c r="X327" i="10"/>
  <c r="R277" i="10"/>
  <c r="Q186" i="10"/>
  <c r="Q256" i="10"/>
  <c r="M105" i="10"/>
  <c r="S116" i="10"/>
  <c r="Q314" i="10"/>
  <c r="Q271" i="10"/>
  <c r="R222" i="10"/>
  <c r="T115" i="10"/>
  <c r="D174" i="10"/>
  <c r="G319" i="10"/>
  <c r="O211" i="10"/>
  <c r="Y166" i="10"/>
  <c r="S138" i="10"/>
  <c r="T304" i="10"/>
  <c r="T297" i="10"/>
  <c r="R180" i="10"/>
  <c r="Z148" i="10"/>
  <c r="F123" i="10"/>
  <c r="P269" i="10"/>
  <c r="V103" i="10"/>
  <c r="J325" i="10"/>
  <c r="Z317" i="10"/>
  <c r="Z248" i="10"/>
  <c r="S256" i="10"/>
  <c r="S150" i="10"/>
  <c r="O139" i="10"/>
  <c r="S190" i="10"/>
  <c r="P254" i="10"/>
  <c r="U97" i="10"/>
  <c r="X96" i="10"/>
  <c r="Z140" i="10"/>
  <c r="O283" i="10"/>
  <c r="V297" i="10"/>
  <c r="R177" i="10"/>
  <c r="W324" i="10"/>
  <c r="Y345" i="10"/>
  <c r="U133" i="10"/>
  <c r="V231" i="10"/>
  <c r="G147" i="10"/>
  <c r="Q114" i="10"/>
  <c r="T102" i="10"/>
  <c r="X336" i="10"/>
  <c r="G300" i="10"/>
  <c r="S347" i="10"/>
  <c r="Q340" i="10"/>
  <c r="Y266" i="10"/>
  <c r="M354" i="10"/>
  <c r="J351" i="10"/>
  <c r="T218" i="10"/>
  <c r="P366" i="10"/>
  <c r="U337" i="10"/>
  <c r="M340" i="10"/>
  <c r="T332" i="10"/>
  <c r="Z136" i="10"/>
  <c r="V296" i="10"/>
  <c r="M265" i="10"/>
  <c r="U275" i="10"/>
  <c r="S262" i="10"/>
  <c r="P307" i="10"/>
  <c r="W212" i="10"/>
  <c r="Y187" i="10"/>
  <c r="Y314" i="10"/>
  <c r="T96" i="10"/>
  <c r="P129" i="10"/>
  <c r="Y120" i="10"/>
  <c r="P127" i="10"/>
  <c r="V160" i="10"/>
  <c r="L140" i="10"/>
  <c r="O333" i="10"/>
  <c r="J338" i="10"/>
  <c r="I146" i="10"/>
  <c r="J157" i="10"/>
  <c r="Y106" i="10"/>
  <c r="T105" i="10"/>
  <c r="L338" i="10"/>
  <c r="Q330" i="10"/>
  <c r="M200" i="10"/>
  <c r="V134" i="10"/>
  <c r="S113" i="10"/>
  <c r="O138" i="10"/>
  <c r="O325" i="10"/>
  <c r="M198" i="10"/>
  <c r="P335" i="10"/>
  <c r="F131" i="10"/>
  <c r="J242" i="10"/>
  <c r="S135" i="10"/>
  <c r="M271" i="10"/>
  <c r="W242" i="10"/>
  <c r="T275" i="10"/>
  <c r="X232" i="10"/>
  <c r="R213" i="10"/>
  <c r="R127" i="10"/>
  <c r="O307" i="10"/>
  <c r="D249" i="10"/>
  <c r="T223" i="10"/>
  <c r="W348" i="10"/>
  <c r="S323" i="10"/>
  <c r="P136" i="10"/>
  <c r="Z337" i="10"/>
  <c r="W244" i="10"/>
  <c r="S159" i="10"/>
  <c r="P150" i="10"/>
  <c r="Q202" i="10"/>
  <c r="I147" i="10"/>
  <c r="Z242" i="10"/>
  <c r="W158" i="10"/>
  <c r="I223" i="10"/>
  <c r="J144" i="10"/>
  <c r="U195" i="10"/>
  <c r="P274" i="10"/>
  <c r="Z219" i="10"/>
  <c r="T263" i="10"/>
  <c r="J221" i="10"/>
  <c r="O334" i="10"/>
  <c r="P235" i="10"/>
  <c r="V171" i="10"/>
  <c r="M263" i="10"/>
  <c r="I276" i="10"/>
  <c r="D124" i="10"/>
  <c r="Y196" i="10"/>
  <c r="W341" i="10"/>
  <c r="R168" i="10"/>
  <c r="Z131" i="10"/>
  <c r="D183" i="10"/>
  <c r="Z305" i="10"/>
  <c r="M128" i="10"/>
  <c r="O252" i="10"/>
  <c r="D198" i="10"/>
  <c r="L268" i="10"/>
  <c r="V282" i="10"/>
  <c r="Z172" i="10"/>
  <c r="V186" i="10"/>
  <c r="W108" i="10"/>
  <c r="L131" i="10"/>
  <c r="G246" i="10"/>
  <c r="T264" i="10"/>
  <c r="S294" i="10"/>
  <c r="O125" i="10"/>
  <c r="D230" i="10"/>
  <c r="D150" i="10"/>
  <c r="F127" i="10"/>
  <c r="L330" i="10"/>
  <c r="Q144" i="10"/>
  <c r="T166" i="10"/>
  <c r="O255" i="10"/>
  <c r="D130" i="10"/>
  <c r="I293" i="10"/>
  <c r="J311" i="10"/>
  <c r="L232" i="10"/>
  <c r="L293" i="10"/>
  <c r="O122" i="10"/>
  <c r="P222" i="10"/>
  <c r="T326" i="10"/>
  <c r="F335" i="10"/>
  <c r="F313" i="10"/>
  <c r="O214" i="10"/>
  <c r="Y315" i="10"/>
  <c r="S174" i="10"/>
  <c r="X165" i="10"/>
  <c r="S186" i="10"/>
  <c r="Y200" i="10"/>
  <c r="G240" i="10"/>
  <c r="D330" i="10"/>
  <c r="J125" i="10"/>
  <c r="T99" i="10"/>
  <c r="G179" i="10"/>
  <c r="F177" i="10"/>
  <c r="G171" i="10"/>
  <c r="X178" i="10"/>
  <c r="P213" i="10"/>
  <c r="R318" i="10"/>
  <c r="O149" i="10"/>
  <c r="O261" i="10"/>
  <c r="V185" i="10"/>
  <c r="Z360" i="10"/>
  <c r="Q280" i="10"/>
  <c r="T168" i="10"/>
  <c r="D356" i="10"/>
  <c r="V281" i="10"/>
  <c r="S172" i="10"/>
  <c r="W134" i="10"/>
  <c r="Y122" i="10"/>
  <c r="W288" i="10"/>
  <c r="W260" i="10"/>
  <c r="T159" i="10"/>
  <c r="U278" i="10"/>
  <c r="Z310" i="10"/>
  <c r="X324" i="10"/>
  <c r="W294" i="10"/>
  <c r="T205" i="10"/>
  <c r="Y260" i="10"/>
  <c r="Z343" i="10"/>
  <c r="V144" i="10"/>
  <c r="Z298" i="10"/>
  <c r="W342" i="10"/>
  <c r="U181" i="10"/>
  <c r="U183" i="10"/>
  <c r="M206" i="10"/>
  <c r="X117" i="10"/>
  <c r="Q173" i="10"/>
  <c r="U135" i="10"/>
  <c r="O119" i="10"/>
  <c r="Y100" i="10"/>
  <c r="Y113" i="10"/>
  <c r="Q328" i="10"/>
  <c r="U255" i="10"/>
  <c r="S182" i="10"/>
  <c r="W298" i="10"/>
  <c r="S127" i="10"/>
  <c r="Q323" i="10"/>
  <c r="Q154" i="10"/>
  <c r="W178" i="10"/>
  <c r="T277" i="10"/>
  <c r="L202" i="10"/>
  <c r="Q99" i="10"/>
  <c r="Y224" i="10"/>
  <c r="U215" i="10"/>
  <c r="W130" i="10"/>
  <c r="U266" i="10"/>
  <c r="L333" i="10"/>
  <c r="U219" i="10"/>
  <c r="M143" i="10"/>
  <c r="X179" i="10"/>
  <c r="L200" i="10"/>
  <c r="D113" i="10"/>
  <c r="F244" i="10"/>
  <c r="Q286" i="10"/>
  <c r="V97" i="10"/>
  <c r="Q194" i="10"/>
  <c r="I143" i="10"/>
  <c r="R167" i="10"/>
  <c r="U212" i="10"/>
  <c r="S318" i="10"/>
  <c r="V178" i="10"/>
  <c r="T157" i="10"/>
  <c r="Z105" i="10"/>
  <c r="Y230" i="10"/>
  <c r="X295" i="10"/>
  <c r="X267" i="10"/>
  <c r="R107" i="10"/>
  <c r="T300" i="10"/>
  <c r="O291" i="10"/>
  <c r="O128" i="10"/>
  <c r="P182" i="10"/>
  <c r="J107" i="10"/>
  <c r="V129" i="10"/>
  <c r="O199" i="10"/>
  <c r="R211" i="10"/>
  <c r="P214" i="10"/>
  <c r="W283" i="10"/>
  <c r="M268" i="10"/>
  <c r="F178" i="10"/>
  <c r="P200" i="10"/>
  <c r="W184" i="10"/>
  <c r="G315" i="10"/>
  <c r="D301" i="10"/>
  <c r="L196" i="10"/>
  <c r="S263" i="10"/>
  <c r="M118" i="10"/>
  <c r="Q190" i="10"/>
  <c r="T312" i="10"/>
  <c r="P290" i="10"/>
  <c r="Y115" i="10"/>
  <c r="M133" i="10"/>
  <c r="S270" i="10"/>
  <c r="Q217" i="10"/>
  <c r="T265" i="10"/>
  <c r="X326" i="10"/>
  <c r="G286" i="10"/>
  <c r="T101" i="10"/>
  <c r="L259" i="10"/>
  <c r="G245" i="10"/>
  <c r="E21" i="10"/>
  <c r="X124" i="10"/>
  <c r="W340" i="10"/>
  <c r="G170" i="10"/>
  <c r="F213" i="10"/>
  <c r="Q146" i="10"/>
  <c r="I330" i="10"/>
  <c r="X116" i="10"/>
  <c r="O281" i="10"/>
  <c r="R148" i="10"/>
  <c r="R265" i="10"/>
  <c r="M187" i="10"/>
  <c r="J295" i="10"/>
  <c r="Z183" i="10"/>
  <c r="Q143" i="10"/>
  <c r="U143" i="10"/>
  <c r="R179" i="10"/>
  <c r="I170" i="10"/>
  <c r="G215" i="10"/>
  <c r="Q115" i="10"/>
  <c r="S276" i="10"/>
  <c r="L266" i="10"/>
  <c r="J252" i="10"/>
  <c r="I305" i="10"/>
  <c r="P241" i="10"/>
  <c r="M349" i="10"/>
  <c r="J235" i="10"/>
  <c r="W290" i="10"/>
  <c r="M175" i="10"/>
  <c r="U108" i="10"/>
  <c r="Y214" i="10"/>
  <c r="V312" i="10"/>
  <c r="V287" i="10"/>
  <c r="Y356" i="10"/>
  <c r="V275" i="10"/>
  <c r="U116" i="10"/>
  <c r="P172" i="10"/>
  <c r="X278" i="10"/>
  <c r="Z315" i="10"/>
  <c r="W122" i="10"/>
  <c r="W264" i="10"/>
  <c r="J154" i="10"/>
  <c r="X316" i="10"/>
  <c r="U332" i="10"/>
  <c r="Q141" i="10"/>
  <c r="T257" i="10"/>
  <c r="X163" i="10"/>
  <c r="T269" i="10"/>
  <c r="Y307" i="10"/>
  <c r="U124" i="10"/>
  <c r="V146" i="10"/>
  <c r="R153" i="10"/>
  <c r="Q164" i="10"/>
  <c r="I184" i="10"/>
  <c r="Z142" i="10"/>
  <c r="P223" i="10"/>
  <c r="R269" i="10"/>
  <c r="R348" i="10"/>
  <c r="F21" i="10"/>
  <c r="U315" i="10"/>
  <c r="R289" i="10"/>
  <c r="Y340" i="10"/>
  <c r="R163" i="10"/>
  <c r="L286" i="10"/>
  <c r="G249" i="10"/>
  <c r="W295" i="10"/>
  <c r="Z154" i="10"/>
  <c r="L220" i="10"/>
  <c r="S117" i="10"/>
  <c r="G226" i="10"/>
  <c r="L315" i="10"/>
  <c r="W271" i="10"/>
  <c r="L252" i="10"/>
  <c r="V158" i="10"/>
  <c r="I235" i="10"/>
  <c r="Q180" i="10"/>
  <c r="P204" i="10"/>
  <c r="T158" i="10"/>
  <c r="P284" i="10"/>
  <c r="I299" i="10"/>
  <c r="D270" i="10"/>
  <c r="J195" i="10"/>
  <c r="Z187" i="10"/>
  <c r="U229" i="10"/>
  <c r="V112" i="10"/>
  <c r="O341" i="10"/>
  <c r="R224" i="10"/>
  <c r="J194" i="10"/>
  <c r="Q350" i="10"/>
  <c r="O339" i="10"/>
  <c r="S329" i="10"/>
  <c r="D206" i="10"/>
  <c r="U211" i="10"/>
  <c r="Y103" i="10"/>
  <c r="Y298" i="10"/>
  <c r="P111" i="10"/>
  <c r="X134" i="10"/>
  <c r="M174" i="10"/>
  <c r="W183" i="10"/>
  <c r="Y170" i="10"/>
  <c r="J159" i="10"/>
  <c r="L327" i="10"/>
  <c r="G127" i="10"/>
  <c r="P225" i="10"/>
  <c r="M162" i="10"/>
  <c r="J203" i="10"/>
  <c r="U152" i="10"/>
  <c r="O231" i="10"/>
  <c r="X290" i="10"/>
  <c r="P255" i="10"/>
  <c r="Y249" i="10"/>
  <c r="L143" i="10"/>
  <c r="I208" i="10"/>
  <c r="Q150" i="10"/>
  <c r="R280" i="10"/>
  <c r="L249" i="10"/>
  <c r="P250" i="10"/>
  <c r="D308" i="10"/>
  <c r="R137" i="10"/>
  <c r="L329" i="10"/>
  <c r="J118" i="10"/>
  <c r="R343" i="10"/>
  <c r="D267" i="10"/>
  <c r="F120" i="10"/>
  <c r="R204" i="10"/>
  <c r="Q191" i="10"/>
  <c r="T171" i="10"/>
  <c r="D282" i="10"/>
  <c r="D272" i="10"/>
  <c r="X344" i="10"/>
  <c r="Z163" i="10"/>
  <c r="M343" i="10"/>
  <c r="I137" i="10"/>
  <c r="Q98" i="10"/>
  <c r="D275" i="10"/>
  <c r="O241" i="10"/>
  <c r="G212" i="10"/>
  <c r="G16" i="10"/>
  <c r="S140" i="10"/>
  <c r="D121" i="10"/>
  <c r="V343" i="10"/>
  <c r="Z275" i="10"/>
  <c r="M201" i="10"/>
  <c r="Q321" i="10"/>
  <c r="L342" i="10"/>
  <c r="I300" i="10"/>
  <c r="T107" i="10"/>
  <c r="R313" i="10"/>
  <c r="M189" i="10"/>
  <c r="F329" i="10"/>
  <c r="J210" i="10"/>
  <c r="L308" i="10"/>
  <c r="X118" i="10"/>
  <c r="M215" i="10"/>
  <c r="L117" i="10"/>
  <c r="G165" i="10"/>
  <c r="U168" i="10"/>
  <c r="X337" i="10"/>
  <c r="T354" i="10"/>
  <c r="U288" i="10"/>
  <c r="T364" i="10"/>
  <c r="V243" i="10"/>
  <c r="Y112" i="10"/>
  <c r="U331" i="10"/>
  <c r="F297" i="10"/>
  <c r="O159" i="10"/>
  <c r="Q316" i="10"/>
  <c r="Z130" i="10"/>
  <c r="U127" i="10"/>
  <c r="M151" i="10"/>
  <c r="Z170" i="10"/>
  <c r="Y310" i="10"/>
  <c r="V208" i="10"/>
  <c r="Q178" i="10"/>
  <c r="Y199" i="10"/>
  <c r="X195" i="10"/>
  <c r="S136" i="10"/>
  <c r="Y98" i="10"/>
  <c r="X271" i="10"/>
  <c r="L253" i="10"/>
  <c r="P309" i="10"/>
  <c r="S316" i="10"/>
  <c r="P208" i="10"/>
  <c r="P162" i="10"/>
  <c r="Q134" i="10"/>
  <c r="O230" i="10"/>
  <c r="V255" i="10"/>
  <c r="U174" i="10"/>
  <c r="J131" i="10"/>
  <c r="O106" i="10"/>
  <c r="R248" i="10"/>
  <c r="L193" i="10"/>
  <c r="F273" i="10"/>
  <c r="Q174" i="10"/>
  <c r="S227" i="10"/>
  <c r="I127" i="10"/>
  <c r="J257" i="10"/>
  <c r="T110" i="10"/>
  <c r="P132" i="10"/>
  <c r="V302" i="10"/>
  <c r="W275" i="10"/>
  <c r="O328" i="10"/>
  <c r="P238" i="10"/>
  <c r="X329" i="10"/>
  <c r="S280" i="10"/>
  <c r="O117" i="10"/>
  <c r="T186" i="10"/>
  <c r="M285" i="10"/>
  <c r="Y175" i="10"/>
  <c r="T274" i="10"/>
  <c r="M336" i="10"/>
  <c r="X216" i="10"/>
  <c r="D122" i="10"/>
  <c r="P240" i="10"/>
  <c r="X151" i="10"/>
  <c r="U296" i="10"/>
  <c r="I266" i="10"/>
  <c r="J302" i="10"/>
  <c r="P134" i="10"/>
  <c r="T97" i="10"/>
  <c r="Y208" i="10"/>
  <c r="W107" i="10"/>
  <c r="X189" i="10"/>
  <c r="V319" i="10"/>
  <c r="V137" i="10"/>
  <c r="V277" i="10"/>
  <c r="T165" i="10"/>
  <c r="G254" i="10"/>
  <c r="M294" i="10"/>
  <c r="I281" i="10"/>
  <c r="X340" i="10"/>
  <c r="Z107" i="10"/>
  <c r="V169" i="10"/>
  <c r="W210" i="10"/>
  <c r="U198" i="10"/>
  <c r="J281" i="10"/>
  <c r="Q129" i="10"/>
  <c r="L288" i="10"/>
  <c r="O263" i="10"/>
  <c r="S307" i="10"/>
  <c r="W346" i="10"/>
  <c r="Q196" i="10"/>
  <c r="P105" i="10"/>
  <c r="U123" i="10"/>
  <c r="Z164" i="10"/>
  <c r="J200" i="10"/>
  <c r="X213" i="10"/>
  <c r="T320" i="10"/>
  <c r="R346" i="10"/>
  <c r="P260" i="10"/>
  <c r="V118" i="10"/>
  <c r="Q156" i="10"/>
  <c r="D147" i="10"/>
  <c r="S261" i="10"/>
  <c r="F250" i="10"/>
  <c r="S285" i="10"/>
  <c r="J119" i="10"/>
  <c r="T173" i="10"/>
  <c r="F296" i="10"/>
  <c r="I225" i="10"/>
  <c r="P142" i="10"/>
  <c r="L191" i="10"/>
  <c r="I156" i="10"/>
  <c r="T133" i="10"/>
  <c r="P138" i="10"/>
  <c r="F255" i="10"/>
  <c r="G336" i="10"/>
  <c r="D202" i="10"/>
  <c r="V164" i="10"/>
  <c r="X102" i="10"/>
  <c r="T253" i="10"/>
  <c r="M279" i="10"/>
  <c r="F237" i="10"/>
  <c r="F253" i="10"/>
  <c r="Q157" i="10"/>
  <c r="P339" i="10"/>
  <c r="R208" i="10"/>
  <c r="F301" i="10"/>
  <c r="G190" i="10"/>
  <c r="O318" i="10"/>
  <c r="O300" i="10"/>
  <c r="L183" i="10"/>
  <c r="J122" i="10"/>
  <c r="M218" i="10"/>
  <c r="X364" i="10"/>
  <c r="I358" i="10"/>
  <c r="T121" i="10"/>
  <c r="P362" i="10"/>
  <c r="Z339" i="10"/>
  <c r="V157" i="10"/>
  <c r="U260" i="10"/>
  <c r="T229" i="10"/>
  <c r="Z125" i="10"/>
  <c r="Y109" i="10"/>
  <c r="Y179" i="10"/>
  <c r="T233" i="10"/>
  <c r="O105" i="10"/>
  <c r="U218" i="10"/>
  <c r="V100" i="10"/>
  <c r="X287" i="10"/>
  <c r="X106" i="10"/>
  <c r="X199" i="10"/>
  <c r="W228" i="10"/>
  <c r="U290" i="10"/>
  <c r="S325" i="10"/>
  <c r="Z274" i="10"/>
  <c r="Q241" i="10"/>
  <c r="Y226" i="10"/>
  <c r="T104" i="10"/>
  <c r="Q293" i="10"/>
  <c r="Q199" i="10"/>
  <c r="S206" i="10"/>
  <c r="R146" i="10"/>
  <c r="R257" i="10"/>
  <c r="V193" i="10"/>
  <c r="L224" i="10"/>
  <c r="P116" i="10"/>
  <c r="M123" i="10"/>
  <c r="O115" i="10"/>
  <c r="P98" i="10"/>
  <c r="S184" i="10"/>
  <c r="U299" i="10"/>
  <c r="R324" i="10"/>
  <c r="S152" i="10"/>
  <c r="F307" i="10"/>
  <c r="W131" i="10"/>
  <c r="U276" i="10"/>
  <c r="M226" i="10"/>
  <c r="T194" i="10"/>
  <c r="L240" i="10"/>
  <c r="W123" i="10"/>
  <c r="R299" i="10"/>
  <c r="L335" i="10"/>
  <c r="G206" i="10"/>
  <c r="J346" i="10"/>
  <c r="S102" i="10"/>
  <c r="X286" i="10"/>
  <c r="Y134" i="10"/>
  <c r="Z168" i="10"/>
  <c r="D225" i="10"/>
  <c r="J191" i="10"/>
  <c r="L251" i="10"/>
  <c r="V154" i="10"/>
  <c r="I319" i="10"/>
  <c r="R215" i="10"/>
  <c r="R339" i="10"/>
  <c r="M110" i="10"/>
  <c r="M260" i="10"/>
  <c r="T327" i="10"/>
  <c r="T169" i="10"/>
  <c r="R158" i="10"/>
  <c r="S122" i="10"/>
  <c r="Y203" i="10"/>
  <c r="J105" i="10"/>
  <c r="P158" i="10"/>
  <c r="L241" i="10"/>
  <c r="F118" i="10"/>
  <c r="Y121" i="10"/>
  <c r="U193" i="10"/>
  <c r="T120" i="10"/>
  <c r="Q295" i="10"/>
  <c r="U125" i="10"/>
  <c r="J199" i="10"/>
  <c r="Q189" i="10"/>
  <c r="G189" i="10"/>
  <c r="I320" i="10"/>
  <c r="P234" i="10"/>
  <c r="I233" i="10"/>
  <c r="V196" i="10"/>
  <c r="U147" i="10"/>
  <c r="R236" i="10"/>
  <c r="J329" i="10"/>
  <c r="R216" i="10"/>
  <c r="Y248" i="10"/>
  <c r="T161" i="10"/>
  <c r="P104" i="10"/>
  <c r="L207" i="10"/>
  <c r="O104" i="10"/>
  <c r="R217" i="10"/>
  <c r="O178" i="10"/>
  <c r="O337" i="10"/>
  <c r="J309" i="10"/>
  <c r="Z123" i="10"/>
  <c r="Q211" i="10"/>
  <c r="X331" i="10"/>
  <c r="R317" i="10"/>
  <c r="D229" i="10"/>
  <c r="V153" i="10"/>
  <c r="Q261" i="10"/>
  <c r="R292" i="10"/>
  <c r="D185" i="10"/>
  <c r="M284" i="10"/>
  <c r="D184" i="10"/>
  <c r="D234" i="10"/>
  <c r="M113" i="10"/>
  <c r="O312" i="10"/>
  <c r="S214" i="10"/>
  <c r="S222" i="10"/>
  <c r="T178" i="10"/>
  <c r="I284" i="10"/>
  <c r="L290" i="10"/>
  <c r="T109" i="10"/>
  <c r="G243" i="10"/>
  <c r="L304" i="10"/>
  <c r="Q125" i="10"/>
  <c r="Q140" i="10"/>
  <c r="Q285" i="10"/>
  <c r="U333" i="10"/>
  <c r="J245" i="10"/>
  <c r="M101" i="10"/>
  <c r="F330" i="10"/>
  <c r="S351" i="10"/>
  <c r="U354" i="10"/>
  <c r="V241" i="10"/>
  <c r="Z354" i="10"/>
  <c r="U247" i="10"/>
  <c r="V341" i="10"/>
  <c r="S191" i="10"/>
  <c r="S286" i="10"/>
  <c r="U347" i="10"/>
  <c r="Q322" i="10"/>
  <c r="X304" i="10"/>
  <c r="U236" i="10"/>
  <c r="Y207" i="10"/>
  <c r="T244" i="10"/>
  <c r="Y130" i="10"/>
  <c r="O336" i="10"/>
  <c r="V127" i="10"/>
  <c r="Z135" i="10"/>
  <c r="R145" i="10"/>
  <c r="T211" i="10"/>
  <c r="M178" i="10"/>
  <c r="P233" i="10"/>
  <c r="W175" i="10"/>
  <c r="E24" i="10"/>
  <c r="T198" i="10"/>
  <c r="Q176" i="10"/>
  <c r="P263" i="10"/>
  <c r="U157" i="10"/>
  <c r="D251" i="10"/>
  <c r="X193" i="10"/>
  <c r="S215" i="10"/>
  <c r="X129" i="10"/>
  <c r="T256" i="10"/>
  <c r="X296" i="10"/>
  <c r="R325" i="10"/>
  <c r="P295" i="10"/>
  <c r="W291" i="10"/>
  <c r="U110" i="10"/>
  <c r="Y141" i="10"/>
  <c r="T210" i="10"/>
  <c r="S249" i="10"/>
  <c r="F115" i="10"/>
  <c r="P171" i="10"/>
  <c r="W309" i="10"/>
  <c r="T301" i="10"/>
  <c r="X138" i="10"/>
  <c r="M104" i="10"/>
  <c r="R112" i="10"/>
  <c r="T206" i="10"/>
  <c r="O213" i="10"/>
  <c r="O321" i="10"/>
  <c r="I271" i="10"/>
  <c r="X205" i="10"/>
  <c r="R228" i="10"/>
  <c r="T126" i="10"/>
  <c r="S293" i="10"/>
  <c r="W292" i="10"/>
  <c r="G108" i="10"/>
  <c r="M224" i="10"/>
  <c r="J149" i="10"/>
  <c r="M214" i="10"/>
  <c r="M327" i="10"/>
  <c r="Q309" i="10"/>
  <c r="V215" i="10"/>
  <c r="P319" i="10"/>
  <c r="S221" i="10"/>
  <c r="T313" i="10"/>
  <c r="V329" i="10"/>
  <c r="M345" i="10"/>
  <c r="O184" i="10"/>
  <c r="L209" i="10"/>
  <c r="P275" i="10"/>
  <c r="L146" i="10"/>
  <c r="U282" i="10"/>
  <c r="R287" i="10"/>
  <c r="S254" i="10"/>
  <c r="M210" i="10"/>
  <c r="M156" i="10"/>
  <c r="O189" i="10"/>
  <c r="Y306" i="10"/>
  <c r="W312" i="10"/>
  <c r="L350" i="10"/>
  <c r="J321" i="10"/>
  <c r="S242" i="10"/>
  <c r="J319" i="10"/>
  <c r="P280" i="10"/>
  <c r="S283" i="10"/>
  <c r="T238" i="10"/>
  <c r="P106" i="10"/>
  <c r="W303" i="10"/>
  <c r="Y167" i="10"/>
  <c r="X330" i="10"/>
  <c r="G141" i="10"/>
  <c r="F334" i="10"/>
  <c r="Q188" i="10"/>
  <c r="I157" i="10"/>
  <c r="F204" i="10"/>
  <c r="M211" i="10"/>
  <c r="D145" i="10"/>
  <c r="M242" i="10"/>
  <c r="P144" i="10"/>
  <c r="M229" i="10"/>
  <c r="J188" i="10"/>
  <c r="T190" i="10"/>
  <c r="X303" i="10"/>
  <c r="T111" i="10"/>
  <c r="P195" i="10"/>
  <c r="F208" i="10"/>
  <c r="S211" i="10"/>
  <c r="L260" i="10"/>
  <c r="R98" i="10"/>
  <c r="U189" i="10"/>
  <c r="U285" i="10"/>
  <c r="Y334" i="10"/>
  <c r="O129" i="10"/>
  <c r="I286" i="10"/>
  <c r="L285" i="10"/>
  <c r="L188" i="10"/>
  <c r="G158" i="10"/>
  <c r="R101" i="10"/>
  <c r="S151" i="10"/>
  <c r="J343" i="10"/>
  <c r="F162" i="10"/>
  <c r="P179" i="10"/>
  <c r="Z117" i="10"/>
  <c r="M254" i="10"/>
  <c r="L186" i="10"/>
  <c r="Y331" i="10"/>
  <c r="G363" i="10"/>
  <c r="V104" i="10"/>
  <c r="U364" i="10"/>
  <c r="Z213" i="10"/>
  <c r="J222" i="10"/>
  <c r="V257" i="10"/>
  <c r="W192" i="10"/>
  <c r="V294" i="10"/>
  <c r="L321" i="10"/>
  <c r="Z288" i="10"/>
  <c r="W327" i="10"/>
  <c r="X144" i="10"/>
  <c r="S178" i="10"/>
  <c r="P314" i="10"/>
  <c r="X177" i="10"/>
  <c r="Z303" i="10"/>
  <c r="X306" i="10"/>
  <c r="V346" i="10"/>
  <c r="Z314" i="10"/>
  <c r="V267" i="10"/>
  <c r="Y189" i="10"/>
  <c r="S219" i="10"/>
  <c r="G261" i="10"/>
  <c r="P246" i="10"/>
  <c r="Q341" i="10"/>
  <c r="R319" i="10"/>
  <c r="P168" i="10"/>
  <c r="J179" i="10"/>
  <c r="R326" i="10"/>
  <c r="M311" i="10"/>
  <c r="W221" i="10"/>
  <c r="V269" i="10"/>
  <c r="Q121" i="10"/>
  <c r="M315" i="10"/>
  <c r="I323" i="10"/>
  <c r="Z116" i="10"/>
  <c r="R174" i="10"/>
  <c r="Y99" i="10"/>
  <c r="Z294" i="10"/>
  <c r="J292" i="10"/>
  <c r="L346" i="10"/>
  <c r="V263" i="10"/>
  <c r="T221" i="10"/>
  <c r="S321" i="10"/>
  <c r="M262" i="10"/>
  <c r="P139" i="10"/>
  <c r="X123" i="10"/>
  <c r="L254" i="10"/>
  <c r="X162" i="10"/>
  <c r="L331" i="10"/>
  <c r="G156" i="10"/>
  <c r="X276" i="10"/>
  <c r="V227" i="10"/>
  <c r="T160" i="10"/>
  <c r="Y124" i="10"/>
  <c r="Q220" i="10"/>
  <c r="S199" i="10"/>
  <c r="U178" i="10"/>
  <c r="T247" i="10"/>
  <c r="M251" i="10"/>
  <c r="L197" i="10"/>
  <c r="D27" i="10"/>
  <c r="W314" i="10"/>
  <c r="S303" i="10"/>
  <c r="T334" i="10"/>
  <c r="G306" i="10"/>
  <c r="P348" i="10"/>
  <c r="M148" i="10"/>
  <c r="Z308" i="10"/>
  <c r="Y242" i="10"/>
  <c r="D297" i="10"/>
  <c r="L339" i="10"/>
  <c r="Y281" i="10"/>
  <c r="R291" i="10"/>
  <c r="P294" i="10"/>
  <c r="U180" i="10"/>
  <c r="S229" i="10"/>
  <c r="U231" i="10"/>
  <c r="R332" i="10"/>
  <c r="T225" i="10"/>
  <c r="Y336" i="10"/>
  <c r="Q179" i="10"/>
  <c r="Q266" i="10"/>
  <c r="L317" i="10"/>
  <c r="T213" i="10"/>
  <c r="G313" i="10"/>
  <c r="O140" i="10"/>
  <c r="R130" i="10"/>
  <c r="Y347" i="10"/>
  <c r="J171" i="10"/>
  <c r="Z139" i="10"/>
  <c r="J337" i="10"/>
  <c r="G192" i="10"/>
  <c r="F277" i="10"/>
  <c r="F225" i="10"/>
  <c r="V106" i="10"/>
  <c r="D227" i="10"/>
  <c r="G182" i="10"/>
  <c r="J146" i="10"/>
  <c r="M337" i="10"/>
  <c r="Q290" i="10"/>
  <c r="Q274" i="10"/>
  <c r="P120" i="10"/>
  <c r="G221" i="10"/>
  <c r="W142" i="10"/>
  <c r="L221" i="10"/>
  <c r="L163" i="10"/>
  <c r="J231" i="10"/>
  <c r="I269" i="10"/>
  <c r="M309" i="10"/>
  <c r="S137" i="10"/>
  <c r="S252" i="10"/>
  <c r="T288" i="10"/>
  <c r="M141" i="10"/>
  <c r="U328" i="10"/>
  <c r="P221" i="10"/>
  <c r="O348" i="10"/>
  <c r="F128" i="10"/>
  <c r="T188" i="10"/>
  <c r="E16" i="10"/>
  <c r="F129" i="10"/>
  <c r="J229" i="10"/>
  <c r="S202" i="10"/>
  <c r="Q208" i="10"/>
  <c r="D259" i="10"/>
  <c r="F261" i="10"/>
  <c r="Y228" i="10"/>
  <c r="T189" i="10"/>
  <c r="L358" i="10"/>
  <c r="D352" i="10"/>
  <c r="X130" i="10"/>
  <c r="Z322" i="10"/>
  <c r="Z332" i="10"/>
  <c r="U310" i="10"/>
  <c r="Y229" i="10"/>
  <c r="V113" i="10"/>
  <c r="M213" i="10"/>
  <c r="V229" i="10"/>
  <c r="V198" i="10"/>
  <c r="R161" i="10"/>
  <c r="V239" i="10"/>
  <c r="S124" i="10"/>
  <c r="X311" i="10"/>
  <c r="U242" i="10"/>
  <c r="Z198" i="10"/>
  <c r="W307" i="10"/>
  <c r="W177" i="10"/>
  <c r="P216" i="10"/>
  <c r="P202" i="10"/>
  <c r="X292" i="10"/>
  <c r="G335" i="10"/>
  <c r="Y234" i="10"/>
  <c r="J137" i="10"/>
  <c r="U136" i="10"/>
  <c r="F201" i="10"/>
  <c r="U327" i="10"/>
  <c r="X256" i="10"/>
  <c r="R335" i="10"/>
  <c r="Z214" i="10"/>
  <c r="Z179" i="10"/>
  <c r="G273" i="10"/>
  <c r="Q265" i="10"/>
  <c r="S343" i="10"/>
  <c r="Q169" i="10"/>
  <c r="V251" i="10"/>
  <c r="V310" i="10"/>
  <c r="O260" i="10"/>
  <c r="S245" i="10"/>
  <c r="R251" i="10"/>
  <c r="Z286" i="10"/>
  <c r="X121" i="10"/>
  <c r="R104" i="10"/>
  <c r="P267" i="10"/>
  <c r="P123" i="10"/>
  <c r="S213" i="10"/>
  <c r="F299" i="10"/>
  <c r="L96" i="10"/>
  <c r="G114" i="10"/>
  <c r="X164" i="10"/>
  <c r="P293" i="10"/>
  <c r="Z157" i="10"/>
  <c r="T212" i="10"/>
  <c r="P332" i="10"/>
  <c r="S148" i="10"/>
  <c r="O264" i="10"/>
  <c r="W269" i="10"/>
  <c r="M153" i="10"/>
  <c r="I230" i="10"/>
  <c r="J177" i="10"/>
  <c r="P315" i="10"/>
  <c r="Y182" i="10"/>
  <c r="R239" i="10"/>
  <c r="Y221" i="10"/>
  <c r="Q254" i="10"/>
  <c r="P292" i="10"/>
  <c r="Y153" i="10"/>
  <c r="L326" i="10"/>
  <c r="S234" i="10"/>
  <c r="O225" i="10"/>
  <c r="Z259" i="10"/>
  <c r="S208" i="10"/>
  <c r="V225" i="10"/>
  <c r="P224" i="10"/>
  <c r="L175" i="10"/>
  <c r="S250" i="10"/>
  <c r="P281" i="10"/>
  <c r="T130" i="10"/>
  <c r="R263" i="10"/>
  <c r="P99" i="10"/>
  <c r="G126" i="10"/>
  <c r="R238" i="10"/>
  <c r="L318" i="10"/>
  <c r="S121" i="10"/>
  <c r="T276" i="10"/>
  <c r="Q170" i="10"/>
  <c r="Y335" i="10"/>
  <c r="J312" i="10"/>
  <c r="Z270" i="10"/>
  <c r="O304" i="10"/>
  <c r="M232" i="10"/>
  <c r="O212" i="10"/>
  <c r="Q242" i="10"/>
  <c r="P236" i="10"/>
  <c r="O99" i="10"/>
  <c r="D141" i="10"/>
  <c r="F270" i="10"/>
  <c r="P346" i="10"/>
  <c r="Q171" i="10"/>
  <c r="Q224" i="10"/>
  <c r="M277" i="10"/>
  <c r="M325" i="10"/>
  <c r="M220" i="10"/>
  <c r="S154" i="10"/>
  <c r="J102" i="10"/>
  <c r="M312" i="10"/>
  <c r="Q333" i="10"/>
  <c r="I97" i="10"/>
  <c r="P126" i="10"/>
  <c r="U114" i="10"/>
  <c r="F156" i="10"/>
  <c r="O144" i="10"/>
  <c r="V248" i="10"/>
  <c r="R118" i="10"/>
  <c r="T103" i="10"/>
  <c r="G227" i="10"/>
  <c r="D318" i="10"/>
  <c r="L104" i="10"/>
  <c r="G259" i="10"/>
  <c r="J212" i="10"/>
  <c r="S200" i="10"/>
  <c r="W259" i="10"/>
  <c r="J277" i="10"/>
  <c r="O126" i="10"/>
  <c r="Z340" i="10"/>
  <c r="W266" i="10"/>
  <c r="S357" i="10"/>
  <c r="F357" i="10"/>
  <c r="T241" i="10"/>
  <c r="S243" i="10"/>
  <c r="V258" i="10"/>
  <c r="Z186" i="10"/>
  <c r="X110" i="10"/>
  <c r="T199" i="10"/>
  <c r="T234" i="10"/>
  <c r="U248" i="10"/>
  <c r="U344" i="10"/>
  <c r="U151" i="10"/>
  <c r="R337" i="10"/>
  <c r="U251" i="10"/>
  <c r="U105" i="10"/>
  <c r="P286" i="10"/>
  <c r="Z146" i="10"/>
  <c r="Y123" i="10"/>
  <c r="V324" i="10"/>
  <c r="M243" i="10"/>
  <c r="S233" i="10"/>
  <c r="Q327" i="10"/>
  <c r="O316" i="10"/>
  <c r="U350" i="10"/>
  <c r="L273" i="10"/>
  <c r="V197" i="10"/>
  <c r="I175" i="10"/>
  <c r="Q203" i="10"/>
  <c r="M169" i="10"/>
  <c r="M342" i="10"/>
  <c r="T200" i="10"/>
  <c r="X194" i="10"/>
  <c r="M270" i="10"/>
  <c r="G104" i="10"/>
  <c r="R184" i="10"/>
  <c r="G220" i="10"/>
  <c r="X125" i="10"/>
  <c r="P113" i="10"/>
  <c r="Z271" i="10"/>
  <c r="S339" i="10"/>
  <c r="R305" i="10"/>
  <c r="Q120" i="10"/>
  <c r="O203" i="10"/>
  <c r="P306" i="10"/>
  <c r="G333" i="10"/>
  <c r="M163" i="10"/>
  <c r="O112" i="10"/>
  <c r="P170" i="10"/>
  <c r="K21" i="10"/>
  <c r="J289" i="10"/>
  <c r="T152" i="10"/>
  <c r="V309" i="10"/>
  <c r="U139" i="10"/>
  <c r="W154" i="10"/>
  <c r="J214" i="10"/>
  <c r="W106" i="10"/>
  <c r="W133" i="10"/>
  <c r="Y209" i="10"/>
  <c r="X159" i="10"/>
  <c r="F122" i="10"/>
  <c r="T295" i="10"/>
  <c r="T318" i="10"/>
  <c r="Y215" i="10"/>
  <c r="X274" i="10"/>
  <c r="W218" i="10"/>
  <c r="Y168" i="10"/>
  <c r="U121" i="10"/>
  <c r="P153" i="10"/>
  <c r="S111" i="10"/>
  <c r="O244" i="10"/>
  <c r="M283" i="10"/>
  <c r="Y133" i="10"/>
  <c r="J193" i="10"/>
  <c r="S260" i="10"/>
  <c r="O289" i="10"/>
  <c r="T254" i="10"/>
  <c r="Q289" i="10"/>
  <c r="O188" i="10"/>
  <c r="Q243" i="10"/>
  <c r="O190" i="10"/>
  <c r="Q96" i="10"/>
  <c r="L150" i="10"/>
  <c r="T127" i="10"/>
  <c r="F350" i="10"/>
  <c r="I101" i="10"/>
  <c r="J332" i="10"/>
  <c r="F290" i="10"/>
  <c r="R275" i="10"/>
  <c r="X332" i="10"/>
  <c r="X175" i="10"/>
  <c r="O237" i="10"/>
  <c r="W233" i="10"/>
  <c r="T222" i="10"/>
  <c r="M264" i="10"/>
  <c r="L178" i="10"/>
  <c r="V108" i="10"/>
  <c r="M331" i="10"/>
  <c r="L280" i="10"/>
  <c r="Q101" i="10"/>
  <c r="R316" i="10"/>
  <c r="S209" i="10"/>
  <c r="I105" i="10"/>
  <c r="J182" i="10"/>
  <c r="Q228" i="10"/>
  <c r="X135" i="10"/>
  <c r="F194" i="10"/>
  <c r="L120" i="10"/>
  <c r="M216" i="10"/>
  <c r="T346" i="10"/>
  <c r="G329" i="10"/>
  <c r="O121" i="10"/>
  <c r="S336" i="10"/>
  <c r="Q298" i="10"/>
  <c r="J161" i="10"/>
  <c r="T179" i="10"/>
  <c r="D250" i="10"/>
  <c r="G168" i="10"/>
  <c r="Q305" i="10"/>
  <c r="I183" i="10"/>
  <c r="F234" i="10"/>
  <c r="Q337" i="10"/>
  <c r="S126" i="10"/>
  <c r="P343" i="10"/>
  <c r="Q231" i="10"/>
  <c r="F141" i="10"/>
  <c r="F359" i="10"/>
  <c r="Y303" i="10"/>
  <c r="S361" i="10"/>
  <c r="X214" i="10"/>
  <c r="D357" i="10"/>
  <c r="X273" i="10"/>
  <c r="J196" i="10"/>
  <c r="P308" i="10"/>
  <c r="Y156" i="10"/>
  <c r="U173" i="10"/>
  <c r="T303" i="10"/>
  <c r="P146" i="10"/>
  <c r="Q306" i="10"/>
  <c r="Y227" i="10"/>
  <c r="X345" i="10"/>
  <c r="V139" i="10"/>
  <c r="V274" i="10"/>
  <c r="W120" i="10"/>
  <c r="V148" i="10"/>
  <c r="V317" i="10"/>
  <c r="W157" i="10"/>
  <c r="Z227" i="10"/>
  <c r="O295" i="10"/>
  <c r="R276" i="10"/>
  <c r="N24" i="10"/>
  <c r="M182" i="10"/>
  <c r="Z281" i="10"/>
  <c r="T319" i="10"/>
  <c r="J153" i="10"/>
  <c r="G331" i="10"/>
  <c r="M183" i="10"/>
  <c r="M199" i="10"/>
  <c r="V314" i="10"/>
  <c r="S284" i="10"/>
  <c r="X153" i="10"/>
  <c r="Q223" i="10"/>
  <c r="F343" i="10"/>
  <c r="X131" i="10"/>
  <c r="P317" i="10"/>
  <c r="Z120" i="10"/>
  <c r="W310" i="10"/>
  <c r="M221" i="10"/>
  <c r="W231" i="10"/>
  <c r="Z266" i="10"/>
  <c r="T255" i="10"/>
  <c r="O108" i="10"/>
  <c r="S216" i="10"/>
  <c r="S158" i="10"/>
  <c r="T117" i="10"/>
  <c r="P149" i="10"/>
  <c r="X263" i="10"/>
  <c r="Q278" i="10"/>
  <c r="T150" i="10"/>
  <c r="W243" i="10"/>
  <c r="Q204" i="10"/>
  <c r="W208" i="10"/>
  <c r="U137" i="10"/>
  <c r="T181" i="10"/>
  <c r="R309" i="10"/>
  <c r="M124" i="10"/>
  <c r="M269" i="10"/>
  <c r="G272" i="10"/>
  <c r="I338" i="10"/>
  <c r="U234" i="10"/>
  <c r="W316" i="10"/>
  <c r="L323" i="10"/>
  <c r="Z292" i="10"/>
  <c r="Q153" i="10"/>
  <c r="M184" i="10"/>
  <c r="X201" i="10"/>
  <c r="M321" i="10"/>
  <c r="D254" i="10"/>
  <c r="F199" i="10"/>
  <c r="Q197" i="10"/>
  <c r="U208" i="10"/>
  <c r="W216" i="10"/>
  <c r="M150" i="10"/>
  <c r="P193" i="10"/>
  <c r="Q292" i="10"/>
  <c r="S305" i="10"/>
  <c r="Q291" i="10"/>
  <c r="O299" i="10"/>
  <c r="P118" i="10"/>
  <c r="G244" i="10"/>
  <c r="J133" i="10"/>
  <c r="T135" i="10"/>
  <c r="T272" i="10"/>
  <c r="J130" i="10"/>
  <c r="R247" i="10"/>
  <c r="G223" i="10"/>
  <c r="O254" i="10"/>
  <c r="I268" i="10"/>
  <c r="O310" i="10"/>
  <c r="L299" i="10"/>
  <c r="T176" i="10"/>
  <c r="S165" i="10"/>
  <c r="O145" i="10"/>
  <c r="I190" i="10"/>
  <c r="I122" i="10"/>
  <c r="J106" i="10"/>
  <c r="I337" i="10"/>
  <c r="Y337" i="10"/>
  <c r="T235" i="10"/>
  <c r="Q108" i="10"/>
  <c r="X221" i="10"/>
  <c r="M212" i="10"/>
  <c r="G146" i="10"/>
  <c r="U262" i="10"/>
  <c r="J296" i="10"/>
  <c r="J328" i="10"/>
  <c r="O238" i="10"/>
  <c r="V195" i="10"/>
  <c r="S120" i="10"/>
  <c r="P276" i="10"/>
  <c r="I331" i="10"/>
  <c r="L283" i="10"/>
  <c r="P273" i="10"/>
  <c r="O154" i="10"/>
  <c r="J126" i="10"/>
  <c r="G258" i="10"/>
  <c r="G312" i="10"/>
  <c r="M188" i="10"/>
  <c r="I285" i="10"/>
  <c r="S164" i="10"/>
  <c r="T305" i="10"/>
  <c r="Y262" i="10"/>
  <c r="J141" i="10"/>
  <c r="P103" i="10"/>
  <c r="T322" i="10"/>
  <c r="W329" i="10"/>
  <c r="U355" i="10"/>
  <c r="Z350" i="10"/>
  <c r="S362" i="10"/>
  <c r="Y149" i="10"/>
  <c r="U349" i="10"/>
  <c r="X317" i="10"/>
  <c r="T129" i="10"/>
  <c r="Z311" i="10"/>
  <c r="Z96" i="10"/>
  <c r="Z174" i="10"/>
  <c r="R218" i="10"/>
  <c r="S331" i="10"/>
  <c r="U313" i="10"/>
  <c r="R290" i="10"/>
  <c r="V261" i="10"/>
  <c r="U265" i="10"/>
  <c r="Z290" i="10"/>
  <c r="X323" i="10"/>
  <c r="Q312" i="10"/>
  <c r="U217" i="10"/>
  <c r="M205" i="10"/>
  <c r="L121" i="10"/>
  <c r="I306" i="10"/>
  <c r="G115" i="10"/>
  <c r="Z325" i="10"/>
  <c r="S149" i="10"/>
  <c r="R144" i="10"/>
  <c r="J136" i="10"/>
  <c r="O329" i="10"/>
  <c r="S100" i="10"/>
  <c r="Z289" i="10"/>
  <c r="G330" i="10"/>
  <c r="V168" i="10"/>
  <c r="Q248" i="10"/>
  <c r="T217" i="10"/>
  <c r="R141" i="10"/>
  <c r="S196" i="10"/>
  <c r="Y152" i="10"/>
  <c r="J310" i="10"/>
  <c r="I130" i="10"/>
  <c r="Z106" i="10"/>
  <c r="V222" i="10"/>
  <c r="P331" i="10"/>
  <c r="W226" i="10"/>
  <c r="S156" i="10"/>
  <c r="J206" i="10"/>
  <c r="Z277" i="10"/>
  <c r="M222" i="10"/>
  <c r="V240" i="10"/>
  <c r="R202" i="10"/>
  <c r="Q338" i="10"/>
  <c r="V192" i="10"/>
  <c r="J339" i="10"/>
  <c r="Z128" i="10"/>
  <c r="P325" i="10"/>
  <c r="M272" i="10"/>
  <c r="M253" i="10"/>
  <c r="M195" i="10"/>
  <c r="R164" i="10"/>
  <c r="G323" i="10"/>
  <c r="R115" i="10"/>
  <c r="Z250" i="10"/>
  <c r="Q313" i="10"/>
  <c r="W112" i="10"/>
  <c r="Z203" i="10"/>
  <c r="O239" i="10"/>
  <c r="L311" i="10"/>
  <c r="O101" i="10"/>
  <c r="L103" i="10"/>
  <c r="R116" i="10"/>
  <c r="D115" i="10"/>
  <c r="G318" i="10"/>
  <c r="V187" i="10"/>
  <c r="P245" i="10"/>
  <c r="Y218" i="10"/>
  <c r="T289" i="10"/>
  <c r="O258" i="10"/>
  <c r="P344" i="10"/>
  <c r="S194" i="10"/>
  <c r="X307" i="10"/>
  <c r="W155" i="10"/>
  <c r="I242" i="10"/>
  <c r="U120" i="10"/>
  <c r="S169" i="10"/>
  <c r="P249" i="10"/>
  <c r="P291" i="10"/>
  <c r="O110" i="10"/>
  <c r="F96" i="10"/>
  <c r="Y254" i="10"/>
  <c r="R231" i="10"/>
  <c r="P338" i="10"/>
  <c r="J282" i="10"/>
  <c r="Q283" i="10"/>
  <c r="Q258" i="10"/>
  <c r="T123" i="10"/>
  <c r="F284" i="10"/>
  <c r="Y305" i="10"/>
  <c r="D98" i="10"/>
  <c r="G172" i="10"/>
  <c r="L349" i="10"/>
  <c r="P258" i="10"/>
  <c r="P227" i="10"/>
  <c r="X122" i="10"/>
  <c r="L22" i="10"/>
  <c r="T226" i="10"/>
  <c r="F174" i="10"/>
  <c r="F303" i="10"/>
  <c r="W344" i="10"/>
  <c r="O209" i="10"/>
  <c r="Q215" i="10"/>
  <c r="R243" i="10"/>
  <c r="R123" i="10"/>
  <c r="Y328" i="10"/>
  <c r="O134" i="10"/>
  <c r="R171" i="10"/>
  <c r="P272" i="10"/>
  <c r="S257" i="10"/>
  <c r="M247" i="10"/>
  <c r="D114" i="10"/>
  <c r="G343" i="10"/>
  <c r="P298" i="10"/>
  <c r="U329" i="10"/>
  <c r="T224" i="10"/>
  <c r="W105" i="10"/>
  <c r="I198" i="10"/>
  <c r="Q281" i="10"/>
  <c r="Z180" i="10"/>
  <c r="V254" i="10"/>
  <c r="Q366" i="10"/>
  <c r="U228" i="10"/>
  <c r="F356" i="10"/>
  <c r="V260" i="10"/>
  <c r="O306" i="10"/>
  <c r="U264" i="10"/>
  <c r="Y326" i="10"/>
  <c r="Y265" i="10"/>
  <c r="Y246" i="10"/>
  <c r="Y320" i="10"/>
  <c r="W334" i="10"/>
  <c r="S103" i="10"/>
  <c r="Z129" i="10"/>
  <c r="Y350" i="10"/>
  <c r="S235" i="10"/>
  <c r="X181" i="10"/>
  <c r="Z212" i="10"/>
  <c r="Z201" i="10"/>
  <c r="U237" i="10"/>
  <c r="U160" i="10"/>
  <c r="L343" i="10"/>
  <c r="L243" i="10"/>
  <c r="O201" i="10"/>
  <c r="T270" i="10"/>
  <c r="U302" i="10"/>
  <c r="G248" i="10"/>
  <c r="W311" i="10"/>
  <c r="R110" i="10"/>
  <c r="W289" i="10"/>
  <c r="I251" i="10"/>
  <c r="Y268" i="10"/>
  <c r="Q263" i="10"/>
  <c r="S338" i="10"/>
  <c r="Z110" i="10"/>
  <c r="G103" i="10"/>
  <c r="X170" i="10"/>
  <c r="S125" i="10"/>
  <c r="S326" i="10"/>
  <c r="I301" i="10"/>
  <c r="G133" i="10"/>
  <c r="W139" i="10"/>
  <c r="T197" i="10"/>
  <c r="R109" i="10"/>
  <c r="P262" i="10"/>
  <c r="P180" i="10"/>
  <c r="J278" i="10"/>
  <c r="P176" i="10"/>
  <c r="S275" i="10"/>
  <c r="L198" i="10"/>
  <c r="L172" i="10"/>
  <c r="O236" i="10"/>
  <c r="X298" i="10"/>
  <c r="Y289" i="10"/>
  <c r="Q247" i="10"/>
  <c r="X196" i="10"/>
  <c r="L284" i="10"/>
  <c r="J285" i="10"/>
  <c r="L276" i="10"/>
  <c r="G235" i="10"/>
  <c r="O274" i="10"/>
  <c r="Q198" i="10"/>
  <c r="U161" i="10"/>
  <c r="P330" i="10"/>
  <c r="P326" i="10"/>
  <c r="J250" i="10"/>
  <c r="S335" i="10"/>
  <c r="Q236" i="10"/>
  <c r="R246" i="10"/>
  <c r="S118" i="10"/>
  <c r="J269" i="10"/>
  <c r="D243" i="10"/>
  <c r="J117" i="10"/>
  <c r="V116" i="10"/>
  <c r="U319" i="10"/>
  <c r="Y162" i="10"/>
  <c r="U325" i="10"/>
  <c r="S212" i="10"/>
  <c r="O275" i="10"/>
  <c r="V162" i="10"/>
  <c r="W190" i="10"/>
  <c r="M107" i="10"/>
  <c r="G308" i="10"/>
  <c r="J322" i="10"/>
  <c r="V145" i="10"/>
  <c r="S112" i="10"/>
  <c r="J267" i="10"/>
  <c r="G238" i="10"/>
  <c r="L226" i="10"/>
  <c r="Q262" i="10"/>
  <c r="U148" i="10"/>
  <c r="S193" i="10"/>
  <c r="O338" i="10"/>
  <c r="V347" i="10"/>
  <c r="L190" i="10"/>
  <c r="Q158" i="10"/>
  <c r="D235" i="10"/>
  <c r="F134" i="10"/>
  <c r="M142" i="10"/>
  <c r="M297" i="10"/>
  <c r="R154" i="10"/>
  <c r="W191" i="10"/>
  <c r="Q317" i="10"/>
  <c r="R169" i="10"/>
  <c r="G253" i="10"/>
  <c r="M219" i="10"/>
  <c r="L228" i="10"/>
  <c r="D192" i="10"/>
  <c r="G278" i="10"/>
  <c r="M112" i="10"/>
  <c r="O200" i="10"/>
  <c r="T286" i="10"/>
  <c r="M275" i="10"/>
  <c r="M328" i="10"/>
  <c r="F316" i="10"/>
  <c r="G186" i="10"/>
  <c r="S264" i="10"/>
  <c r="D256" i="10"/>
  <c r="M146" i="10"/>
  <c r="M116" i="10"/>
  <c r="O146" i="10"/>
  <c r="L258" i="10"/>
  <c r="W189" i="10"/>
  <c r="O343" i="10"/>
  <c r="S350" i="10"/>
  <c r="F292" i="10"/>
  <c r="D292" i="10"/>
  <c r="G121" i="10"/>
  <c r="M310" i="10"/>
  <c r="P151" i="10"/>
  <c r="O234" i="10"/>
  <c r="W253" i="10"/>
  <c r="X148" i="10"/>
  <c r="S345" i="10"/>
  <c r="M282" i="10"/>
  <c r="M230" i="10"/>
  <c r="M293" i="10"/>
  <c r="O332" i="10"/>
  <c r="I153" i="10"/>
  <c r="G213" i="10"/>
  <c r="G283" i="10"/>
  <c r="T118" i="10"/>
  <c r="Y290" i="10"/>
  <c r="V289" i="10"/>
  <c r="R120" i="10"/>
  <c r="M257" i="10"/>
  <c r="R106" i="10"/>
  <c r="L135" i="10"/>
  <c r="O297" i="10"/>
  <c r="L261" i="10"/>
  <c r="R254" i="10"/>
  <c r="L324" i="10"/>
  <c r="X168" i="10"/>
  <c r="R314" i="10"/>
  <c r="T337" i="10"/>
  <c r="R134" i="10"/>
  <c r="R132" i="10"/>
  <c r="J316" i="10"/>
  <c r="S185" i="10"/>
  <c r="V165" i="10"/>
  <c r="I135" i="10"/>
  <c r="J100" i="10"/>
  <c r="M149" i="10"/>
  <c r="I309" i="10"/>
  <c r="L312" i="10"/>
  <c r="F243" i="10"/>
  <c r="L297" i="10"/>
  <c r="R173" i="10"/>
  <c r="R185" i="10"/>
  <c r="G349" i="10"/>
  <c r="J301" i="10"/>
  <c r="L99" i="10"/>
  <c r="F172" i="10"/>
  <c r="D342" i="10"/>
  <c r="I196" i="10"/>
  <c r="L223" i="10"/>
  <c r="J239" i="10"/>
  <c r="V238" i="10"/>
  <c r="R156" i="10"/>
  <c r="G281" i="10"/>
  <c r="O155" i="10"/>
  <c r="P243" i="10"/>
  <c r="J16" i="10"/>
  <c r="I243" i="10"/>
  <c r="F324" i="10"/>
  <c r="I277" i="10"/>
  <c r="D224" i="10"/>
  <c r="S238" i="10"/>
  <c r="T209" i="10"/>
  <c r="P304" i="10"/>
  <c r="L114" i="10"/>
  <c r="G106" i="10"/>
  <c r="M333" i="10"/>
  <c r="J192" i="10"/>
  <c r="L302" i="10"/>
  <c r="I218" i="10"/>
  <c r="D180" i="10"/>
  <c r="E28" i="10"/>
  <c r="L195" i="10"/>
  <c r="G228" i="10"/>
  <c r="S180" i="10"/>
  <c r="M179" i="10"/>
  <c r="F345" i="10"/>
  <c r="O217" i="10"/>
  <c r="R294" i="10"/>
  <c r="R249" i="10"/>
  <c r="D306" i="10"/>
  <c r="G275" i="10"/>
  <c r="L337" i="10"/>
  <c r="F212" i="10"/>
  <c r="P114" i="10"/>
  <c r="Q172" i="10"/>
  <c r="G178" i="10"/>
  <c r="L301" i="10"/>
  <c r="L201" i="10"/>
  <c r="J272" i="10"/>
  <c r="M295" i="10"/>
  <c r="I211" i="10"/>
  <c r="I231" i="10"/>
  <c r="T155" i="10"/>
  <c r="G262" i="10"/>
  <c r="F285" i="10"/>
  <c r="F197" i="10"/>
  <c r="L305" i="10"/>
  <c r="G346" i="10"/>
  <c r="M304" i="10"/>
  <c r="L118" i="10"/>
  <c r="F195" i="10"/>
  <c r="D140" i="10"/>
  <c r="F280" i="10"/>
  <c r="J330" i="10"/>
  <c r="M302" i="10"/>
  <c r="L127" i="10"/>
  <c r="F170" i="10"/>
  <c r="I335" i="10"/>
  <c r="R143" i="10"/>
  <c r="Q122" i="10"/>
  <c r="T112" i="10"/>
  <c r="E18" i="10"/>
  <c r="J336" i="10"/>
  <c r="F139" i="10"/>
  <c r="I349" i="10"/>
  <c r="O113" i="10"/>
  <c r="Q252" i="10"/>
  <c r="P140" i="10"/>
  <c r="F196" i="10"/>
  <c r="S224" i="10"/>
  <c r="O248" i="10"/>
  <c r="F126" i="10"/>
  <c r="P268" i="10"/>
  <c r="P279" i="10"/>
  <c r="J115" i="10"/>
  <c r="L314" i="10"/>
  <c r="U210" i="10"/>
  <c r="P328" i="10"/>
  <c r="F263" i="10"/>
  <c r="G301" i="10"/>
  <c r="I240" i="10"/>
  <c r="J243" i="10"/>
  <c r="D165" i="10"/>
  <c r="R131" i="10"/>
  <c r="G263" i="10"/>
  <c r="I21" i="10"/>
  <c r="D129" i="10"/>
  <c r="F188" i="10"/>
  <c r="S130" i="10"/>
  <c r="I298" i="10"/>
  <c r="I294" i="10"/>
  <c r="G257" i="10"/>
  <c r="W272" i="10"/>
  <c r="H27" i="10"/>
  <c r="I332" i="10"/>
  <c r="I138" i="10"/>
  <c r="M303" i="10"/>
  <c r="I254" i="10"/>
  <c r="F16" i="10"/>
  <c r="Y127" i="10"/>
  <c r="L213" i="10"/>
  <c r="D278" i="10"/>
  <c r="D316" i="10"/>
  <c r="L231" i="10"/>
  <c r="J305" i="10"/>
  <c r="D168" i="10"/>
  <c r="G145" i="10"/>
  <c r="M134" i="10"/>
  <c r="K24" i="10"/>
  <c r="D304" i="10"/>
  <c r="L24" i="10"/>
  <c r="P24" i="10"/>
  <c r="I209" i="10"/>
  <c r="P27" i="10"/>
  <c r="U25" i="10"/>
  <c r="O17" i="10"/>
  <c r="T26" i="10"/>
  <c r="L26" i="10"/>
  <c r="R331" i="10"/>
  <c r="L325" i="10"/>
  <c r="M180" i="10"/>
  <c r="D242" i="10"/>
  <c r="R196" i="10"/>
  <c r="Q159" i="10"/>
  <c r="P152" i="10"/>
  <c r="D279" i="10"/>
  <c r="L166" i="10"/>
  <c r="O204" i="10"/>
  <c r="M157" i="10"/>
  <c r="F232" i="10"/>
  <c r="G205" i="10"/>
  <c r="D317" i="10"/>
  <c r="L161" i="10"/>
  <c r="O197" i="10"/>
  <c r="T239" i="10"/>
  <c r="L227" i="10"/>
  <c r="P96" i="10"/>
  <c r="P174" i="10"/>
  <c r="R135" i="10"/>
  <c r="M98" i="10"/>
  <c r="R192" i="10"/>
  <c r="F125" i="10"/>
  <c r="P194" i="10"/>
  <c r="R198" i="10"/>
  <c r="O227" i="10"/>
  <c r="V311" i="10"/>
  <c r="O176" i="10"/>
  <c r="G339" i="10"/>
  <c r="S179" i="10"/>
  <c r="R256" i="10"/>
  <c r="Q192" i="10"/>
  <c r="W162" i="10"/>
  <c r="R242" i="10"/>
  <c r="W323" i="10"/>
  <c r="T142" i="10"/>
  <c r="M197" i="10"/>
  <c r="J259" i="10"/>
  <c r="J236" i="10"/>
  <c r="J344" i="10"/>
  <c r="F163" i="10"/>
  <c r="I202" i="10"/>
  <c r="G23" i="10"/>
  <c r="I291" i="10"/>
  <c r="F276" i="10"/>
  <c r="L149" i="10"/>
  <c r="P110" i="10"/>
  <c r="O150" i="10"/>
  <c r="T214" i="10"/>
  <c r="L316" i="10"/>
  <c r="M144" i="10"/>
  <c r="F262" i="10"/>
  <c r="F278" i="10"/>
  <c r="U182" i="10"/>
  <c r="D19" i="10"/>
  <c r="G136" i="10"/>
  <c r="G162" i="10"/>
  <c r="F27" i="10"/>
  <c r="F147" i="10"/>
  <c r="Q155" i="10"/>
  <c r="F103" i="10"/>
  <c r="S189" i="10"/>
  <c r="M306" i="10"/>
  <c r="I249" i="10"/>
  <c r="J156" i="10"/>
  <c r="I342" i="10"/>
  <c r="F135" i="10"/>
  <c r="O270" i="10"/>
  <c r="G293" i="10"/>
  <c r="O182" i="10"/>
  <c r="D154" i="10"/>
  <c r="D137" i="10"/>
  <c r="F168" i="10"/>
  <c r="G27" i="10"/>
  <c r="I289" i="10"/>
  <c r="R102" i="10"/>
  <c r="V176" i="10"/>
  <c r="T106" i="10"/>
  <c r="G155" i="10"/>
  <c r="K18" i="10"/>
  <c r="M227" i="10"/>
  <c r="F252" i="10"/>
  <c r="F291" i="10"/>
  <c r="M241" i="10"/>
  <c r="I155" i="10"/>
  <c r="F318" i="10"/>
  <c r="Q227" i="10"/>
  <c r="P316" i="10"/>
  <c r="F143" i="10"/>
  <c r="M100" i="10"/>
  <c r="S129" i="10"/>
  <c r="T128" i="10"/>
  <c r="Q257" i="10"/>
  <c r="P117" i="10"/>
  <c r="L126" i="10"/>
  <c r="J240" i="10"/>
  <c r="F266" i="10"/>
  <c r="I302" i="10"/>
  <c r="F339" i="10"/>
  <c r="J348" i="10"/>
  <c r="D331" i="10"/>
  <c r="L160" i="10"/>
  <c r="G153" i="10"/>
  <c r="M132" i="10"/>
  <c r="I321" i="10"/>
  <c r="J19" i="10"/>
  <c r="K23" i="10"/>
  <c r="M301" i="10"/>
  <c r="T174" i="10"/>
  <c r="S255" i="10"/>
  <c r="I314" i="10"/>
  <c r="X339" i="10"/>
  <c r="Y261" i="10"/>
  <c r="L139" i="10"/>
  <c r="D298" i="10"/>
  <c r="H26" i="10"/>
  <c r="G151" i="10"/>
  <c r="Z101" i="10"/>
  <c r="S301" i="10"/>
  <c r="O262" i="10"/>
  <c r="I347" i="10"/>
  <c r="R262" i="10"/>
  <c r="O161" i="10"/>
  <c r="I304" i="10"/>
  <c r="Z185" i="10"/>
  <c r="O164" i="10"/>
  <c r="I253" i="10"/>
  <c r="D181" i="10"/>
  <c r="R197" i="10"/>
  <c r="L199" i="10"/>
  <c r="D158" i="10"/>
  <c r="F312" i="10"/>
  <c r="I180" i="10"/>
  <c r="J220" i="10"/>
  <c r="L267" i="10"/>
  <c r="D253" i="10"/>
  <c r="F98" i="10"/>
  <c r="F166" i="10"/>
  <c r="M177" i="10"/>
  <c r="I238" i="10"/>
  <c r="L291" i="10"/>
  <c r="M155" i="10"/>
  <c r="G216" i="10"/>
  <c r="M255" i="10"/>
  <c r="M147" i="10"/>
  <c r="F287" i="10"/>
  <c r="F325" i="10"/>
  <c r="I125" i="10"/>
  <c r="M289" i="10"/>
  <c r="I325" i="10"/>
  <c r="I26" i="10"/>
  <c r="G241" i="10"/>
  <c r="L219" i="10"/>
  <c r="T183" i="10"/>
  <c r="M319" i="10"/>
  <c r="F230" i="10"/>
  <c r="H16" i="10"/>
  <c r="D188" i="10"/>
  <c r="F224" i="10"/>
  <c r="O26" i="10"/>
  <c r="Q19" i="10"/>
  <c r="N26" i="10"/>
  <c r="Q26" i="10"/>
  <c r="Q18" i="10"/>
  <c r="M25" i="10"/>
  <c r="R24" i="10"/>
  <c r="U244" i="10"/>
  <c r="D171" i="10"/>
  <c r="X158" i="10"/>
  <c r="J299" i="10"/>
  <c r="Y159" i="10"/>
  <c r="R321" i="10"/>
  <c r="Q132" i="10"/>
  <c r="R117" i="10"/>
  <c r="D209" i="10"/>
  <c r="Q318" i="10"/>
  <c r="V140" i="10"/>
  <c r="D338" i="10"/>
  <c r="I327" i="10"/>
  <c r="F235" i="10"/>
  <c r="M341" i="10"/>
  <c r="M330" i="10"/>
  <c r="Z176" i="10"/>
  <c r="D245" i="10"/>
  <c r="J168" i="10"/>
  <c r="G124" i="10"/>
  <c r="O350" i="10"/>
  <c r="O205" i="10"/>
  <c r="J217" i="10"/>
  <c r="S160" i="10"/>
  <c r="J172" i="10"/>
  <c r="S290" i="10"/>
  <c r="T167" i="10"/>
  <c r="L184" i="10"/>
  <c r="G282" i="10"/>
  <c r="Q103" i="10"/>
  <c r="P121" i="10"/>
  <c r="D144" i="10"/>
  <c r="T113" i="10"/>
  <c r="P336" i="10"/>
  <c r="I200" i="10"/>
  <c r="F146" i="10"/>
  <c r="J180" i="10"/>
  <c r="Y294" i="10"/>
  <c r="M320" i="10"/>
  <c r="I103" i="10"/>
  <c r="M111" i="10"/>
  <c r="P101" i="10"/>
  <c r="Q315" i="10"/>
  <c r="J262" i="10"/>
  <c r="Q112" i="10"/>
  <c r="M225" i="10"/>
  <c r="F179" i="10"/>
  <c r="J283" i="10"/>
  <c r="I236" i="10"/>
  <c r="I282" i="10"/>
  <c r="Q348" i="10"/>
  <c r="F124" i="10"/>
  <c r="O331" i="10"/>
  <c r="L263" i="10"/>
  <c r="P147" i="10"/>
  <c r="G119" i="10"/>
  <c r="J120" i="10"/>
  <c r="E25" i="10"/>
  <c r="J165" i="10"/>
  <c r="F258" i="10"/>
  <c r="O340" i="10"/>
  <c r="J143" i="10"/>
  <c r="W261" i="10"/>
  <c r="F165" i="10"/>
  <c r="L134" i="10"/>
  <c r="F183" i="10"/>
  <c r="Q339" i="10"/>
  <c r="G107" i="10"/>
  <c r="M324" i="10"/>
  <c r="Z192" i="10"/>
  <c r="I173" i="10"/>
  <c r="I307" i="10"/>
  <c r="J18" i="10"/>
  <c r="J155" i="10"/>
  <c r="L176" i="10"/>
  <c r="F111" i="10"/>
  <c r="J205" i="10"/>
  <c r="F101" i="10"/>
  <c r="D167" i="10"/>
  <c r="O151" i="10"/>
  <c r="F254" i="10"/>
  <c r="I255" i="10"/>
  <c r="D17" i="10"/>
  <c r="F107" i="10"/>
  <c r="P159" i="10"/>
  <c r="Q325" i="10"/>
  <c r="P97" i="10"/>
  <c r="J288" i="10"/>
  <c r="F308" i="10"/>
  <c r="L277" i="10"/>
  <c r="D178" i="10"/>
  <c r="I212" i="10"/>
  <c r="D163" i="10"/>
  <c r="V200" i="10"/>
  <c r="U203" i="10"/>
  <c r="Q235" i="10"/>
  <c r="J234" i="10"/>
  <c r="I278" i="10"/>
  <c r="F348" i="10"/>
  <c r="O109" i="10"/>
  <c r="F169" i="10"/>
  <c r="S133" i="10"/>
  <c r="M209" i="10"/>
  <c r="O158" i="10"/>
  <c r="D349" i="10"/>
  <c r="G131" i="10"/>
  <c r="J227" i="10"/>
  <c r="G203" i="10"/>
  <c r="S181" i="10"/>
  <c r="I346" i="10"/>
  <c r="G105" i="10"/>
  <c r="O305" i="10"/>
  <c r="R193" i="10"/>
  <c r="F20" i="10"/>
  <c r="F189" i="10"/>
  <c r="F171" i="10"/>
  <c r="G118" i="10"/>
  <c r="F238" i="10"/>
  <c r="L164" i="10"/>
  <c r="J265" i="10"/>
  <c r="O162" i="10"/>
  <c r="I246" i="10"/>
  <c r="G194" i="10"/>
  <c r="F17" i="10"/>
  <c r="F140" i="10"/>
  <c r="R122" i="10"/>
  <c r="F271" i="10"/>
  <c r="O249" i="10"/>
  <c r="L229" i="10"/>
  <c r="G277" i="10"/>
  <c r="L210" i="10"/>
  <c r="H28" i="10"/>
  <c r="L123" i="10"/>
  <c r="F202" i="10"/>
  <c r="D175" i="10"/>
  <c r="L265" i="10"/>
  <c r="L21" i="10"/>
  <c r="O327" i="10"/>
  <c r="M326" i="10"/>
  <c r="D190" i="10"/>
  <c r="F305" i="10"/>
  <c r="F158" i="10"/>
  <c r="I275" i="10"/>
  <c r="F337" i="10"/>
  <c r="D103" i="10"/>
  <c r="W125" i="10"/>
  <c r="Q275" i="10"/>
  <c r="D314" i="10"/>
  <c r="I132" i="10"/>
  <c r="F112" i="10"/>
  <c r="I178" i="10"/>
  <c r="O160" i="10"/>
  <c r="J284" i="10"/>
  <c r="J232" i="10"/>
  <c r="J112" i="10"/>
  <c r="J124" i="10"/>
  <c r="G276" i="10"/>
  <c r="J300" i="10"/>
  <c r="F228" i="10"/>
  <c r="F23" i="10"/>
  <c r="P18" i="10"/>
  <c r="R25" i="10"/>
  <c r="M203" i="10"/>
  <c r="S28" i="10"/>
  <c r="V28" i="10"/>
  <c r="O25" i="10"/>
  <c r="Q16" i="10"/>
  <c r="T249" i="10"/>
  <c r="P190" i="10"/>
  <c r="W100" i="10"/>
  <c r="G173" i="10"/>
  <c r="Y295" i="10"/>
  <c r="T116" i="10"/>
  <c r="R307" i="10"/>
  <c r="Z208" i="10"/>
  <c r="O173" i="10"/>
  <c r="S218" i="10"/>
  <c r="X333" i="10"/>
  <c r="J341" i="10"/>
  <c r="D162" i="10"/>
  <c r="F221" i="10"/>
  <c r="Y283" i="10"/>
  <c r="M119" i="10"/>
  <c r="T137" i="10"/>
  <c r="D169" i="10"/>
  <c r="Q161" i="10"/>
  <c r="M246" i="10"/>
  <c r="O215" i="10"/>
  <c r="X119" i="10"/>
  <c r="D336" i="10"/>
  <c r="Q206" i="10"/>
  <c r="G112" i="10"/>
  <c r="Z205" i="10"/>
  <c r="R285" i="10"/>
  <c r="X150" i="10"/>
  <c r="J209" i="10"/>
  <c r="I126" i="10"/>
  <c r="J128" i="10"/>
  <c r="J139" i="10"/>
  <c r="T192" i="10"/>
  <c r="P148" i="10"/>
  <c r="L238" i="10"/>
  <c r="S155" i="10"/>
  <c r="M233" i="10"/>
  <c r="L158" i="10"/>
  <c r="X103" i="10"/>
  <c r="M217" i="10"/>
  <c r="Z162" i="10"/>
  <c r="S279" i="10"/>
  <c r="F268" i="10"/>
  <c r="I326" i="10"/>
  <c r="G342" i="10"/>
  <c r="M135" i="10"/>
  <c r="D263" i="10"/>
  <c r="I303" i="10"/>
  <c r="F192" i="10"/>
  <c r="D228" i="10"/>
  <c r="T204" i="10"/>
  <c r="R295" i="10"/>
  <c r="L255" i="10"/>
  <c r="D176" i="10"/>
  <c r="D315" i="10"/>
  <c r="I237" i="10"/>
  <c r="S171" i="10"/>
  <c r="G292" i="10"/>
  <c r="Q110" i="10"/>
  <c r="D335" i="10"/>
  <c r="U146" i="10"/>
  <c r="W167" i="10"/>
  <c r="O222" i="10"/>
  <c r="I204" i="10"/>
  <c r="L214" i="10"/>
  <c r="I102" i="10"/>
  <c r="J20" i="10"/>
  <c r="F167" i="10"/>
  <c r="T243" i="10"/>
  <c r="R103" i="10"/>
  <c r="D262" i="10"/>
  <c r="L270" i="10"/>
  <c r="I250" i="10"/>
  <c r="O181" i="10"/>
  <c r="I25" i="10"/>
  <c r="I23" i="10"/>
  <c r="O303" i="10"/>
  <c r="T153" i="10"/>
  <c r="F216" i="10"/>
  <c r="T251" i="10"/>
  <c r="L287" i="10"/>
  <c r="D105" i="10"/>
  <c r="L341" i="10"/>
  <c r="D187" i="10"/>
  <c r="W115" i="10"/>
  <c r="R261" i="10"/>
  <c r="I162" i="10"/>
  <c r="L233" i="10"/>
  <c r="F151" i="10"/>
  <c r="I220" i="10"/>
  <c r="G285" i="10"/>
  <c r="D329" i="10"/>
  <c r="Q137" i="10"/>
  <c r="F117" i="10"/>
  <c r="O192" i="10"/>
  <c r="I158" i="10"/>
  <c r="X128" i="10"/>
  <c r="D309" i="10"/>
  <c r="T271" i="10"/>
  <c r="G122" i="10"/>
  <c r="D293" i="10"/>
  <c r="F293" i="10"/>
  <c r="S192" i="10"/>
  <c r="V155" i="10"/>
  <c r="G269" i="10"/>
  <c r="Q230" i="10"/>
  <c r="I118" i="10"/>
  <c r="J342" i="10"/>
  <c r="T180" i="10"/>
  <c r="P186" i="10"/>
  <c r="R149" i="10"/>
  <c r="I111" i="10"/>
  <c r="O195" i="10"/>
  <c r="L144" i="10"/>
  <c r="F102" i="10"/>
  <c r="G129" i="10"/>
  <c r="I108" i="10"/>
  <c r="F265" i="10"/>
  <c r="T187" i="10"/>
  <c r="Q212" i="10"/>
  <c r="M186" i="10"/>
  <c r="F190" i="10"/>
  <c r="F130" i="10"/>
  <c r="F26" i="10"/>
  <c r="R223" i="10"/>
  <c r="J327" i="10"/>
  <c r="M121" i="10"/>
  <c r="O285" i="10"/>
  <c r="I206" i="10"/>
  <c r="L244" i="10"/>
  <c r="J313" i="10"/>
  <c r="O330" i="10"/>
  <c r="J140" i="10"/>
  <c r="W317" i="10"/>
  <c r="F323" i="10"/>
  <c r="I96" i="10"/>
  <c r="F114" i="10"/>
  <c r="I28" i="10"/>
  <c r="H19" i="10"/>
  <c r="L20" i="10"/>
  <c r="D302" i="10"/>
  <c r="J306" i="10"/>
  <c r="Q118" i="10"/>
  <c r="M240" i="10"/>
  <c r="J27" i="10"/>
  <c r="J297" i="10"/>
  <c r="O253" i="10"/>
  <c r="P178" i="10"/>
  <c r="F294" i="10"/>
  <c r="O206" i="10"/>
  <c r="D244" i="10"/>
  <c r="L242" i="10"/>
  <c r="D148" i="10"/>
  <c r="I317" i="10"/>
  <c r="I128" i="10"/>
  <c r="L282" i="10"/>
  <c r="D156" i="10"/>
  <c r="G132" i="10"/>
  <c r="F300" i="10"/>
  <c r="P175" i="10"/>
  <c r="Q17" i="10"/>
  <c r="T25" i="10"/>
  <c r="K27" i="10"/>
  <c r="W28" i="10"/>
  <c r="S27" i="10"/>
  <c r="Q21" i="10"/>
  <c r="Q25" i="10"/>
  <c r="D271" i="10"/>
  <c r="D117" i="10"/>
  <c r="W143" i="10"/>
  <c r="D125" i="10"/>
  <c r="Y206" i="10"/>
  <c r="G175" i="10"/>
  <c r="L130" i="10"/>
  <c r="O142" i="10"/>
  <c r="T208" i="10"/>
  <c r="S119" i="10"/>
  <c r="O315" i="10"/>
  <c r="D212" i="10"/>
  <c r="D333" i="10"/>
  <c r="P261" i="10"/>
  <c r="P196" i="10"/>
  <c r="U140" i="10"/>
  <c r="Z261" i="10"/>
  <c r="J238" i="10"/>
  <c r="L336" i="10"/>
  <c r="Q288" i="10"/>
  <c r="M258" i="10"/>
  <c r="D346" i="10"/>
  <c r="Q214" i="10"/>
  <c r="J142" i="10"/>
  <c r="T141" i="10"/>
  <c r="X173" i="10"/>
  <c r="M300" i="10"/>
  <c r="T281" i="10"/>
  <c r="T280" i="10"/>
  <c r="Q142" i="10"/>
  <c r="T242" i="10"/>
  <c r="G125" i="10"/>
  <c r="T329" i="10"/>
  <c r="U145" i="10"/>
  <c r="L257" i="10"/>
  <c r="I313" i="10"/>
  <c r="S97" i="10"/>
  <c r="M317" i="10"/>
  <c r="J101" i="10"/>
  <c r="T145" i="10"/>
  <c r="J97" i="10"/>
  <c r="L100" i="10"/>
  <c r="L216" i="10"/>
  <c r="J251" i="10"/>
  <c r="D119" i="10"/>
  <c r="O284" i="10"/>
  <c r="I141" i="10"/>
  <c r="F229" i="10"/>
  <c r="D219" i="10"/>
  <c r="D288" i="10"/>
  <c r="Z216" i="10"/>
  <c r="P166" i="10"/>
  <c r="M161" i="10"/>
  <c r="F317" i="10"/>
  <c r="J263" i="10"/>
  <c r="I182" i="10"/>
  <c r="D284" i="10"/>
  <c r="D195" i="10"/>
  <c r="G26" i="10"/>
  <c r="D232" i="10"/>
  <c r="U216" i="10"/>
  <c r="W166" i="10"/>
  <c r="G18" i="10"/>
  <c r="D164" i="10"/>
  <c r="D326" i="10"/>
  <c r="I203" i="10"/>
  <c r="D111" i="10"/>
  <c r="S104" i="10"/>
  <c r="R219" i="10"/>
  <c r="P265" i="10"/>
  <c r="J170" i="10"/>
  <c r="M223" i="10"/>
  <c r="O185" i="10"/>
  <c r="J162" i="10"/>
  <c r="D196" i="10"/>
  <c r="Q239" i="10"/>
  <c r="S201" i="10"/>
  <c r="W156" i="10"/>
  <c r="I18" i="10"/>
  <c r="F28" i="10"/>
  <c r="F267" i="10"/>
  <c r="F153" i="10"/>
  <c r="U126" i="10"/>
  <c r="D343" i="10"/>
  <c r="M274" i="10"/>
  <c r="Q296" i="10"/>
  <c r="G163" i="10"/>
  <c r="P219" i="10"/>
  <c r="M122" i="10"/>
  <c r="F214" i="10"/>
  <c r="G291" i="10"/>
  <c r="I274" i="10"/>
  <c r="O288" i="10"/>
  <c r="U201" i="10"/>
  <c r="M173" i="10"/>
  <c r="D347" i="10"/>
  <c r="E27" i="10"/>
  <c r="D233" i="10"/>
  <c r="S101" i="10"/>
  <c r="I343" i="10"/>
  <c r="F22" i="10"/>
  <c r="D276" i="10"/>
  <c r="M318" i="10"/>
  <c r="L313" i="10"/>
  <c r="L180" i="10"/>
  <c r="O153" i="10"/>
  <c r="J132" i="10"/>
  <c r="J110" i="10"/>
  <c r="Z132" i="10"/>
  <c r="I195" i="10"/>
  <c r="U238" i="10"/>
  <c r="G21" i="10"/>
  <c r="G159" i="10"/>
  <c r="G347" i="10"/>
  <c r="P189" i="10"/>
  <c r="I329" i="10"/>
  <c r="G199" i="10"/>
  <c r="L112" i="10"/>
  <c r="Z133" i="10"/>
  <c r="G209" i="10"/>
  <c r="G210" i="10"/>
  <c r="D247" i="10"/>
  <c r="J96" i="10"/>
  <c r="O271" i="10"/>
  <c r="O124" i="10"/>
  <c r="R100" i="10"/>
  <c r="V152" i="10"/>
  <c r="J135" i="10"/>
  <c r="P156" i="10"/>
  <c r="L19" i="10"/>
  <c r="I257" i="10"/>
  <c r="I104" i="10"/>
  <c r="F231" i="10"/>
  <c r="R155" i="10"/>
  <c r="J176" i="10"/>
  <c r="J169" i="10"/>
  <c r="D127" i="10"/>
  <c r="F314" i="10"/>
  <c r="D319" i="10"/>
  <c r="T138" i="10"/>
  <c r="O202" i="10"/>
  <c r="H25" i="10"/>
  <c r="L108" i="10"/>
  <c r="D200" i="10"/>
  <c r="L306" i="10"/>
  <c r="F211" i="10"/>
  <c r="Q148" i="10"/>
  <c r="F200" i="10"/>
  <c r="O279" i="10"/>
  <c r="I312" i="10"/>
  <c r="O240" i="10"/>
  <c r="G242" i="10"/>
  <c r="J22" i="10"/>
  <c r="Q177" i="10"/>
  <c r="F245" i="10"/>
  <c r="I247" i="10"/>
  <c r="G28" i="10"/>
  <c r="I262" i="10"/>
  <c r="L174" i="10"/>
  <c r="I139" i="10"/>
  <c r="R26" i="10"/>
  <c r="W26" i="10"/>
  <c r="M28" i="10"/>
  <c r="S26" i="10"/>
  <c r="O19" i="10"/>
  <c r="K25" i="10"/>
  <c r="T28" i="10"/>
  <c r="L141" i="10"/>
  <c r="V194" i="10"/>
  <c r="Z346" i="10"/>
  <c r="F191" i="10"/>
  <c r="Z230" i="10"/>
  <c r="O272" i="10"/>
  <c r="S287" i="10"/>
  <c r="P282" i="10"/>
  <c r="P259" i="10"/>
  <c r="R347" i="10"/>
  <c r="T124" i="10"/>
  <c r="I133" i="10"/>
  <c r="M276" i="10"/>
  <c r="G298" i="10"/>
  <c r="Q267" i="10"/>
  <c r="Q270" i="10"/>
  <c r="J208" i="10"/>
  <c r="D223" i="10"/>
  <c r="J230" i="10"/>
  <c r="S220" i="10"/>
  <c r="O259" i="10"/>
  <c r="Q334" i="10"/>
  <c r="G174" i="10"/>
  <c r="M185" i="10"/>
  <c r="J308" i="10"/>
  <c r="Y243" i="10"/>
  <c r="Y217" i="10"/>
  <c r="J127" i="10"/>
  <c r="F346" i="10"/>
  <c r="T268" i="10"/>
  <c r="G134" i="10"/>
  <c r="J286" i="10"/>
  <c r="L168" i="10"/>
  <c r="P320" i="10"/>
  <c r="R250" i="10"/>
  <c r="D102" i="10"/>
  <c r="W227" i="10"/>
  <c r="L169" i="10"/>
  <c r="P296" i="10"/>
  <c r="T262" i="10"/>
  <c r="G135" i="10"/>
  <c r="G309" i="10"/>
  <c r="P264" i="10"/>
  <c r="G289" i="10"/>
  <c r="D310" i="10"/>
  <c r="O130" i="10"/>
  <c r="I344" i="10"/>
  <c r="D136" i="10"/>
  <c r="F302" i="10"/>
  <c r="F223" i="10"/>
  <c r="T134" i="10"/>
  <c r="D295" i="10"/>
  <c r="M196" i="10"/>
  <c r="D210" i="10"/>
  <c r="E22" i="10"/>
  <c r="I279" i="10"/>
  <c r="F173" i="10"/>
  <c r="G111" i="10"/>
  <c r="F19" i="10"/>
  <c r="H23" i="10"/>
  <c r="R200" i="10"/>
  <c r="M154" i="10"/>
  <c r="I207" i="10"/>
  <c r="J186" i="10"/>
  <c r="D106" i="10"/>
  <c r="G324" i="10"/>
  <c r="D139" i="10"/>
  <c r="D300" i="10"/>
  <c r="S99" i="10"/>
  <c r="M286" i="10"/>
  <c r="J123" i="10"/>
  <c r="F326" i="10"/>
  <c r="G196" i="10"/>
  <c r="M172" i="10"/>
  <c r="F164" i="10"/>
  <c r="Q184" i="10"/>
  <c r="Y146" i="10"/>
  <c r="P211" i="10"/>
  <c r="I163" i="10"/>
  <c r="O313" i="10"/>
  <c r="G137" i="10"/>
  <c r="G348" i="10"/>
  <c r="J255" i="10"/>
  <c r="G20" i="10"/>
  <c r="G256" i="10"/>
  <c r="O298" i="10"/>
  <c r="O342" i="10"/>
  <c r="P350" i="10"/>
  <c r="L124" i="10"/>
  <c r="F298" i="10"/>
  <c r="I336" i="10"/>
  <c r="D157" i="10"/>
  <c r="P277" i="10"/>
  <c r="J163" i="10"/>
  <c r="D289" i="10"/>
  <c r="D323" i="10"/>
  <c r="J108" i="10"/>
  <c r="D264" i="10"/>
  <c r="D303" i="10"/>
  <c r="L157" i="10"/>
  <c r="F18" i="10"/>
  <c r="J25" i="10"/>
  <c r="W119" i="10"/>
  <c r="L239" i="10"/>
  <c r="G217" i="10"/>
  <c r="G202" i="10"/>
  <c r="L107" i="10"/>
  <c r="D134" i="10"/>
  <c r="G338" i="10"/>
  <c r="J111" i="10"/>
  <c r="F281" i="10"/>
  <c r="F159" i="10"/>
  <c r="Q213" i="10"/>
  <c r="F259" i="10"/>
  <c r="I107" i="10"/>
  <c r="I295" i="10"/>
  <c r="P154" i="10"/>
  <c r="G267" i="10"/>
  <c r="T139" i="10"/>
  <c r="Z273" i="10"/>
  <c r="J213" i="10"/>
  <c r="R209" i="10"/>
  <c r="D299" i="10"/>
  <c r="F207" i="10"/>
  <c r="D280" i="10"/>
  <c r="O191" i="10"/>
  <c r="M137" i="10"/>
  <c r="D159" i="10"/>
  <c r="I296" i="10"/>
  <c r="O163" i="10"/>
  <c r="L116" i="10"/>
  <c r="I261" i="10"/>
  <c r="F150" i="10"/>
  <c r="J304" i="10"/>
  <c r="J303" i="10"/>
  <c r="X291" i="10"/>
  <c r="M170" i="10"/>
  <c r="I27" i="10"/>
  <c r="M171" i="10"/>
  <c r="D226" i="10"/>
  <c r="T164" i="10"/>
  <c r="G265" i="10"/>
  <c r="O309" i="10"/>
  <c r="I259" i="10"/>
  <c r="O349" i="10"/>
  <c r="L102" i="10"/>
  <c r="I167" i="10"/>
  <c r="M244" i="10"/>
  <c r="S145" i="10"/>
  <c r="D281" i="10"/>
  <c r="J246" i="10"/>
  <c r="S317" i="10"/>
  <c r="G101" i="10"/>
  <c r="L153" i="10"/>
  <c r="G144" i="10"/>
  <c r="F246" i="10"/>
  <c r="P185" i="10"/>
  <c r="J215" i="10"/>
  <c r="G266" i="10"/>
  <c r="D142" i="10"/>
  <c r="T27" i="10"/>
  <c r="L28" i="10"/>
  <c r="O20" i="10"/>
  <c r="W25" i="10"/>
  <c r="P28" i="10"/>
  <c r="O21" i="10"/>
  <c r="V27" i="10"/>
  <c r="Y245" i="10"/>
  <c r="S266" i="10"/>
  <c r="P231" i="10"/>
  <c r="J248" i="10"/>
  <c r="S302" i="10"/>
  <c r="S333" i="10"/>
  <c r="L98" i="10"/>
  <c r="T185" i="10"/>
  <c r="L320" i="10"/>
  <c r="I256" i="10"/>
  <c r="S177" i="10"/>
  <c r="I109" i="10"/>
  <c r="R232" i="10"/>
  <c r="G96" i="10"/>
  <c r="V232" i="10"/>
  <c r="I185" i="10"/>
  <c r="J254" i="10"/>
  <c r="F311" i="10"/>
  <c r="D252" i="10"/>
  <c r="G271" i="10"/>
  <c r="G138" i="10"/>
  <c r="M299" i="10"/>
  <c r="G237" i="10"/>
  <c r="G229" i="10"/>
  <c r="D277" i="10"/>
  <c r="S265" i="10"/>
  <c r="T315" i="10"/>
  <c r="R302" i="10"/>
  <c r="I205" i="10"/>
  <c r="G207" i="10"/>
  <c r="D340" i="10"/>
  <c r="P226" i="10"/>
  <c r="L303" i="10"/>
  <c r="R274" i="10"/>
  <c r="L298" i="10"/>
  <c r="O257" i="10"/>
  <c r="M204" i="10"/>
  <c r="L159" i="10"/>
  <c r="O171" i="10"/>
  <c r="I181" i="10"/>
  <c r="T347" i="10"/>
  <c r="P128" i="10"/>
  <c r="D193" i="10"/>
  <c r="G198" i="10"/>
  <c r="F295" i="10"/>
  <c r="O167" i="10"/>
  <c r="J237" i="10"/>
  <c r="D197" i="10"/>
  <c r="R121" i="10"/>
  <c r="D194" i="10"/>
  <c r="Q301" i="10"/>
  <c r="O193" i="10"/>
  <c r="J167" i="10"/>
  <c r="F341" i="10"/>
  <c r="L152" i="10"/>
  <c r="F110" i="10"/>
  <c r="L105" i="10"/>
  <c r="J99" i="10"/>
  <c r="I328" i="10"/>
  <c r="G232" i="10"/>
  <c r="D285" i="10"/>
  <c r="O242" i="10"/>
  <c r="J197" i="10"/>
  <c r="P100" i="10"/>
  <c r="S108" i="10"/>
  <c r="D216" i="10"/>
  <c r="L271" i="10"/>
  <c r="L17" i="10"/>
  <c r="Y135" i="10"/>
  <c r="J225" i="10"/>
  <c r="D215" i="10"/>
  <c r="D240" i="10"/>
  <c r="L206" i="10"/>
  <c r="G128" i="10"/>
  <c r="F347" i="10"/>
  <c r="L292" i="10"/>
  <c r="T154" i="10"/>
  <c r="X347" i="10"/>
  <c r="L136" i="10"/>
  <c r="U113" i="10"/>
  <c r="I245" i="10"/>
  <c r="F144" i="10"/>
  <c r="G116" i="10"/>
  <c r="K19" i="10"/>
  <c r="I267" i="10"/>
  <c r="O296" i="10"/>
  <c r="T348" i="10"/>
  <c r="I193" i="10"/>
  <c r="S96" i="10"/>
  <c r="O174" i="10"/>
  <c r="G117" i="10"/>
  <c r="W313" i="10"/>
  <c r="R293" i="10"/>
  <c r="L122" i="10"/>
  <c r="R258" i="10"/>
  <c r="I260" i="10"/>
  <c r="G233" i="10"/>
  <c r="D334" i="10"/>
  <c r="J293" i="10"/>
  <c r="G350" i="10"/>
  <c r="F215" i="10"/>
  <c r="P324" i="10"/>
  <c r="O256" i="10"/>
  <c r="L236" i="10"/>
  <c r="Q131" i="10"/>
  <c r="K20" i="10"/>
  <c r="R283" i="10"/>
  <c r="D341" i="10"/>
  <c r="O273" i="10"/>
  <c r="T273" i="10"/>
  <c r="O169" i="10"/>
  <c r="I145" i="10"/>
  <c r="D238" i="10"/>
  <c r="I113" i="10"/>
  <c r="I142" i="10"/>
  <c r="J244" i="10"/>
  <c r="D246" i="10"/>
  <c r="M152" i="10"/>
  <c r="S98" i="10"/>
  <c r="R279" i="10"/>
  <c r="D128" i="10"/>
  <c r="M102" i="10"/>
  <c r="I217" i="10"/>
  <c r="L322" i="10"/>
  <c r="D138" i="10"/>
  <c r="O232" i="10"/>
  <c r="T147" i="10"/>
  <c r="D177" i="10"/>
  <c r="M158" i="10"/>
  <c r="M129" i="10"/>
  <c r="M131" i="10"/>
  <c r="D179" i="10"/>
  <c r="F241" i="10"/>
  <c r="D25" i="10"/>
  <c r="G157" i="10"/>
  <c r="L106" i="10"/>
  <c r="F338" i="10"/>
  <c r="D218" i="10"/>
  <c r="I120" i="10"/>
  <c r="M249" i="10"/>
  <c r="G222" i="10"/>
  <c r="D313" i="10"/>
  <c r="O219" i="10"/>
  <c r="L194" i="10"/>
  <c r="D101" i="10"/>
  <c r="D100" i="10"/>
  <c r="F113" i="10"/>
  <c r="D286" i="10"/>
  <c r="I149" i="10"/>
  <c r="D214" i="10"/>
  <c r="T122" i="10"/>
  <c r="G152" i="10"/>
  <c r="J271" i="10"/>
  <c r="R172" i="10"/>
  <c r="O220" i="10"/>
  <c r="F187" i="10"/>
  <c r="I310" i="10"/>
  <c r="F321" i="10"/>
  <c r="D99" i="10"/>
  <c r="M292" i="10"/>
  <c r="U28" i="10"/>
  <c r="O27" i="10"/>
  <c r="P25" i="10"/>
  <c r="S25" i="10"/>
  <c r="U26" i="10"/>
  <c r="P23" i="10"/>
  <c r="Q28" i="10"/>
  <c r="N25" i="10"/>
  <c r="P155" i="10"/>
  <c r="Q113" i="10"/>
  <c r="Z309" i="10"/>
  <c r="L189" i="10"/>
  <c r="U184" i="10"/>
  <c r="Q269" i="10"/>
  <c r="L334" i="10"/>
  <c r="F248" i="10"/>
  <c r="G299" i="10"/>
  <c r="L234" i="10"/>
  <c r="V120" i="10"/>
  <c r="M287" i="10"/>
  <c r="S210" i="10"/>
  <c r="G321" i="10"/>
  <c r="R188" i="10"/>
  <c r="J218" i="10"/>
  <c r="F108" i="10"/>
  <c r="U323" i="10"/>
  <c r="Z202" i="10"/>
  <c r="W285" i="10"/>
  <c r="I129" i="10"/>
  <c r="G130" i="10"/>
  <c r="Q100" i="10"/>
  <c r="J152" i="10"/>
  <c r="P169" i="10"/>
  <c r="Y274" i="10"/>
  <c r="T338" i="10"/>
  <c r="L294" i="10"/>
  <c r="J173" i="10"/>
  <c r="I290" i="10"/>
  <c r="F217" i="10"/>
  <c r="Y173" i="10"/>
  <c r="Y299" i="10"/>
  <c r="S207" i="10"/>
  <c r="I159" i="10"/>
  <c r="L142" i="10"/>
  <c r="O251" i="10"/>
  <c r="I177" i="10"/>
  <c r="J23" i="10"/>
  <c r="D296" i="10"/>
  <c r="G341" i="10"/>
  <c r="O223" i="10"/>
  <c r="I144" i="10"/>
  <c r="F322" i="10"/>
  <c r="L167" i="10"/>
  <c r="I350" i="10"/>
  <c r="L269" i="10"/>
  <c r="J261" i="10"/>
  <c r="I221" i="10"/>
  <c r="I121" i="10"/>
  <c r="T182" i="10"/>
  <c r="R342" i="10"/>
  <c r="G327" i="10"/>
  <c r="J17" i="10"/>
  <c r="D135" i="10"/>
  <c r="D273" i="10"/>
  <c r="F176" i="10"/>
  <c r="D191" i="10"/>
  <c r="L165" i="10"/>
  <c r="F340" i="10"/>
  <c r="W181" i="10"/>
  <c r="O224" i="10"/>
  <c r="F138" i="10"/>
  <c r="O235" i="10"/>
  <c r="D205" i="10"/>
  <c r="G255" i="10"/>
  <c r="I134" i="10"/>
  <c r="G305" i="10"/>
  <c r="Q119" i="10"/>
  <c r="R152" i="10"/>
  <c r="J207" i="10"/>
  <c r="L128" i="10"/>
  <c r="O243" i="10"/>
  <c r="F239" i="10"/>
  <c r="F181" i="10"/>
  <c r="L237" i="10"/>
  <c r="Z220" i="10"/>
  <c r="L138" i="10"/>
  <c r="I192" i="10"/>
  <c r="T195" i="10"/>
  <c r="I174" i="10"/>
  <c r="G181" i="10"/>
  <c r="L230" i="10"/>
  <c r="I123" i="10"/>
  <c r="J219" i="10"/>
  <c r="G340" i="10"/>
  <c r="L177" i="10"/>
  <c r="L182" i="10"/>
  <c r="G211" i="10"/>
  <c r="M228" i="10"/>
  <c r="S141" i="10"/>
  <c r="V349" i="10"/>
  <c r="T308" i="10"/>
  <c r="F136" i="10"/>
  <c r="D348" i="10"/>
  <c r="L295" i="10"/>
  <c r="F269" i="10"/>
  <c r="M314" i="10"/>
  <c r="F227" i="10"/>
  <c r="D307" i="10"/>
  <c r="H22" i="10"/>
  <c r="I288" i="10"/>
  <c r="S344" i="10"/>
  <c r="F142" i="10"/>
  <c r="L119" i="10"/>
  <c r="J233" i="10"/>
  <c r="G98" i="10"/>
  <c r="D265" i="10"/>
  <c r="Q104" i="10"/>
  <c r="L246" i="10"/>
  <c r="I292" i="10"/>
  <c r="L211" i="10"/>
  <c r="F105" i="10"/>
  <c r="J175" i="10"/>
  <c r="M145" i="10"/>
  <c r="D260" i="10"/>
  <c r="I176" i="10"/>
  <c r="G287" i="10"/>
  <c r="T293" i="10"/>
  <c r="Z124" i="10"/>
  <c r="I283" i="10"/>
  <c r="G193" i="10"/>
  <c r="J224" i="10"/>
  <c r="O127" i="10"/>
  <c r="O157" i="10"/>
  <c r="M344" i="10"/>
  <c r="I124" i="10"/>
  <c r="D332" i="10"/>
  <c r="J129" i="10"/>
  <c r="G184" i="10"/>
  <c r="I115" i="10"/>
  <c r="F145" i="10"/>
  <c r="D155" i="10"/>
  <c r="Q210" i="10"/>
  <c r="F332" i="10"/>
  <c r="I110" i="10"/>
  <c r="I228" i="10"/>
  <c r="R271" i="10"/>
  <c r="J21" i="10"/>
  <c r="G166" i="10"/>
  <c r="D143" i="10"/>
  <c r="D220" i="10"/>
  <c r="O267" i="10"/>
  <c r="I239" i="10"/>
  <c r="O131" i="10"/>
  <c r="G247" i="10"/>
  <c r="J28" i="10"/>
  <c r="D325" i="10"/>
  <c r="J202" i="10"/>
  <c r="D258" i="10"/>
  <c r="G317" i="10"/>
  <c r="J323" i="10"/>
  <c r="S144" i="10"/>
  <c r="L264" i="10"/>
  <c r="E19" i="10"/>
  <c r="J190" i="10"/>
  <c r="D107" i="10"/>
  <c r="I165" i="10"/>
  <c r="H21" i="10"/>
  <c r="J166" i="10"/>
  <c r="W27" i="10"/>
  <c r="P26" i="10"/>
  <c r="Q23" i="10"/>
  <c r="K26" i="10"/>
  <c r="P19" i="10"/>
  <c r="U24" i="10"/>
  <c r="V25" i="10"/>
  <c r="J264" i="10"/>
  <c r="J228" i="10"/>
  <c r="F222" i="10"/>
  <c r="Y180" i="10"/>
  <c r="J334" i="10"/>
  <c r="T193" i="10"/>
  <c r="D339" i="10"/>
  <c r="D261" i="10"/>
  <c r="L225" i="10"/>
  <c r="M234" i="10"/>
  <c r="O168" i="10"/>
  <c r="G231" i="10"/>
  <c r="Q149" i="10"/>
  <c r="G322" i="10"/>
  <c r="T125" i="10"/>
  <c r="R349" i="10"/>
  <c r="P145" i="10"/>
  <c r="J241" i="10"/>
  <c r="G270" i="10"/>
  <c r="V292" i="10"/>
  <c r="S195" i="10"/>
  <c r="L256" i="10"/>
  <c r="I248" i="10"/>
  <c r="I272" i="10"/>
  <c r="J151" i="10"/>
  <c r="M202" i="10"/>
  <c r="L248" i="10"/>
  <c r="Z165" i="10"/>
  <c r="F242" i="10"/>
  <c r="T299" i="10"/>
  <c r="X166" i="10"/>
  <c r="Q226" i="10"/>
  <c r="S322" i="10"/>
  <c r="M334" i="10"/>
  <c r="W114" i="10"/>
  <c r="V276" i="10"/>
  <c r="Q229" i="10"/>
  <c r="P302" i="10"/>
  <c r="L348" i="10"/>
  <c r="G185" i="10"/>
  <c r="O319" i="10"/>
  <c r="D274" i="10"/>
  <c r="G236" i="10"/>
  <c r="H20" i="10"/>
  <c r="T231" i="10"/>
  <c r="M298" i="10"/>
  <c r="M239" i="10"/>
  <c r="L171" i="10"/>
  <c r="D146" i="10"/>
  <c r="G344" i="10"/>
  <c r="I20" i="10"/>
  <c r="I214" i="10"/>
  <c r="V117" i="10"/>
  <c r="O247" i="10"/>
  <c r="J274" i="10"/>
  <c r="D118" i="10"/>
  <c r="P237" i="10"/>
  <c r="G164" i="10"/>
  <c r="G25" i="10"/>
  <c r="F132" i="10"/>
  <c r="J291" i="10"/>
  <c r="R230" i="10"/>
  <c r="F272" i="10"/>
  <c r="G296" i="10"/>
  <c r="X155" i="10"/>
  <c r="O218" i="10"/>
  <c r="I340" i="10"/>
  <c r="G183" i="10"/>
  <c r="Y267" i="10"/>
  <c r="F116" i="10"/>
  <c r="L97" i="10"/>
  <c r="D257" i="10"/>
  <c r="J109" i="10"/>
  <c r="I116" i="10"/>
  <c r="T292" i="10"/>
  <c r="P197" i="10"/>
  <c r="F319" i="10"/>
  <c r="D26" i="10"/>
  <c r="L250" i="10"/>
  <c r="G310" i="10"/>
  <c r="D236" i="10"/>
  <c r="F279" i="10"/>
  <c r="G22" i="10"/>
  <c r="J270" i="10"/>
  <c r="R138" i="10"/>
  <c r="R278" i="10"/>
  <c r="D269" i="10"/>
  <c r="Q238" i="10"/>
  <c r="F304" i="10"/>
  <c r="I22" i="10"/>
  <c r="D255" i="10"/>
  <c r="Y282" i="10"/>
  <c r="F104" i="10"/>
  <c r="I324" i="10"/>
  <c r="X318" i="10"/>
  <c r="F327" i="10"/>
  <c r="S105" i="10"/>
  <c r="I201" i="10"/>
  <c r="G326" i="10"/>
  <c r="G224" i="10"/>
  <c r="O123" i="10"/>
  <c r="Q304" i="10"/>
  <c r="O320" i="10"/>
  <c r="J185" i="10"/>
  <c r="L154" i="10"/>
  <c r="Y104" i="10"/>
  <c r="G109" i="10"/>
  <c r="F198" i="10"/>
  <c r="L281" i="10"/>
  <c r="U230" i="10"/>
  <c r="F182" i="10"/>
  <c r="R310" i="10"/>
  <c r="F331" i="10"/>
  <c r="J184" i="10"/>
  <c r="O346" i="10"/>
  <c r="D350" i="10"/>
  <c r="F119" i="10"/>
  <c r="D20" i="10"/>
  <c r="S187" i="10"/>
  <c r="R176" i="10"/>
  <c r="L179" i="10"/>
  <c r="J226" i="10"/>
  <c r="G97" i="10"/>
  <c r="J204" i="10"/>
  <c r="S223" i="10"/>
  <c r="O114" i="10"/>
  <c r="J104" i="10"/>
  <c r="J268" i="10"/>
  <c r="I19" i="10"/>
  <c r="D120" i="10"/>
  <c r="I24" i="10"/>
  <c r="F152" i="10"/>
  <c r="G176" i="10"/>
  <c r="I232" i="10"/>
  <c r="F226" i="10"/>
  <c r="I334" i="10"/>
  <c r="F180" i="10"/>
  <c r="L344" i="10"/>
  <c r="E23" i="10"/>
  <c r="J24" i="10"/>
  <c r="F219" i="10"/>
  <c r="D22" i="10"/>
  <c r="O156" i="10"/>
  <c r="G345" i="10"/>
  <c r="D322" i="10"/>
  <c r="G110" i="10"/>
  <c r="I258" i="10"/>
  <c r="F240" i="10"/>
  <c r="L279" i="10"/>
  <c r="F100" i="10"/>
  <c r="L156" i="10"/>
  <c r="F251" i="10"/>
  <c r="D221" i="10"/>
  <c r="Y110" i="10"/>
  <c r="D324" i="10"/>
  <c r="Y312" i="10"/>
  <c r="F282" i="10"/>
  <c r="D16" i="10"/>
  <c r="G288" i="10"/>
  <c r="D328" i="10"/>
  <c r="N27" i="10"/>
  <c r="Q20" i="10"/>
  <c r="V26" i="10"/>
  <c r="U27" i="10"/>
  <c r="P20" i="10"/>
  <c r="M26" i="10"/>
  <c r="Q27" i="10"/>
  <c r="O97" i="10"/>
  <c r="F193" i="10"/>
  <c r="J260" i="10"/>
  <c r="P102" i="10"/>
  <c r="V326" i="10"/>
  <c r="Q97" i="10"/>
  <c r="S300" i="10"/>
  <c r="I210" i="10"/>
  <c r="I215" i="10"/>
  <c r="S259" i="10"/>
  <c r="S110" i="10"/>
  <c r="E20" i="10"/>
  <c r="J307" i="10"/>
  <c r="T309" i="10"/>
  <c r="Y164" i="10"/>
  <c r="Y323" i="10"/>
  <c r="W129" i="10"/>
  <c r="R296" i="10"/>
  <c r="O148" i="10"/>
  <c r="R124" i="10"/>
  <c r="M307" i="10"/>
  <c r="I265" i="10"/>
  <c r="I333" i="10"/>
  <c r="O323" i="10"/>
  <c r="D28" i="10"/>
  <c r="R336" i="10"/>
  <c r="P157" i="10"/>
  <c r="V122" i="10"/>
  <c r="V170" i="10"/>
  <c r="L247" i="10"/>
  <c r="F328" i="10"/>
  <c r="Z197" i="10"/>
  <c r="L289" i="10"/>
  <c r="M313" i="10"/>
  <c r="G100" i="10"/>
  <c r="D123" i="10"/>
  <c r="R270" i="10"/>
  <c r="T228" i="10"/>
  <c r="D239" i="10"/>
  <c r="O278" i="10"/>
  <c r="R140" i="10"/>
  <c r="K16" i="10"/>
  <c r="I150" i="10"/>
  <c r="D231" i="10"/>
  <c r="T149" i="10"/>
  <c r="J160" i="10"/>
  <c r="G200" i="10"/>
  <c r="G325" i="10"/>
  <c r="I297" i="10"/>
  <c r="O141" i="10"/>
  <c r="L192" i="10"/>
  <c r="F233" i="10"/>
  <c r="I222" i="10"/>
  <c r="I229" i="10"/>
  <c r="G304" i="10"/>
  <c r="F210" i="10"/>
  <c r="M136" i="10"/>
  <c r="F289" i="10"/>
  <c r="D132" i="10"/>
  <c r="G320" i="10"/>
  <c r="O290" i="10"/>
  <c r="J113" i="10"/>
  <c r="R157" i="10"/>
  <c r="I106" i="10"/>
  <c r="L204" i="10"/>
  <c r="D199" i="10"/>
  <c r="J183" i="10"/>
  <c r="G316" i="10"/>
  <c r="Z295" i="10"/>
  <c r="G187" i="10"/>
  <c r="D110" i="10"/>
  <c r="F310" i="10"/>
  <c r="H17" i="10"/>
  <c r="J198" i="10"/>
  <c r="I16" i="10"/>
  <c r="J253" i="10"/>
  <c r="U171" i="10"/>
  <c r="J150" i="10"/>
  <c r="F121" i="10"/>
  <c r="I171" i="10"/>
  <c r="T131" i="10"/>
  <c r="T333" i="10"/>
  <c r="F155" i="10"/>
  <c r="L310" i="10"/>
  <c r="Q116" i="10"/>
  <c r="S332" i="10"/>
  <c r="I234" i="10"/>
  <c r="O137" i="10"/>
  <c r="F264" i="10"/>
  <c r="J340" i="10"/>
  <c r="G161" i="10"/>
  <c r="Y131" i="10"/>
  <c r="Z215" i="10"/>
  <c r="F275" i="10"/>
  <c r="L23" i="10"/>
  <c r="M160" i="10"/>
  <c r="R119" i="10"/>
  <c r="F342" i="10"/>
  <c r="F256" i="10"/>
  <c r="K17" i="10"/>
  <c r="Q331" i="10"/>
  <c r="S240" i="10"/>
  <c r="I164" i="10"/>
  <c r="G113" i="10"/>
  <c r="M266" i="10"/>
  <c r="O317" i="10"/>
  <c r="R166" i="10"/>
  <c r="J181" i="10"/>
  <c r="U156" i="10"/>
  <c r="W111" i="10"/>
  <c r="D268" i="10"/>
  <c r="G123" i="10"/>
  <c r="J335" i="10"/>
  <c r="I186" i="10"/>
  <c r="F106" i="10"/>
  <c r="F209" i="10"/>
  <c r="D320" i="10"/>
  <c r="D217" i="10"/>
  <c r="G139" i="10"/>
  <c r="M235" i="10"/>
  <c r="F288" i="10"/>
  <c r="S228" i="10"/>
  <c r="J116" i="10"/>
  <c r="R345" i="10"/>
  <c r="I287" i="10"/>
  <c r="F336" i="10"/>
  <c r="D287" i="10"/>
  <c r="I227" i="10"/>
  <c r="L181" i="10"/>
  <c r="D294" i="10"/>
  <c r="F236" i="10"/>
  <c r="M166" i="10"/>
  <c r="L170" i="10"/>
  <c r="I280" i="10"/>
  <c r="O194" i="10"/>
  <c r="D208" i="10"/>
  <c r="F283" i="10"/>
  <c r="J249" i="10"/>
  <c r="F247" i="10"/>
  <c r="J189" i="10"/>
  <c r="I99" i="10"/>
  <c r="F154" i="10"/>
  <c r="D172" i="10"/>
  <c r="G142" i="10"/>
  <c r="I191" i="10"/>
  <c r="G180" i="10"/>
  <c r="R341" i="10"/>
  <c r="G99" i="10"/>
  <c r="J148" i="10"/>
  <c r="I131" i="10"/>
  <c r="L274" i="10"/>
  <c r="L262" i="10"/>
  <c r="E17" i="10"/>
  <c r="M138" i="10"/>
  <c r="D283" i="10"/>
  <c r="P333" i="10"/>
  <c r="J298" i="10"/>
  <c r="G303" i="10"/>
  <c r="G239" i="10"/>
  <c r="J315" i="10"/>
  <c r="P17" i="10"/>
  <c r="O16" i="10"/>
  <c r="K28" i="10"/>
  <c r="Q24" i="10"/>
  <c r="P21" i="10"/>
  <c r="R27" i="10"/>
  <c r="W24" i="10"/>
  <c r="P323" i="10"/>
  <c r="Q135" i="10"/>
  <c r="L109" i="10"/>
  <c r="I179" i="10"/>
  <c r="Q181" i="10"/>
  <c r="V179" i="10"/>
  <c r="L203" i="10"/>
  <c r="D151" i="10"/>
  <c r="D112" i="10"/>
  <c r="O286" i="10"/>
  <c r="L205" i="10"/>
  <c r="I224" i="10"/>
  <c r="M130" i="10"/>
  <c r="D182" i="10"/>
  <c r="Q124" i="10"/>
  <c r="O287" i="10"/>
  <c r="F184" i="10"/>
  <c r="X111" i="10"/>
  <c r="Q130" i="10"/>
  <c r="F315" i="10"/>
  <c r="O136" i="10"/>
  <c r="F203" i="10"/>
  <c r="O250" i="10"/>
  <c r="G230" i="10"/>
  <c r="Q152" i="10"/>
  <c r="O100" i="10"/>
  <c r="P112" i="10"/>
  <c r="M168" i="10"/>
  <c r="S188" i="10"/>
  <c r="M106" i="10"/>
  <c r="X197" i="10"/>
  <c r="V172" i="10"/>
  <c r="P108" i="10"/>
  <c r="I348" i="10"/>
  <c r="D97" i="10"/>
  <c r="F186" i="10"/>
  <c r="O335" i="10"/>
  <c r="G328" i="10"/>
  <c r="L222" i="10"/>
  <c r="U177" i="10"/>
  <c r="L185" i="10"/>
  <c r="F161" i="10"/>
  <c r="L132" i="10"/>
  <c r="F175" i="10"/>
  <c r="G191" i="10"/>
  <c r="J345" i="10"/>
  <c r="M238" i="10"/>
  <c r="I241" i="10"/>
  <c r="D23" i="10"/>
  <c r="U130" i="10"/>
  <c r="R129" i="10"/>
  <c r="V149" i="10"/>
  <c r="Q187" i="10"/>
  <c r="I169" i="10"/>
  <c r="J276" i="10"/>
  <c r="H18" i="10"/>
  <c r="J317" i="10"/>
  <c r="F218" i="10"/>
  <c r="S142" i="10"/>
  <c r="U132" i="10"/>
  <c r="R221" i="10"/>
  <c r="I318" i="10"/>
  <c r="D266" i="10"/>
  <c r="G337" i="10"/>
  <c r="M139" i="10"/>
  <c r="J134" i="10"/>
  <c r="J273" i="10"/>
  <c r="Q126" i="10"/>
  <c r="P232" i="10"/>
  <c r="T114" i="10"/>
  <c r="F137" i="10"/>
  <c r="D160" i="10"/>
  <c r="G17" i="10"/>
  <c r="S143" i="10"/>
  <c r="G251" i="10"/>
  <c r="M329" i="10"/>
  <c r="R264" i="10"/>
  <c r="L245" i="10"/>
  <c r="F309" i="10"/>
  <c r="G279" i="10"/>
  <c r="G290" i="10"/>
  <c r="I152" i="10"/>
  <c r="L16" i="10"/>
  <c r="L217" i="10"/>
  <c r="D161" i="10"/>
  <c r="G252" i="10"/>
  <c r="M115" i="10"/>
  <c r="D305" i="10"/>
  <c r="I100" i="10"/>
  <c r="L110" i="10"/>
  <c r="S320" i="10"/>
  <c r="J318" i="10"/>
  <c r="I98" i="10"/>
  <c r="G294" i="10"/>
  <c r="L340" i="10"/>
  <c r="F109" i="10"/>
  <c r="D248" i="10"/>
  <c r="J266" i="10"/>
  <c r="O246" i="10"/>
  <c r="D186" i="10"/>
  <c r="M126" i="10"/>
  <c r="Y338" i="10"/>
  <c r="I151" i="10"/>
  <c r="I140" i="10"/>
  <c r="D149" i="10"/>
  <c r="M267" i="10"/>
  <c r="I252" i="10"/>
  <c r="D311" i="10"/>
  <c r="I136" i="10"/>
  <c r="L125" i="10"/>
  <c r="T196" i="10"/>
  <c r="L129" i="10"/>
  <c r="Q106" i="10"/>
  <c r="J294" i="10"/>
  <c r="M103" i="10"/>
  <c r="D201" i="10"/>
  <c r="G140" i="10"/>
  <c r="O132" i="10"/>
  <c r="G268" i="10"/>
  <c r="Z151" i="10"/>
  <c r="L111" i="10"/>
  <c r="L173" i="10"/>
  <c r="M316" i="10"/>
  <c r="P239" i="10"/>
  <c r="D345" i="10"/>
  <c r="O268" i="10"/>
  <c r="M296" i="10"/>
  <c r="R150" i="10"/>
  <c r="L187" i="10"/>
  <c r="J350" i="10"/>
  <c r="O280" i="10"/>
  <c r="P289" i="10"/>
  <c r="O276" i="10"/>
  <c r="M97" i="10"/>
  <c r="G204" i="10"/>
  <c r="I148" i="10"/>
  <c r="F344" i="10"/>
  <c r="G280" i="10"/>
  <c r="G154" i="10"/>
  <c r="J138" i="10"/>
  <c r="R133" i="10"/>
  <c r="G284" i="10"/>
  <c r="M346" i="10"/>
  <c r="Q165" i="10"/>
  <c r="G302" i="10"/>
  <c r="G201" i="10"/>
  <c r="S251" i="10"/>
  <c r="R194" i="10"/>
  <c r="G274" i="10"/>
  <c r="I154" i="10"/>
  <c r="G311" i="10"/>
  <c r="F257" i="10"/>
  <c r="M125" i="10"/>
  <c r="S268" i="10"/>
  <c r="J280" i="10"/>
  <c r="L137" i="10"/>
  <c r="Z144" i="10"/>
  <c r="D237" i="10"/>
  <c r="S114" i="10"/>
  <c r="G260" i="10"/>
  <c r="L27" i="10"/>
  <c r="Q22" i="10"/>
  <c r="M27" i="10"/>
  <c r="O24" i="10"/>
  <c r="O23" i="10"/>
  <c r="R28" i="10"/>
  <c r="N28" i="10"/>
  <c r="R189" i="10"/>
  <c r="D291" i="10"/>
  <c r="I119" i="10"/>
  <c r="U224" i="10"/>
  <c r="T162" i="10"/>
  <c r="S253" i="10"/>
  <c r="J347" i="10"/>
  <c r="W325" i="10"/>
  <c r="D327" i="10"/>
  <c r="T350" i="10"/>
  <c r="Q302" i="10"/>
  <c r="F97" i="10"/>
  <c r="M167" i="10"/>
  <c r="Q166" i="10"/>
  <c r="R322" i="10"/>
  <c r="P288" i="10"/>
  <c r="S146" i="10"/>
  <c r="F99" i="10"/>
  <c r="M338" i="10"/>
  <c r="I187" i="10"/>
  <c r="L328" i="10"/>
  <c r="F320" i="10"/>
  <c r="I114" i="10"/>
  <c r="M192" i="10"/>
  <c r="W262" i="10"/>
  <c r="J324" i="10"/>
  <c r="O147" i="10"/>
  <c r="I339" i="10"/>
  <c r="R328" i="10"/>
  <c r="R186" i="10"/>
  <c r="Q307" i="10"/>
  <c r="S225" i="10"/>
  <c r="S311" i="10"/>
  <c r="I213" i="10"/>
  <c r="G297" i="10"/>
  <c r="R178" i="10"/>
  <c r="M108" i="10"/>
  <c r="L215" i="10"/>
  <c r="J275" i="10"/>
  <c r="I219" i="10"/>
  <c r="O324" i="10"/>
  <c r="I197" i="10"/>
  <c r="D131" i="10"/>
  <c r="L309" i="10"/>
  <c r="G177" i="10"/>
  <c r="D21" i="10"/>
  <c r="J145" i="10"/>
  <c r="D104" i="10"/>
  <c r="I112" i="10"/>
  <c r="R160" i="10"/>
  <c r="F349" i="10"/>
  <c r="D108" i="10"/>
  <c r="D344" i="10"/>
  <c r="J211" i="10"/>
  <c r="F333" i="10"/>
  <c r="J174" i="10"/>
  <c r="I244" i="10"/>
  <c r="J147" i="10"/>
  <c r="I188" i="10"/>
  <c r="W164" i="10"/>
  <c r="I117" i="10"/>
  <c r="I216" i="10"/>
  <c r="J256" i="10"/>
  <c r="D126" i="10"/>
  <c r="O180" i="10"/>
  <c r="U109" i="10"/>
  <c r="D211" i="10"/>
  <c r="L296" i="10"/>
  <c r="O135" i="10"/>
  <c r="O226" i="10"/>
  <c r="J279" i="10"/>
  <c r="I160" i="10"/>
  <c r="D166" i="10"/>
  <c r="I172" i="10"/>
  <c r="I263" i="10"/>
  <c r="V262" i="10"/>
  <c r="M305" i="10"/>
  <c r="F149" i="10"/>
  <c r="D213" i="10"/>
  <c r="O269" i="10"/>
  <c r="G19" i="10"/>
  <c r="G149" i="10"/>
  <c r="K22" i="10"/>
  <c r="L275" i="10"/>
  <c r="O143" i="10"/>
  <c r="D116" i="10"/>
  <c r="D290" i="10"/>
  <c r="F249" i="10"/>
  <c r="D204" i="10"/>
  <c r="G234" i="10"/>
  <c r="F274" i="10"/>
  <c r="O196" i="10"/>
  <c r="J178" i="10"/>
  <c r="J326" i="10"/>
  <c r="J158" i="10"/>
  <c r="T341" i="10"/>
  <c r="G148" i="10"/>
  <c r="G314" i="10"/>
  <c r="F133" i="10"/>
  <c r="G208" i="10"/>
  <c r="I226" i="10"/>
  <c r="J98" i="10"/>
  <c r="L212" i="10"/>
  <c r="O308" i="10"/>
  <c r="M181" i="10"/>
  <c r="E26" i="10"/>
  <c r="O177" i="10"/>
  <c r="G264" i="10"/>
  <c r="D170" i="10"/>
  <c r="F160" i="10"/>
  <c r="T143" i="10"/>
  <c r="G332" i="10"/>
  <c r="D133" i="10"/>
  <c r="O302" i="10"/>
  <c r="D337" i="10"/>
  <c r="F25" i="10"/>
  <c r="M159" i="10"/>
  <c r="U340" i="10"/>
  <c r="J349" i="10"/>
  <c r="T172" i="10"/>
  <c r="D109" i="10"/>
  <c r="F185" i="10"/>
  <c r="O116" i="10"/>
  <c r="D152" i="10"/>
  <c r="M332" i="10"/>
  <c r="D321" i="10"/>
  <c r="G334" i="10"/>
  <c r="G225" i="10"/>
  <c r="Q277" i="10"/>
  <c r="F148" i="10"/>
  <c r="M335" i="10"/>
  <c r="I264" i="10"/>
  <c r="I17" i="10"/>
  <c r="L133" i="10"/>
  <c r="G307" i="10"/>
  <c r="T148" i="10"/>
  <c r="L208" i="10"/>
  <c r="J216" i="10"/>
  <c r="M308" i="10"/>
  <c r="G120" i="10"/>
  <c r="I199" i="10"/>
  <c r="J26" i="10"/>
  <c r="F306" i="10"/>
  <c r="M256" i="10"/>
  <c r="F260" i="10"/>
  <c r="I341" i="10"/>
  <c r="F206" i="10"/>
  <c r="G167" i="10"/>
  <c r="R306" i="10"/>
  <c r="J247" i="10"/>
  <c r="T230" i="10"/>
  <c r="L235" i="10"/>
  <c r="D173" i="10"/>
  <c r="F286" i="10"/>
  <c r="D18" i="10"/>
  <c r="G150" i="10"/>
  <c r="D189" i="10"/>
  <c r="D153" i="10"/>
  <c r="G214" i="10"/>
  <c r="L18" i="10"/>
  <c r="O28" i="10"/>
  <c r="L25" i="10"/>
  <c r="O22" i="10"/>
  <c r="P16" i="10"/>
  <c r="P22" i="10"/>
  <c r="O18" i="10"/>
  <c r="T24" i="10"/>
  <c r="T61" i="10" l="1"/>
  <c r="S24" i="10"/>
  <c r="U18" i="10"/>
  <c r="U22" i="10"/>
  <c r="Z25" i="10"/>
  <c r="AD25" i="10"/>
  <c r="AF25" i="10"/>
  <c r="AH25" i="10"/>
  <c r="AF18" i="10"/>
  <c r="T18" i="10"/>
  <c r="AH18" i="10"/>
  <c r="Z18" i="10"/>
  <c r="AD18" i="10"/>
  <c r="E286" i="10"/>
  <c r="K235" i="10"/>
  <c r="J34" i="10"/>
  <c r="E206" i="10"/>
  <c r="H341" i="10"/>
  <c r="I52" i="10"/>
  <c r="E260" i="10"/>
  <c r="E306" i="10"/>
  <c r="AE26" i="10"/>
  <c r="AG26" i="10"/>
  <c r="X26" i="10"/>
  <c r="AB26" i="10"/>
  <c r="AC26" i="10"/>
  <c r="H199" i="10"/>
  <c r="J74" i="10"/>
  <c r="K208" i="10"/>
  <c r="K133" i="10"/>
  <c r="L89" i="10"/>
  <c r="H264" i="10"/>
  <c r="E148" i="10"/>
  <c r="N116" i="10"/>
  <c r="E185" i="10"/>
  <c r="N302" i="10"/>
  <c r="D89" i="10"/>
  <c r="E160" i="10"/>
  <c r="N177" i="10"/>
  <c r="N308" i="10"/>
  <c r="K212" i="10"/>
  <c r="H226" i="10"/>
  <c r="F89" i="10"/>
  <c r="E89" i="10" s="1"/>
  <c r="E133" i="10"/>
  <c r="N196" i="10"/>
  <c r="E274" i="10"/>
  <c r="E249" i="10"/>
  <c r="N143" i="10"/>
  <c r="K275" i="10"/>
  <c r="Y22" i="10"/>
  <c r="AA22" i="10"/>
  <c r="N269" i="10"/>
  <c r="E149" i="10"/>
  <c r="H263" i="10"/>
  <c r="H172" i="10"/>
  <c r="H160" i="10"/>
  <c r="N226" i="10"/>
  <c r="O71" i="10"/>
  <c r="N135" i="10"/>
  <c r="K296" i="10"/>
  <c r="N180" i="10"/>
  <c r="H216" i="10"/>
  <c r="I74" i="10"/>
  <c r="H117" i="10"/>
  <c r="H188" i="10"/>
  <c r="H244" i="10"/>
  <c r="I54" i="10"/>
  <c r="E333" i="10"/>
  <c r="D83" i="10"/>
  <c r="E349" i="10"/>
  <c r="I62" i="10"/>
  <c r="H112" i="10"/>
  <c r="D48" i="10"/>
  <c r="K309" i="10"/>
  <c r="L36" i="10"/>
  <c r="H197" i="10"/>
  <c r="N324" i="10"/>
  <c r="I45" i="10"/>
  <c r="H219" i="10"/>
  <c r="L69" i="10"/>
  <c r="K215" i="10"/>
  <c r="G78" i="10"/>
  <c r="H213" i="10"/>
  <c r="H339" i="10"/>
  <c r="N147" i="10"/>
  <c r="M68" i="10"/>
  <c r="S68" i="10" s="1"/>
  <c r="I65" i="10"/>
  <c r="H114" i="10"/>
  <c r="E320" i="10"/>
  <c r="K328" i="10"/>
  <c r="H187" i="10"/>
  <c r="F42" i="10"/>
  <c r="E99" i="10"/>
  <c r="F41" i="10"/>
  <c r="E97" i="10"/>
  <c r="H119" i="10"/>
  <c r="U23" i="10"/>
  <c r="W22" i="10"/>
  <c r="V22" i="10" s="1"/>
  <c r="AD27" i="10"/>
  <c r="AH27" i="10"/>
  <c r="AF27" i="10"/>
  <c r="Z27" i="10"/>
  <c r="K137" i="10"/>
  <c r="J64" i="10"/>
  <c r="M73" i="10"/>
  <c r="S73" i="10" s="1"/>
  <c r="E257" i="10"/>
  <c r="H154" i="10"/>
  <c r="G64" i="10"/>
  <c r="E344" i="10"/>
  <c r="F83" i="10"/>
  <c r="H148" i="10"/>
  <c r="M41" i="10"/>
  <c r="S41" i="10" s="1"/>
  <c r="N276" i="10"/>
  <c r="O64" i="10"/>
  <c r="N280" i="10"/>
  <c r="K187" i="10"/>
  <c r="N268" i="10"/>
  <c r="D35" i="10"/>
  <c r="K173" i="10"/>
  <c r="K111" i="10"/>
  <c r="N132" i="10"/>
  <c r="M50" i="10"/>
  <c r="S50" i="10" s="1"/>
  <c r="K129" i="10"/>
  <c r="K125" i="10"/>
  <c r="L73" i="10"/>
  <c r="H136" i="10"/>
  <c r="H252" i="10"/>
  <c r="M81" i="10"/>
  <c r="S81" i="10" s="1"/>
  <c r="H140" i="10"/>
  <c r="H151" i="10"/>
  <c r="N246" i="10"/>
  <c r="E109" i="10"/>
  <c r="K340" i="10"/>
  <c r="L72" i="10"/>
  <c r="H98" i="10"/>
  <c r="K110" i="10"/>
  <c r="I43" i="10"/>
  <c r="H100" i="10"/>
  <c r="K217" i="10"/>
  <c r="Z16" i="10"/>
  <c r="AD16" i="10"/>
  <c r="L15" i="10"/>
  <c r="AH16" i="10"/>
  <c r="T16" i="10"/>
  <c r="AF16" i="10"/>
  <c r="L9" i="10"/>
  <c r="H152" i="10"/>
  <c r="E309" i="10"/>
  <c r="F36" i="10"/>
  <c r="L87" i="10"/>
  <c r="K245" i="10"/>
  <c r="E137" i="10"/>
  <c r="J90" i="10"/>
  <c r="H318" i="10"/>
  <c r="E218" i="10"/>
  <c r="H169" i="10"/>
  <c r="H241" i="10"/>
  <c r="J35" i="10"/>
  <c r="G46" i="10"/>
  <c r="E175" i="10"/>
  <c r="K132" i="10"/>
  <c r="E161" i="10"/>
  <c r="K185" i="10"/>
  <c r="K222" i="10"/>
  <c r="N335" i="10"/>
  <c r="E186" i="10"/>
  <c r="D41" i="10"/>
  <c r="H348" i="10"/>
  <c r="O43" i="10"/>
  <c r="N100" i="10"/>
  <c r="G85" i="10"/>
  <c r="N250" i="10"/>
  <c r="E203" i="10"/>
  <c r="N136" i="10"/>
  <c r="E315" i="10"/>
  <c r="E184" i="10"/>
  <c r="N287" i="10"/>
  <c r="M82" i="10"/>
  <c r="S82" i="10" s="1"/>
  <c r="I75" i="10"/>
  <c r="H224" i="10"/>
  <c r="L53" i="10"/>
  <c r="K205" i="10"/>
  <c r="N286" i="10"/>
  <c r="D62" i="10"/>
  <c r="K203" i="10"/>
  <c r="H179" i="10"/>
  <c r="K109" i="10"/>
  <c r="V24" i="10"/>
  <c r="Y28" i="10"/>
  <c r="AA28" i="10"/>
  <c r="O9" i="10"/>
  <c r="U16" i="10"/>
  <c r="O15" i="10"/>
  <c r="K262" i="10"/>
  <c r="K274" i="10"/>
  <c r="H131" i="10"/>
  <c r="G42" i="10"/>
  <c r="H191" i="10"/>
  <c r="I46" i="10"/>
  <c r="E154" i="10"/>
  <c r="H99" i="10"/>
  <c r="I42" i="10"/>
  <c r="E247" i="10"/>
  <c r="F34" i="10"/>
  <c r="E283" i="10"/>
  <c r="N194" i="10"/>
  <c r="H280" i="10"/>
  <c r="I64" i="10"/>
  <c r="K170" i="10"/>
  <c r="E236" i="10"/>
  <c r="K181" i="10"/>
  <c r="H227" i="10"/>
  <c r="E336" i="10"/>
  <c r="H287" i="10"/>
  <c r="E288" i="10"/>
  <c r="E209" i="10"/>
  <c r="E106" i="10"/>
  <c r="H186" i="10"/>
  <c r="N317" i="10"/>
  <c r="G63" i="10"/>
  <c r="H164" i="10"/>
  <c r="Y17" i="10"/>
  <c r="AA17" i="10"/>
  <c r="E256" i="10"/>
  <c r="E342" i="10"/>
  <c r="AF23" i="10"/>
  <c r="AH23" i="10"/>
  <c r="T23" i="10"/>
  <c r="AD23" i="10"/>
  <c r="Z23" i="10"/>
  <c r="E275" i="10"/>
  <c r="J72" i="10"/>
  <c r="E264" i="10"/>
  <c r="N137" i="10"/>
  <c r="H234" i="10"/>
  <c r="K310" i="10"/>
  <c r="E155" i="10"/>
  <c r="H171" i="10"/>
  <c r="E121" i="10"/>
  <c r="F70" i="10"/>
  <c r="I15" i="10"/>
  <c r="I9" i="10"/>
  <c r="E310" i="10"/>
  <c r="K204" i="10"/>
  <c r="H106" i="10"/>
  <c r="J63" i="10"/>
  <c r="N290" i="10"/>
  <c r="F47" i="10"/>
  <c r="E289" i="10"/>
  <c r="E210" i="10"/>
  <c r="H229" i="10"/>
  <c r="H222" i="10"/>
  <c r="E233" i="10"/>
  <c r="F86" i="10"/>
  <c r="K192" i="10"/>
  <c r="L68" i="10"/>
  <c r="N141" i="10"/>
  <c r="H297" i="10"/>
  <c r="I78" i="10"/>
  <c r="H150" i="10"/>
  <c r="Y16" i="10"/>
  <c r="AA16" i="10"/>
  <c r="N278" i="10"/>
  <c r="G43" i="10"/>
  <c r="H43" i="10" s="1"/>
  <c r="L47" i="10"/>
  <c r="K289" i="10"/>
  <c r="E328" i="10"/>
  <c r="L34" i="10"/>
  <c r="K247" i="10"/>
  <c r="N323" i="10"/>
  <c r="H333" i="10"/>
  <c r="H265" i="10"/>
  <c r="N148" i="10"/>
  <c r="H215" i="10"/>
  <c r="I69" i="10"/>
  <c r="H210" i="10"/>
  <c r="F80" i="10"/>
  <c r="E193" i="10"/>
  <c r="O41" i="10"/>
  <c r="N97" i="10"/>
  <c r="W20" i="10"/>
  <c r="D15" i="10"/>
  <c r="D9" i="10"/>
  <c r="E282" i="10"/>
  <c r="E251" i="10"/>
  <c r="K156" i="10"/>
  <c r="E100" i="10"/>
  <c r="F43" i="10"/>
  <c r="K279" i="10"/>
  <c r="F40" i="10"/>
  <c r="E240" i="10"/>
  <c r="H258" i="10"/>
  <c r="G35" i="10"/>
  <c r="N156" i="10"/>
  <c r="F45" i="10"/>
  <c r="E219" i="10"/>
  <c r="X24" i="10"/>
  <c r="AG24" i="10"/>
  <c r="AE24" i="10"/>
  <c r="AB24" i="10"/>
  <c r="AC24" i="10"/>
  <c r="K344" i="10"/>
  <c r="L83" i="10"/>
  <c r="E180" i="10"/>
  <c r="H334" i="10"/>
  <c r="E226" i="10"/>
  <c r="H232" i="10"/>
  <c r="E152" i="10"/>
  <c r="J48" i="10"/>
  <c r="O65" i="10"/>
  <c r="N114" i="10"/>
  <c r="G41" i="10"/>
  <c r="K179" i="10"/>
  <c r="E119" i="10"/>
  <c r="N346" i="10"/>
  <c r="E331" i="10"/>
  <c r="E182" i="10"/>
  <c r="K281" i="10"/>
  <c r="L76" i="10"/>
  <c r="E198" i="10"/>
  <c r="K154" i="10"/>
  <c r="N320" i="10"/>
  <c r="N123" i="10"/>
  <c r="G75" i="10"/>
  <c r="AE75" i="10" s="1"/>
  <c r="H201" i="10"/>
  <c r="E327" i="10"/>
  <c r="H324" i="10"/>
  <c r="F48" i="10"/>
  <c r="E104" i="10"/>
  <c r="D57" i="10"/>
  <c r="E304" i="10"/>
  <c r="E279" i="10"/>
  <c r="K250" i="10"/>
  <c r="E319" i="10"/>
  <c r="H116" i="10"/>
  <c r="L41" i="10"/>
  <c r="R41" i="10" s="1"/>
  <c r="K97" i="10"/>
  <c r="E116" i="10"/>
  <c r="H340" i="10"/>
  <c r="I72" i="10"/>
  <c r="H72" i="10" s="1"/>
  <c r="N218" i="10"/>
  <c r="E272" i="10"/>
  <c r="E132" i="10"/>
  <c r="D67" i="10"/>
  <c r="N247" i="10"/>
  <c r="O34" i="10"/>
  <c r="H214" i="10"/>
  <c r="G83" i="10"/>
  <c r="K171" i="10"/>
  <c r="N319" i="10"/>
  <c r="K348" i="10"/>
  <c r="E242" i="10"/>
  <c r="K248" i="10"/>
  <c r="H272" i="10"/>
  <c r="H248" i="10"/>
  <c r="K256" i="10"/>
  <c r="N168" i="10"/>
  <c r="K225" i="10"/>
  <c r="D37" i="10"/>
  <c r="E222" i="10"/>
  <c r="Y26" i="10"/>
  <c r="AA26" i="10"/>
  <c r="W23" i="10"/>
  <c r="V23" i="10" s="1"/>
  <c r="H165" i="10"/>
  <c r="D58" i="10"/>
  <c r="K264" i="10"/>
  <c r="AE28" i="10"/>
  <c r="AB28" i="10"/>
  <c r="X28" i="10"/>
  <c r="AG28" i="10"/>
  <c r="AC28" i="10"/>
  <c r="G34" i="10"/>
  <c r="AE34" i="10" s="1"/>
  <c r="N131" i="10"/>
  <c r="H239" i="10"/>
  <c r="O81" i="10"/>
  <c r="N267" i="10"/>
  <c r="AG21" i="10"/>
  <c r="R21" i="10"/>
  <c r="AE21" i="10"/>
  <c r="AB21" i="10"/>
  <c r="X21" i="10"/>
  <c r="AC21" i="10"/>
  <c r="H228" i="10"/>
  <c r="H110" i="10"/>
  <c r="E332" i="10"/>
  <c r="E145" i="10"/>
  <c r="H115" i="10"/>
  <c r="H124" i="10"/>
  <c r="M83" i="10"/>
  <c r="S83" i="10" s="1"/>
  <c r="N157" i="10"/>
  <c r="N127" i="10"/>
  <c r="J75" i="10"/>
  <c r="G80" i="10"/>
  <c r="H283" i="10"/>
  <c r="H176" i="10"/>
  <c r="F56" i="10"/>
  <c r="E105" i="10"/>
  <c r="K211" i="10"/>
  <c r="H292" i="10"/>
  <c r="K246" i="10"/>
  <c r="J86" i="10"/>
  <c r="K119" i="10"/>
  <c r="E142" i="10"/>
  <c r="H288" i="10"/>
  <c r="E227" i="10"/>
  <c r="E269" i="10"/>
  <c r="K295" i="10"/>
  <c r="E136" i="10"/>
  <c r="K182" i="10"/>
  <c r="K177" i="10"/>
  <c r="G72" i="10"/>
  <c r="J45" i="10"/>
  <c r="H123" i="10"/>
  <c r="K230" i="10"/>
  <c r="L85" i="10"/>
  <c r="H174" i="10"/>
  <c r="I68" i="10"/>
  <c r="H192" i="10"/>
  <c r="K138" i="10"/>
  <c r="K237" i="10"/>
  <c r="E181" i="10"/>
  <c r="E239" i="10"/>
  <c r="N243" i="10"/>
  <c r="K128" i="10"/>
  <c r="I90" i="10"/>
  <c r="H134" i="10"/>
  <c r="G57" i="10"/>
  <c r="D53" i="10"/>
  <c r="N235" i="10"/>
  <c r="E138" i="10"/>
  <c r="N224" i="10"/>
  <c r="O75" i="10"/>
  <c r="F72" i="10"/>
  <c r="E340" i="10"/>
  <c r="K165" i="10"/>
  <c r="D46" i="10"/>
  <c r="E176" i="10"/>
  <c r="D71" i="10"/>
  <c r="R17" i="10"/>
  <c r="AE17" i="10"/>
  <c r="AB17" i="10"/>
  <c r="X17" i="10"/>
  <c r="AC17" i="10"/>
  <c r="AG17" i="10"/>
  <c r="I70" i="10"/>
  <c r="H121" i="10"/>
  <c r="H221" i="10"/>
  <c r="J37" i="10"/>
  <c r="K269" i="10"/>
  <c r="H350" i="10"/>
  <c r="K167" i="10"/>
  <c r="E322" i="10"/>
  <c r="H144" i="10"/>
  <c r="N223" i="10"/>
  <c r="G52" i="10"/>
  <c r="H52" i="10" s="1"/>
  <c r="R23" i="10"/>
  <c r="AE23" i="10"/>
  <c r="AC23" i="10"/>
  <c r="AB23" i="10"/>
  <c r="X23" i="10"/>
  <c r="AG23" i="10"/>
  <c r="H177" i="10"/>
  <c r="N251" i="10"/>
  <c r="K142" i="10"/>
  <c r="H159" i="10"/>
  <c r="E217" i="10"/>
  <c r="H290" i="10"/>
  <c r="K294" i="10"/>
  <c r="G82" i="10"/>
  <c r="H129" i="10"/>
  <c r="E108" i="10"/>
  <c r="K234" i="10"/>
  <c r="G44" i="10"/>
  <c r="E248" i="10"/>
  <c r="K334" i="10"/>
  <c r="K189" i="10"/>
  <c r="D42" i="10"/>
  <c r="E321" i="10"/>
  <c r="H310" i="10"/>
  <c r="E187" i="10"/>
  <c r="N220" i="10"/>
  <c r="H149" i="10"/>
  <c r="E113" i="10"/>
  <c r="F63" i="10"/>
  <c r="D43" i="10"/>
  <c r="D49" i="10"/>
  <c r="K194" i="10"/>
  <c r="N219" i="10"/>
  <c r="O45" i="10"/>
  <c r="H120" i="10"/>
  <c r="E338" i="10"/>
  <c r="K106" i="10"/>
  <c r="E241" i="10"/>
  <c r="N232" i="10"/>
  <c r="K322" i="10"/>
  <c r="H217" i="10"/>
  <c r="J54" i="10"/>
  <c r="H142" i="10"/>
  <c r="I63" i="10"/>
  <c r="H113" i="10"/>
  <c r="H145" i="10"/>
  <c r="N169" i="10"/>
  <c r="N273" i="10"/>
  <c r="D52" i="10"/>
  <c r="AA20" i="10"/>
  <c r="Y20" i="10"/>
  <c r="K236" i="10"/>
  <c r="N256" i="10"/>
  <c r="E215" i="10"/>
  <c r="F69" i="10"/>
  <c r="E69" i="10" s="1"/>
  <c r="G86" i="10"/>
  <c r="AE86" i="10" s="1"/>
  <c r="H260" i="10"/>
  <c r="K122" i="10"/>
  <c r="N174" i="10"/>
  <c r="I80" i="10"/>
  <c r="H193" i="10"/>
  <c r="N296" i="10"/>
  <c r="H267" i="10"/>
  <c r="I81" i="10"/>
  <c r="AA19" i="10"/>
  <c r="Y19" i="10"/>
  <c r="E144" i="10"/>
  <c r="H245" i="10"/>
  <c r="I87" i="10"/>
  <c r="K136" i="10"/>
  <c r="K292" i="10"/>
  <c r="E347" i="10"/>
  <c r="K206" i="10"/>
  <c r="D40" i="10"/>
  <c r="D69" i="10"/>
  <c r="AD17" i="10"/>
  <c r="T17" i="10"/>
  <c r="S17" i="10" s="1"/>
  <c r="AH17" i="10"/>
  <c r="AF17" i="10"/>
  <c r="Z17" i="10"/>
  <c r="K271" i="10"/>
  <c r="D74" i="10"/>
  <c r="N242" i="10"/>
  <c r="H328" i="10"/>
  <c r="J42" i="10"/>
  <c r="P42" i="10" s="1"/>
  <c r="K105" i="10"/>
  <c r="L56" i="10"/>
  <c r="E110" i="10"/>
  <c r="K152" i="10"/>
  <c r="F52" i="10"/>
  <c r="E341" i="10"/>
  <c r="O80" i="10"/>
  <c r="N193" i="10"/>
  <c r="N167" i="10"/>
  <c r="E295" i="10"/>
  <c r="D80" i="10"/>
  <c r="H181" i="10"/>
  <c r="N171" i="10"/>
  <c r="K159" i="10"/>
  <c r="N257" i="10"/>
  <c r="K298" i="10"/>
  <c r="K303" i="10"/>
  <c r="D72" i="10"/>
  <c r="H205" i="10"/>
  <c r="I53" i="10"/>
  <c r="M44" i="10"/>
  <c r="S44" i="10" s="1"/>
  <c r="E311" i="10"/>
  <c r="J77" i="10"/>
  <c r="P77" i="10" s="1"/>
  <c r="H185" i="10"/>
  <c r="G38" i="10"/>
  <c r="H109" i="10"/>
  <c r="H256" i="10"/>
  <c r="K320" i="10"/>
  <c r="K98" i="10"/>
  <c r="U21" i="10"/>
  <c r="U20" i="10"/>
  <c r="AH28" i="10"/>
  <c r="AF28" i="10"/>
  <c r="AD28" i="10"/>
  <c r="Z28" i="10"/>
  <c r="J69" i="10"/>
  <c r="AC69" i="10" s="1"/>
  <c r="E246" i="10"/>
  <c r="K153" i="10"/>
  <c r="G49" i="10"/>
  <c r="D76" i="10"/>
  <c r="M54" i="10"/>
  <c r="S54" i="10" s="1"/>
  <c r="H167" i="10"/>
  <c r="K102" i="10"/>
  <c r="N349" i="10"/>
  <c r="H259" i="10"/>
  <c r="O36" i="10"/>
  <c r="N309" i="10"/>
  <c r="E150" i="10"/>
  <c r="H261" i="10"/>
  <c r="I37" i="10"/>
  <c r="K116" i="10"/>
  <c r="N163" i="10"/>
  <c r="H296" i="10"/>
  <c r="N191" i="10"/>
  <c r="O46" i="10"/>
  <c r="U46" i="10" s="1"/>
  <c r="D64" i="10"/>
  <c r="E207" i="10"/>
  <c r="D44" i="10"/>
  <c r="G81" i="10"/>
  <c r="H295" i="10"/>
  <c r="H107" i="10"/>
  <c r="I58" i="10"/>
  <c r="E259" i="10"/>
  <c r="E159" i="10"/>
  <c r="F76" i="10"/>
  <c r="E281" i="10"/>
  <c r="D90" i="10"/>
  <c r="AC90" i="10" s="1"/>
  <c r="K107" i="10"/>
  <c r="L58" i="10"/>
  <c r="K239" i="10"/>
  <c r="AC25" i="10"/>
  <c r="X25" i="10"/>
  <c r="AG25" i="10"/>
  <c r="AE25" i="10"/>
  <c r="AB25" i="10"/>
  <c r="K157" i="10"/>
  <c r="D47" i="10"/>
  <c r="H336" i="10"/>
  <c r="E298" i="10"/>
  <c r="K124" i="10"/>
  <c r="N342" i="10"/>
  <c r="N298" i="10"/>
  <c r="J57" i="10"/>
  <c r="N313" i="10"/>
  <c r="H163" i="10"/>
  <c r="E164" i="10"/>
  <c r="E326" i="10"/>
  <c r="H207" i="10"/>
  <c r="E173" i="10"/>
  <c r="H279" i="10"/>
  <c r="E223" i="10"/>
  <c r="E302" i="10"/>
  <c r="H344" i="10"/>
  <c r="I83" i="10"/>
  <c r="O82" i="10"/>
  <c r="N130" i="10"/>
  <c r="G47" i="10"/>
  <c r="G36" i="10"/>
  <c r="G71" i="10"/>
  <c r="K169" i="10"/>
  <c r="K168" i="10"/>
  <c r="G90" i="10"/>
  <c r="E346" i="10"/>
  <c r="N259" i="10"/>
  <c r="J85" i="10"/>
  <c r="H133" i="10"/>
  <c r="I89" i="10"/>
  <c r="N272" i="10"/>
  <c r="F46" i="10"/>
  <c r="E191" i="10"/>
  <c r="K141" i="10"/>
  <c r="AA25" i="10"/>
  <c r="Y25" i="10"/>
  <c r="U19" i="10"/>
  <c r="H139" i="10"/>
  <c r="K174" i="10"/>
  <c r="H262" i="10"/>
  <c r="H247" i="10"/>
  <c r="I34" i="10"/>
  <c r="E245" i="10"/>
  <c r="F87" i="10"/>
  <c r="R22" i="10"/>
  <c r="AG22" i="10"/>
  <c r="AE22" i="10"/>
  <c r="X22" i="10"/>
  <c r="AC22" i="10"/>
  <c r="AB22" i="10"/>
  <c r="N240" i="10"/>
  <c r="O40" i="10"/>
  <c r="H312" i="10"/>
  <c r="N279" i="10"/>
  <c r="E200" i="10"/>
  <c r="E211" i="10"/>
  <c r="K306" i="10"/>
  <c r="K108" i="10"/>
  <c r="N202" i="10"/>
  <c r="E314" i="10"/>
  <c r="E231" i="10"/>
  <c r="I48" i="10"/>
  <c r="H104" i="10"/>
  <c r="H257" i="10"/>
  <c r="AH19" i="10"/>
  <c r="AF19" i="10"/>
  <c r="T19" i="10"/>
  <c r="Z19" i="10"/>
  <c r="AD19" i="10"/>
  <c r="J71" i="10"/>
  <c r="N124" i="10"/>
  <c r="N271" i="10"/>
  <c r="J38" i="10"/>
  <c r="D34" i="10"/>
  <c r="AC34" i="10" s="1"/>
  <c r="K112" i="10"/>
  <c r="L62" i="10"/>
  <c r="H329" i="10"/>
  <c r="H195" i="10"/>
  <c r="N153" i="10"/>
  <c r="K180" i="10"/>
  <c r="K313" i="10"/>
  <c r="H343" i="10"/>
  <c r="I66" i="10"/>
  <c r="D86" i="10"/>
  <c r="N288" i="10"/>
  <c r="H274" i="10"/>
  <c r="E214" i="10"/>
  <c r="D66" i="10"/>
  <c r="E153" i="10"/>
  <c r="F81" i="10"/>
  <c r="E267" i="10"/>
  <c r="N185" i="10"/>
  <c r="H203" i="10"/>
  <c r="H182" i="10"/>
  <c r="E317" i="10"/>
  <c r="D45" i="10"/>
  <c r="E229" i="10"/>
  <c r="H141" i="10"/>
  <c r="N284" i="10"/>
  <c r="K216" i="10"/>
  <c r="L74" i="10"/>
  <c r="L43" i="10"/>
  <c r="AF43" i="10" s="1"/>
  <c r="K100" i="10"/>
  <c r="J41" i="10"/>
  <c r="J49" i="10"/>
  <c r="H313" i="10"/>
  <c r="K257" i="10"/>
  <c r="G73" i="10"/>
  <c r="K336" i="10"/>
  <c r="N315" i="10"/>
  <c r="N142" i="10"/>
  <c r="L82" i="10"/>
  <c r="K130" i="10"/>
  <c r="D73" i="10"/>
  <c r="W21" i="10"/>
  <c r="V21" i="10" s="1"/>
  <c r="AA27" i="10"/>
  <c r="Y27" i="10"/>
  <c r="W17" i="10"/>
  <c r="E300" i="10"/>
  <c r="K282" i="10"/>
  <c r="H128" i="10"/>
  <c r="H317" i="10"/>
  <c r="K242" i="10"/>
  <c r="D54" i="10"/>
  <c r="N206" i="10"/>
  <c r="E294" i="10"/>
  <c r="N253" i="10"/>
  <c r="J78" i="10"/>
  <c r="AB27" i="10"/>
  <c r="AG27" i="10"/>
  <c r="AC27" i="10"/>
  <c r="AE27" i="10"/>
  <c r="X27" i="10"/>
  <c r="M40" i="10"/>
  <c r="S40" i="10" s="1"/>
  <c r="T20" i="10"/>
  <c r="AH20" i="10"/>
  <c r="AF20" i="10"/>
  <c r="Z20" i="10"/>
  <c r="AD20" i="10"/>
  <c r="E114" i="10"/>
  <c r="F65" i="10"/>
  <c r="H96" i="10"/>
  <c r="I38" i="10"/>
  <c r="H38" i="10" s="1"/>
  <c r="E323" i="10"/>
  <c r="N330" i="10"/>
  <c r="K244" i="10"/>
  <c r="L54" i="10"/>
  <c r="H206" i="10"/>
  <c r="N285" i="10"/>
  <c r="M70" i="10"/>
  <c r="S70" i="10" s="1"/>
  <c r="F82" i="10"/>
  <c r="E130" i="10"/>
  <c r="E190" i="10"/>
  <c r="E265" i="10"/>
  <c r="H108" i="10"/>
  <c r="E102" i="10"/>
  <c r="K144" i="10"/>
  <c r="N195" i="10"/>
  <c r="H111" i="10"/>
  <c r="I67" i="10"/>
  <c r="H118" i="10"/>
  <c r="E293" i="10"/>
  <c r="D36" i="10"/>
  <c r="H158" i="10"/>
  <c r="N192" i="10"/>
  <c r="O68" i="10"/>
  <c r="E117" i="10"/>
  <c r="H220" i="10"/>
  <c r="E151" i="10"/>
  <c r="L86" i="10"/>
  <c r="R86" i="10" s="1"/>
  <c r="K233" i="10"/>
  <c r="H162" i="10"/>
  <c r="K341" i="10"/>
  <c r="L52" i="10"/>
  <c r="D56" i="10"/>
  <c r="K287" i="10"/>
  <c r="F74" i="10"/>
  <c r="E216" i="10"/>
  <c r="N303" i="10"/>
  <c r="N181" i="10"/>
  <c r="H250" i="10"/>
  <c r="K270" i="10"/>
  <c r="E167" i="10"/>
  <c r="AE20" i="10"/>
  <c r="AG20" i="10"/>
  <c r="X20" i="10"/>
  <c r="AC20" i="10"/>
  <c r="AB20" i="10"/>
  <c r="R20" i="10"/>
  <c r="H102" i="10"/>
  <c r="K214" i="10"/>
  <c r="H204" i="10"/>
  <c r="N222" i="10"/>
  <c r="H237" i="10"/>
  <c r="K255" i="10"/>
  <c r="L57" i="10"/>
  <c r="E192" i="10"/>
  <c r="F68" i="10"/>
  <c r="H303" i="10"/>
  <c r="M71" i="10"/>
  <c r="S71" i="10" s="1"/>
  <c r="H326" i="10"/>
  <c r="E268" i="10"/>
  <c r="K158" i="10"/>
  <c r="M86" i="10"/>
  <c r="S86" i="10" s="1"/>
  <c r="K238" i="10"/>
  <c r="H126" i="10"/>
  <c r="G62" i="10"/>
  <c r="O69" i="10"/>
  <c r="N215" i="10"/>
  <c r="E221" i="10"/>
  <c r="J52" i="10"/>
  <c r="V52" i="10" s="1"/>
  <c r="N173" i="10"/>
  <c r="W16" i="10"/>
  <c r="Q9" i="10"/>
  <c r="Q15" i="10"/>
  <c r="E228" i="10"/>
  <c r="J62" i="10"/>
  <c r="N160" i="10"/>
  <c r="H178" i="10"/>
  <c r="E112" i="10"/>
  <c r="F62" i="10"/>
  <c r="H132" i="10"/>
  <c r="D50" i="10"/>
  <c r="E337" i="10"/>
  <c r="H275" i="10"/>
  <c r="E158" i="10"/>
  <c r="E305" i="10"/>
  <c r="N327" i="10"/>
  <c r="AF21" i="10"/>
  <c r="T21" i="10"/>
  <c r="S21" i="10" s="1"/>
  <c r="AH21" i="10"/>
  <c r="AD21" i="10"/>
  <c r="Z21" i="10"/>
  <c r="K265" i="10"/>
  <c r="E202" i="10"/>
  <c r="K123" i="10"/>
  <c r="K210" i="10"/>
  <c r="K229" i="10"/>
  <c r="N249" i="10"/>
  <c r="E271" i="10"/>
  <c r="E140" i="10"/>
  <c r="H246" i="10"/>
  <c r="N162" i="10"/>
  <c r="K164" i="10"/>
  <c r="E238" i="10"/>
  <c r="G67" i="10"/>
  <c r="E171" i="10"/>
  <c r="E189" i="10"/>
  <c r="N305" i="10"/>
  <c r="G56" i="10"/>
  <c r="H346" i="10"/>
  <c r="N158" i="10"/>
  <c r="E169" i="10"/>
  <c r="N109" i="10"/>
  <c r="E348" i="10"/>
  <c r="H278" i="10"/>
  <c r="H212" i="10"/>
  <c r="K277" i="10"/>
  <c r="E308" i="10"/>
  <c r="E107" i="10"/>
  <c r="F58" i="10"/>
  <c r="E58" i="10" s="1"/>
  <c r="H255" i="10"/>
  <c r="I57" i="10"/>
  <c r="E254" i="10"/>
  <c r="F77" i="10"/>
  <c r="N151" i="10"/>
  <c r="E101" i="10"/>
  <c r="F49" i="10"/>
  <c r="E49" i="10" s="1"/>
  <c r="J53" i="10"/>
  <c r="E111" i="10"/>
  <c r="K176" i="10"/>
  <c r="AE18" i="10"/>
  <c r="R18" i="10"/>
  <c r="AG18" i="10"/>
  <c r="X18" i="10"/>
  <c r="AC18" i="10"/>
  <c r="AB18" i="10"/>
  <c r="H307" i="10"/>
  <c r="H173" i="10"/>
  <c r="G58" i="10"/>
  <c r="E183" i="10"/>
  <c r="K134" i="10"/>
  <c r="L90" i="10"/>
  <c r="R90" i="10" s="1"/>
  <c r="E165" i="10"/>
  <c r="O72" i="10"/>
  <c r="N340" i="10"/>
  <c r="E258" i="10"/>
  <c r="K263" i="10"/>
  <c r="N331" i="10"/>
  <c r="E124" i="10"/>
  <c r="H282" i="10"/>
  <c r="H236" i="10"/>
  <c r="E179" i="10"/>
  <c r="I50" i="10"/>
  <c r="AF50" i="10" s="1"/>
  <c r="H103" i="10"/>
  <c r="E146" i="10"/>
  <c r="H200" i="10"/>
  <c r="K184" i="10"/>
  <c r="N205" i="10"/>
  <c r="O53" i="10"/>
  <c r="N350" i="10"/>
  <c r="D87" i="10"/>
  <c r="E87" i="10" s="1"/>
  <c r="M52" i="10"/>
  <c r="S52" i="10" s="1"/>
  <c r="E235" i="10"/>
  <c r="H327" i="10"/>
  <c r="J44" i="10"/>
  <c r="W18" i="10"/>
  <c r="V18" i="10" s="1"/>
  <c r="W19" i="10"/>
  <c r="F75" i="10"/>
  <c r="E224" i="10"/>
  <c r="E230" i="10"/>
  <c r="F85" i="10"/>
  <c r="K219" i="10"/>
  <c r="L45" i="10"/>
  <c r="X45" i="10" s="1"/>
  <c r="H325" i="10"/>
  <c r="M47" i="10"/>
  <c r="S47" i="10" s="1"/>
  <c r="H125" i="10"/>
  <c r="I73" i="10"/>
  <c r="H73" i="10" s="1"/>
  <c r="E325" i="10"/>
  <c r="E287" i="10"/>
  <c r="M57" i="10"/>
  <c r="S57" i="10" s="1"/>
  <c r="G74" i="10"/>
  <c r="K291" i="10"/>
  <c r="H238" i="10"/>
  <c r="E166" i="10"/>
  <c r="E98" i="10"/>
  <c r="K267" i="10"/>
  <c r="L81" i="10"/>
  <c r="H180" i="10"/>
  <c r="E312" i="10"/>
  <c r="K199" i="10"/>
  <c r="H253" i="10"/>
  <c r="N164" i="10"/>
  <c r="H304" i="10"/>
  <c r="N161" i="10"/>
  <c r="H347" i="10"/>
  <c r="N262" i="10"/>
  <c r="K139" i="10"/>
  <c r="H314" i="10"/>
  <c r="AA23" i="10"/>
  <c r="Y23" i="10"/>
  <c r="AE19" i="10"/>
  <c r="R19" i="10"/>
  <c r="R9" i="10" s="1"/>
  <c r="AG19" i="10"/>
  <c r="X19" i="10"/>
  <c r="AB19" i="10"/>
  <c r="AC19" i="10"/>
  <c r="H321" i="10"/>
  <c r="K160" i="10"/>
  <c r="E339" i="10"/>
  <c r="H302" i="10"/>
  <c r="E266" i="10"/>
  <c r="J40" i="10"/>
  <c r="K126" i="10"/>
  <c r="M43" i="10"/>
  <c r="S43" i="10" s="1"/>
  <c r="E143" i="10"/>
  <c r="E318" i="10"/>
  <c r="H155" i="10"/>
  <c r="E291" i="10"/>
  <c r="E252" i="10"/>
  <c r="AA18" i="10"/>
  <c r="Y18" i="10"/>
  <c r="H289" i="10"/>
  <c r="I47" i="10"/>
  <c r="E168" i="10"/>
  <c r="N182" i="10"/>
  <c r="N270" i="10"/>
  <c r="F71" i="10"/>
  <c r="E71" i="10" s="1"/>
  <c r="E135" i="10"/>
  <c r="H342" i="10"/>
  <c r="H249" i="10"/>
  <c r="F50" i="10"/>
  <c r="E103" i="10"/>
  <c r="E147" i="10"/>
  <c r="E278" i="10"/>
  <c r="E262" i="10"/>
  <c r="K316" i="10"/>
  <c r="N150" i="10"/>
  <c r="K149" i="10"/>
  <c r="E276" i="10"/>
  <c r="H291" i="10"/>
  <c r="H202" i="10"/>
  <c r="E163" i="10"/>
  <c r="J83" i="10"/>
  <c r="N176" i="10"/>
  <c r="N227" i="10"/>
  <c r="E125" i="10"/>
  <c r="F73" i="10"/>
  <c r="K227" i="10"/>
  <c r="N197" i="10"/>
  <c r="K161" i="10"/>
  <c r="G53" i="10"/>
  <c r="E232" i="10"/>
  <c r="N204" i="10"/>
  <c r="K166" i="10"/>
  <c r="K325" i="10"/>
  <c r="AH26" i="10"/>
  <c r="AF26" i="10"/>
  <c r="Z26" i="10"/>
  <c r="AD26" i="10"/>
  <c r="U17" i="10"/>
  <c r="H209" i="10"/>
  <c r="Z24" i="10"/>
  <c r="AH24" i="10"/>
  <c r="AF24" i="10"/>
  <c r="AD24" i="10"/>
  <c r="AA24" i="10"/>
  <c r="Y24" i="10"/>
  <c r="M90" i="10"/>
  <c r="S90" i="10" s="1"/>
  <c r="K231" i="10"/>
  <c r="K213" i="10"/>
  <c r="F9" i="10"/>
  <c r="E9" i="10" s="1"/>
  <c r="F15" i="10"/>
  <c r="E15" i="10" s="1"/>
  <c r="H254" i="10"/>
  <c r="I77" i="10"/>
  <c r="H138" i="10"/>
  <c r="H332" i="10"/>
  <c r="H294" i="10"/>
  <c r="H298" i="10"/>
  <c r="E188" i="10"/>
  <c r="H240" i="10"/>
  <c r="I40" i="10"/>
  <c r="E263" i="10"/>
  <c r="K314" i="10"/>
  <c r="E126" i="10"/>
  <c r="N248" i="10"/>
  <c r="E196" i="10"/>
  <c r="N113" i="10"/>
  <c r="O63" i="10"/>
  <c r="H349" i="10"/>
  <c r="E139" i="10"/>
  <c r="H335" i="10"/>
  <c r="E170" i="10"/>
  <c r="K127" i="10"/>
  <c r="F64" i="10"/>
  <c r="E64" i="10" s="1"/>
  <c r="E280" i="10"/>
  <c r="E195" i="10"/>
  <c r="K118" i="10"/>
  <c r="L67" i="10"/>
  <c r="R67" i="10" s="1"/>
  <c r="K305" i="10"/>
  <c r="E197" i="10"/>
  <c r="E285" i="10"/>
  <c r="H231" i="10"/>
  <c r="H211" i="10"/>
  <c r="K201" i="10"/>
  <c r="K301" i="10"/>
  <c r="E212" i="10"/>
  <c r="K337" i="10"/>
  <c r="N217" i="10"/>
  <c r="F35" i="10"/>
  <c r="E35" i="10" s="1"/>
  <c r="E345" i="10"/>
  <c r="K195" i="10"/>
  <c r="H218" i="10"/>
  <c r="K302" i="10"/>
  <c r="J68" i="10"/>
  <c r="K114" i="10"/>
  <c r="L65" i="10"/>
  <c r="D75" i="10"/>
  <c r="AC75" i="10" s="1"/>
  <c r="H277" i="10"/>
  <c r="E324" i="10"/>
  <c r="H243" i="10"/>
  <c r="AC16" i="10"/>
  <c r="AG16" i="10"/>
  <c r="AE16" i="10"/>
  <c r="R16" i="10"/>
  <c r="J9" i="10"/>
  <c r="X16" i="10"/>
  <c r="J15" i="10"/>
  <c r="AB16" i="10"/>
  <c r="N155" i="10"/>
  <c r="G76" i="10"/>
  <c r="K223" i="10"/>
  <c r="H196" i="10"/>
  <c r="E172" i="10"/>
  <c r="L42" i="10"/>
  <c r="K99" i="10"/>
  <c r="L78" i="10"/>
  <c r="K297" i="10"/>
  <c r="E243" i="10"/>
  <c r="K312" i="10"/>
  <c r="I36" i="10"/>
  <c r="H309" i="10"/>
  <c r="J43" i="10"/>
  <c r="H135" i="10"/>
  <c r="I71" i="10"/>
  <c r="K324" i="10"/>
  <c r="L37" i="10"/>
  <c r="K37" i="10" s="1"/>
  <c r="K261" i="10"/>
  <c r="N297" i="10"/>
  <c r="O78" i="10"/>
  <c r="K135" i="10"/>
  <c r="L71" i="10"/>
  <c r="H153" i="10"/>
  <c r="N332" i="10"/>
  <c r="M85" i="10"/>
  <c r="S85" i="10" s="1"/>
  <c r="N234" i="10"/>
  <c r="G70" i="10"/>
  <c r="E292" i="10"/>
  <c r="O66" i="10"/>
  <c r="N343" i="10"/>
  <c r="K258" i="10"/>
  <c r="N146" i="10"/>
  <c r="E316" i="10"/>
  <c r="N200" i="10"/>
  <c r="M62" i="10"/>
  <c r="S62" i="10" s="1"/>
  <c r="D68" i="10"/>
  <c r="K228" i="10"/>
  <c r="M45" i="10"/>
  <c r="S45" i="10" s="1"/>
  <c r="M78" i="10"/>
  <c r="S78" i="10" s="1"/>
  <c r="F90" i="10"/>
  <c r="E134" i="10"/>
  <c r="K190" i="10"/>
  <c r="N338" i="10"/>
  <c r="K226" i="10"/>
  <c r="J81" i="10"/>
  <c r="M58" i="10"/>
  <c r="S58" i="10" s="1"/>
  <c r="N275" i="10"/>
  <c r="N274" i="10"/>
  <c r="K276" i="10"/>
  <c r="K284" i="10"/>
  <c r="N236" i="10"/>
  <c r="K172" i="10"/>
  <c r="K198" i="10"/>
  <c r="G89" i="10"/>
  <c r="H301" i="10"/>
  <c r="G50" i="10"/>
  <c r="H251" i="10"/>
  <c r="N201" i="10"/>
  <c r="K243" i="10"/>
  <c r="L66" i="10"/>
  <c r="R66" i="10" s="1"/>
  <c r="K343" i="10"/>
  <c r="N306" i="10"/>
  <c r="E356" i="10"/>
  <c r="H198" i="10"/>
  <c r="G66" i="10"/>
  <c r="D65" i="10"/>
  <c r="M34" i="10"/>
  <c r="S34" i="10" s="1"/>
  <c r="O90" i="10"/>
  <c r="N134" i="10"/>
  <c r="N209" i="10"/>
  <c r="E303" i="10"/>
  <c r="E174" i="10"/>
  <c r="AH22" i="10"/>
  <c r="T22" i="10"/>
  <c r="S22" i="10" s="1"/>
  <c r="Z22" i="10"/>
  <c r="AD22" i="10"/>
  <c r="AF22" i="10"/>
  <c r="K349" i="10"/>
  <c r="E284" i="10"/>
  <c r="F38" i="10"/>
  <c r="E96" i="10"/>
  <c r="N110" i="10"/>
  <c r="H242" i="10"/>
  <c r="N258" i="10"/>
  <c r="L50" i="10"/>
  <c r="K103" i="10"/>
  <c r="N101" i="10"/>
  <c r="O49" i="10"/>
  <c r="K311" i="10"/>
  <c r="N239" i="10"/>
  <c r="H130" i="10"/>
  <c r="I82" i="10"/>
  <c r="H82" i="10" s="1"/>
  <c r="N329" i="10"/>
  <c r="H306" i="10"/>
  <c r="K121" i="10"/>
  <c r="L70" i="10"/>
  <c r="R70" i="10" s="1"/>
  <c r="M53" i="10"/>
  <c r="S53" i="10" s="1"/>
  <c r="H285" i="10"/>
  <c r="N154" i="10"/>
  <c r="K283" i="10"/>
  <c r="H331" i="10"/>
  <c r="N238" i="10"/>
  <c r="H337" i="10"/>
  <c r="H122" i="10"/>
  <c r="H190" i="10"/>
  <c r="N145" i="10"/>
  <c r="K299" i="10"/>
  <c r="L44" i="10"/>
  <c r="AF44" i="10" s="1"/>
  <c r="N310" i="10"/>
  <c r="H268" i="10"/>
  <c r="O77" i="10"/>
  <c r="N254" i="10"/>
  <c r="J82" i="10"/>
  <c r="V82" i="10" s="1"/>
  <c r="J89" i="10"/>
  <c r="G54" i="10"/>
  <c r="O44" i="10"/>
  <c r="N299" i="10"/>
  <c r="E199" i="10"/>
  <c r="D77" i="10"/>
  <c r="K323" i="10"/>
  <c r="H338" i="10"/>
  <c r="N108" i="10"/>
  <c r="E343" i="10"/>
  <c r="F66" i="10"/>
  <c r="E66" i="10" s="1"/>
  <c r="N15" i="10"/>
  <c r="N9" i="10" s="1"/>
  <c r="N295" i="10"/>
  <c r="D60" i="10"/>
  <c r="E359" i="10"/>
  <c r="F39" i="10"/>
  <c r="E141" i="10"/>
  <c r="E234" i="10"/>
  <c r="H183" i="10"/>
  <c r="O70" i="10"/>
  <c r="N121" i="10"/>
  <c r="M74" i="10"/>
  <c r="S74" i="10" s="1"/>
  <c r="K120" i="10"/>
  <c r="E194" i="10"/>
  <c r="I56" i="10"/>
  <c r="H56" i="10" s="1"/>
  <c r="H105" i="10"/>
  <c r="L64" i="10"/>
  <c r="K280" i="10"/>
  <c r="K178" i="10"/>
  <c r="N237" i="10"/>
  <c r="E290" i="10"/>
  <c r="H101" i="10"/>
  <c r="I49" i="10"/>
  <c r="H49" i="10" s="1"/>
  <c r="E350" i="10"/>
  <c r="K150" i="10"/>
  <c r="N190" i="10"/>
  <c r="N188" i="10"/>
  <c r="O47" i="10"/>
  <c r="AB47" i="10" s="1"/>
  <c r="N289" i="10"/>
  <c r="J80" i="10"/>
  <c r="O54" i="10"/>
  <c r="N54" i="10" s="1"/>
  <c r="Z54" i="10" s="1"/>
  <c r="N244" i="10"/>
  <c r="E122" i="10"/>
  <c r="J47" i="10"/>
  <c r="AA21" i="10"/>
  <c r="Y21" i="10"/>
  <c r="O62" i="10"/>
  <c r="N62" i="10" s="1"/>
  <c r="Z62" i="10" s="1"/>
  <c r="N112" i="10"/>
  <c r="N203" i="10"/>
  <c r="G48" i="10"/>
  <c r="H175" i="10"/>
  <c r="K273" i="10"/>
  <c r="N316" i="10"/>
  <c r="E357" i="10"/>
  <c r="F60" i="10"/>
  <c r="E60" i="10" s="1"/>
  <c r="N126" i="10"/>
  <c r="K104" i="10"/>
  <c r="L48" i="10"/>
  <c r="N144" i="10"/>
  <c r="E156" i="10"/>
  <c r="I41" i="10"/>
  <c r="H97" i="10"/>
  <c r="E270" i="10"/>
  <c r="N99" i="10"/>
  <c r="O42" i="10"/>
  <c r="N212" i="10"/>
  <c r="N304" i="10"/>
  <c r="K318" i="10"/>
  <c r="K175" i="10"/>
  <c r="N225" i="10"/>
  <c r="K326" i="10"/>
  <c r="I85" i="10"/>
  <c r="H85" i="10" s="1"/>
  <c r="H230" i="10"/>
  <c r="N264" i="10"/>
  <c r="G65" i="10"/>
  <c r="L38" i="10"/>
  <c r="R38" i="10" s="1"/>
  <c r="K96" i="10"/>
  <c r="F44" i="10"/>
  <c r="E44" i="10" s="1"/>
  <c r="E299" i="10"/>
  <c r="N260" i="10"/>
  <c r="E201" i="10"/>
  <c r="K358" i="10"/>
  <c r="F37" i="10"/>
  <c r="E37" i="10" s="1"/>
  <c r="E261" i="10"/>
  <c r="E129" i="10"/>
  <c r="E128" i="10"/>
  <c r="N348" i="10"/>
  <c r="M36" i="10"/>
  <c r="S36" i="10" s="1"/>
  <c r="H269" i="10"/>
  <c r="K163" i="10"/>
  <c r="K221" i="10"/>
  <c r="E225" i="10"/>
  <c r="E277" i="10"/>
  <c r="G68" i="10"/>
  <c r="N140" i="10"/>
  <c r="K317" i="10"/>
  <c r="K339" i="10"/>
  <c r="D78" i="10"/>
  <c r="K197" i="10"/>
  <c r="K331" i="10"/>
  <c r="L77" i="10"/>
  <c r="K77" i="10" s="1"/>
  <c r="K254" i="10"/>
  <c r="K346" i="10"/>
  <c r="H323" i="10"/>
  <c r="G37" i="10"/>
  <c r="H37" i="10" s="1"/>
  <c r="K321" i="10"/>
  <c r="K186" i="10"/>
  <c r="M77" i="10"/>
  <c r="S77" i="10" s="1"/>
  <c r="E162" i="10"/>
  <c r="J66" i="10"/>
  <c r="P66" i="10" s="1"/>
  <c r="K188" i="10"/>
  <c r="K285" i="10"/>
  <c r="H286" i="10"/>
  <c r="N129" i="10"/>
  <c r="K260" i="10"/>
  <c r="E208" i="10"/>
  <c r="E204" i="10"/>
  <c r="H157" i="10"/>
  <c r="E334" i="10"/>
  <c r="K350" i="10"/>
  <c r="N189" i="10"/>
  <c r="K146" i="10"/>
  <c r="K209" i="10"/>
  <c r="N184" i="10"/>
  <c r="M35" i="10"/>
  <c r="S35" i="10" s="1"/>
  <c r="M75" i="10"/>
  <c r="S75" i="10" s="1"/>
  <c r="H271" i="10"/>
  <c r="N321" i="10"/>
  <c r="N213" i="10"/>
  <c r="M48" i="10"/>
  <c r="S48" i="10" s="1"/>
  <c r="E115" i="10"/>
  <c r="N336" i="10"/>
  <c r="E330" i="10"/>
  <c r="M49" i="10"/>
  <c r="S49" i="10" s="1"/>
  <c r="J87" i="10"/>
  <c r="K87" i="10" s="1"/>
  <c r="K304" i="10"/>
  <c r="K290" i="10"/>
  <c r="H284" i="10"/>
  <c r="N312" i="10"/>
  <c r="M63" i="10"/>
  <c r="S63" i="10" s="1"/>
  <c r="J36" i="10"/>
  <c r="N337" i="10"/>
  <c r="N178" i="10"/>
  <c r="N104" i="10"/>
  <c r="O48" i="10"/>
  <c r="K207" i="10"/>
  <c r="I86" i="10"/>
  <c r="H233" i="10"/>
  <c r="H320" i="10"/>
  <c r="F67" i="10"/>
  <c r="E67" i="10" s="1"/>
  <c r="E118" i="10"/>
  <c r="K241" i="10"/>
  <c r="J56" i="10"/>
  <c r="K56" i="10" s="1"/>
  <c r="H319" i="10"/>
  <c r="K251" i="10"/>
  <c r="J46" i="10"/>
  <c r="P46" i="10" s="1"/>
  <c r="K335" i="10"/>
  <c r="L40" i="10"/>
  <c r="K40" i="10" s="1"/>
  <c r="K240" i="10"/>
  <c r="E307" i="10"/>
  <c r="N115" i="10"/>
  <c r="L75" i="10"/>
  <c r="K75" i="10" s="1"/>
  <c r="K224" i="10"/>
  <c r="N105" i="10"/>
  <c r="O56" i="10"/>
  <c r="X56" i="10" s="1"/>
  <c r="H358" i="10"/>
  <c r="K183" i="10"/>
  <c r="N300" i="10"/>
  <c r="N318" i="10"/>
  <c r="E301" i="10"/>
  <c r="E253" i="10"/>
  <c r="E237" i="10"/>
  <c r="F57" i="10"/>
  <c r="E57" i="10" s="1"/>
  <c r="E255" i="10"/>
  <c r="H156" i="10"/>
  <c r="K191" i="10"/>
  <c r="L46" i="10"/>
  <c r="R46" i="10" s="1"/>
  <c r="H225" i="10"/>
  <c r="E296" i="10"/>
  <c r="E250" i="10"/>
  <c r="N263" i="10"/>
  <c r="K288" i="10"/>
  <c r="J76" i="10"/>
  <c r="P76" i="10" s="1"/>
  <c r="I76" i="10"/>
  <c r="H76" i="10" s="1"/>
  <c r="H281" i="10"/>
  <c r="G77" i="10"/>
  <c r="H266" i="10"/>
  <c r="N117" i="10"/>
  <c r="N328" i="10"/>
  <c r="H127" i="10"/>
  <c r="E273" i="10"/>
  <c r="K193" i="10"/>
  <c r="L80" i="10"/>
  <c r="N106" i="10"/>
  <c r="O85" i="10"/>
  <c r="X85" i="10" s="1"/>
  <c r="N230" i="10"/>
  <c r="K253" i="10"/>
  <c r="N159" i="10"/>
  <c r="F78" i="10"/>
  <c r="AD78" i="10" s="1"/>
  <c r="E297" i="10"/>
  <c r="K117" i="10"/>
  <c r="M69" i="10"/>
  <c r="S69" i="10" s="1"/>
  <c r="K308" i="10"/>
  <c r="E329" i="10"/>
  <c r="H300" i="10"/>
  <c r="K342" i="10"/>
  <c r="D70" i="10"/>
  <c r="G9" i="10"/>
  <c r="H9" i="10" s="1"/>
  <c r="G15" i="10"/>
  <c r="H15" i="10" s="1"/>
  <c r="N241" i="10"/>
  <c r="H137" i="10"/>
  <c r="M66" i="10"/>
  <c r="S66" i="10" s="1"/>
  <c r="E120" i="10"/>
  <c r="D81" i="10"/>
  <c r="J67" i="10"/>
  <c r="AE67" i="10" s="1"/>
  <c r="K329" i="10"/>
  <c r="K249" i="10"/>
  <c r="H208" i="10"/>
  <c r="K143" i="10"/>
  <c r="N231" i="10"/>
  <c r="K327" i="10"/>
  <c r="N339" i="10"/>
  <c r="O52" i="10"/>
  <c r="U52" i="10" s="1"/>
  <c r="T52" i="10" s="1"/>
  <c r="N341" i="10"/>
  <c r="I44" i="10"/>
  <c r="H44" i="10" s="1"/>
  <c r="H299" i="10"/>
  <c r="H235" i="10"/>
  <c r="K252" i="10"/>
  <c r="K315" i="10"/>
  <c r="K220" i="10"/>
  <c r="K286" i="10"/>
  <c r="H184" i="10"/>
  <c r="H305" i="10"/>
  <c r="K266" i="10"/>
  <c r="G69" i="10"/>
  <c r="H170" i="10"/>
  <c r="O76" i="10"/>
  <c r="N281" i="10"/>
  <c r="H330" i="10"/>
  <c r="E213" i="10"/>
  <c r="G87" i="10"/>
  <c r="AE87" i="10" s="1"/>
  <c r="K259" i="10"/>
  <c r="M89" i="10"/>
  <c r="S89" i="10" s="1"/>
  <c r="M67" i="10"/>
  <c r="S67" i="10" s="1"/>
  <c r="K196" i="10"/>
  <c r="E178" i="10"/>
  <c r="N199" i="10"/>
  <c r="J58" i="10"/>
  <c r="N128" i="10"/>
  <c r="N291" i="10"/>
  <c r="H143" i="10"/>
  <c r="F54" i="10"/>
  <c r="E54" i="10" s="1"/>
  <c r="E244" i="10"/>
  <c r="D63" i="10"/>
  <c r="AC63" i="10" s="1"/>
  <c r="K200" i="10"/>
  <c r="K333" i="10"/>
  <c r="K202" i="10"/>
  <c r="N119" i="10"/>
  <c r="N261" i="10"/>
  <c r="O37" i="10"/>
  <c r="N149" i="10"/>
  <c r="E177" i="10"/>
  <c r="J73" i="10"/>
  <c r="K73" i="10" s="1"/>
  <c r="G40" i="10"/>
  <c r="N214" i="10"/>
  <c r="E313" i="10"/>
  <c r="E335" i="10"/>
  <c r="N122" i="10"/>
  <c r="K293" i="10"/>
  <c r="K232" i="10"/>
  <c r="H293" i="10"/>
  <c r="D82" i="10"/>
  <c r="N255" i="10"/>
  <c r="O57" i="10"/>
  <c r="K330" i="10"/>
  <c r="E127" i="10"/>
  <c r="D85" i="10"/>
  <c r="AC85" i="10" s="1"/>
  <c r="N125" i="10"/>
  <c r="O73" i="10"/>
  <c r="X73" i="10" s="1"/>
  <c r="K131" i="10"/>
  <c r="K268" i="10"/>
  <c r="N252" i="10"/>
  <c r="H276" i="10"/>
  <c r="N334" i="10"/>
  <c r="H223" i="10"/>
  <c r="H147" i="10"/>
  <c r="N307" i="10"/>
  <c r="E131" i="10"/>
  <c r="N325" i="10"/>
  <c r="N138" i="10"/>
  <c r="K338" i="10"/>
  <c r="H146" i="10"/>
  <c r="N333" i="10"/>
  <c r="K140" i="10"/>
  <c r="M72" i="10"/>
  <c r="S72" i="10" s="1"/>
  <c r="N283" i="10"/>
  <c r="N139" i="10"/>
  <c r="E123" i="10"/>
  <c r="N211" i="10"/>
  <c r="M56" i="10"/>
  <c r="S56" i="10" s="1"/>
  <c r="K347" i="10"/>
  <c r="N186" i="10"/>
  <c r="H166" i="10"/>
  <c r="O58" i="10"/>
  <c r="U58" i="10" s="1"/>
  <c r="T58" i="10" s="1"/>
  <c r="N107" i="10"/>
  <c r="N358" i="10"/>
  <c r="K359" i="10"/>
  <c r="L39" i="10"/>
  <c r="R39" i="10" s="1"/>
  <c r="F84" i="10"/>
  <c r="E366" i="10"/>
  <c r="N355" i="10"/>
  <c r="H362" i="10"/>
  <c r="N282" i="10"/>
  <c r="N172" i="10"/>
  <c r="G45" i="10"/>
  <c r="H45" i="10" s="1"/>
  <c r="M76" i="10"/>
  <c r="S76" i="10" s="1"/>
  <c r="N210" i="10"/>
  <c r="N326" i="10"/>
  <c r="K148" i="10"/>
  <c r="N208" i="10"/>
  <c r="H351" i="10"/>
  <c r="H356" i="10"/>
  <c r="N111" i="10"/>
  <c r="H316" i="10"/>
  <c r="N120" i="10"/>
  <c r="H168" i="10"/>
  <c r="K345" i="10"/>
  <c r="L35" i="10"/>
  <c r="X35" i="10" s="1"/>
  <c r="H354" i="10"/>
  <c r="K353" i="10"/>
  <c r="D84" i="10"/>
  <c r="N353" i="10"/>
  <c r="N361" i="10"/>
  <c r="O51" i="10"/>
  <c r="J70" i="10"/>
  <c r="AE70" i="10" s="1"/>
  <c r="K218" i="10"/>
  <c r="M65" i="10"/>
  <c r="S65" i="10" s="1"/>
  <c r="H194" i="10"/>
  <c r="N292" i="10"/>
  <c r="I35" i="10"/>
  <c r="H35" i="10" s="1"/>
  <c r="H345" i="10"/>
  <c r="O50" i="10"/>
  <c r="N103" i="10"/>
  <c r="M87" i="10"/>
  <c r="S87" i="10" s="1"/>
  <c r="K307" i="10"/>
  <c r="N347" i="10"/>
  <c r="E352" i="10"/>
  <c r="G51" i="10"/>
  <c r="M15" i="10"/>
  <c r="M9" i="10" s="1"/>
  <c r="M51" i="10"/>
  <c r="S51" i="10" s="1"/>
  <c r="E363" i="10"/>
  <c r="M64" i="10"/>
  <c r="S64" i="10" s="1"/>
  <c r="N133" i="10"/>
  <c r="O89" i="10"/>
  <c r="L51" i="10"/>
  <c r="X51" i="10" s="1"/>
  <c r="K361" i="10"/>
  <c r="M39" i="10"/>
  <c r="S39" i="10" s="1"/>
  <c r="L60" i="10"/>
  <c r="K357" i="10"/>
  <c r="H360" i="10"/>
  <c r="I79" i="10"/>
  <c r="N198" i="10"/>
  <c r="O67" i="10"/>
  <c r="U67" i="10" s="1"/>
  <c r="T67" i="10" s="1"/>
  <c r="N118" i="10"/>
  <c r="N311" i="10"/>
  <c r="M84" i="10"/>
  <c r="S84" i="10" s="1"/>
  <c r="D51" i="10"/>
  <c r="AC51" i="10" s="1"/>
  <c r="J79" i="10"/>
  <c r="N175" i="10"/>
  <c r="O39" i="10"/>
  <c r="X39" i="10" s="1"/>
  <c r="N359" i="10"/>
  <c r="H315" i="10"/>
  <c r="K300" i="10"/>
  <c r="E157" i="10"/>
  <c r="N170" i="10"/>
  <c r="K145" i="10"/>
  <c r="N98" i="10"/>
  <c r="K278" i="10"/>
  <c r="K147" i="10"/>
  <c r="K115" i="10"/>
  <c r="N294" i="10"/>
  <c r="M42" i="10"/>
  <c r="S42" i="10" s="1"/>
  <c r="N365" i="10"/>
  <c r="H365" i="10"/>
  <c r="M60" i="10"/>
  <c r="S60" i="10" s="1"/>
  <c r="K355" i="10"/>
  <c r="N351" i="10"/>
  <c r="N96" i="10"/>
  <c r="O38" i="10"/>
  <c r="J65" i="10"/>
  <c r="AC65" i="10" s="1"/>
  <c r="N152" i="10"/>
  <c r="J50" i="10"/>
  <c r="V50" i="10" s="1"/>
  <c r="N322" i="10"/>
  <c r="K151" i="10"/>
  <c r="H273" i="10"/>
  <c r="N301" i="10"/>
  <c r="N165" i="10"/>
  <c r="N216" i="10"/>
  <c r="O74" i="10"/>
  <c r="U74" i="10" s="1"/>
  <c r="T74" i="10" s="1"/>
  <c r="H311" i="10"/>
  <c r="K162" i="10"/>
  <c r="O87" i="10"/>
  <c r="X87" i="10" s="1"/>
  <c r="N245" i="10"/>
  <c r="M46" i="10"/>
  <c r="S46" i="10" s="1"/>
  <c r="H355" i="10"/>
  <c r="J39" i="10"/>
  <c r="P39" i="10" s="1"/>
  <c r="E365" i="10"/>
  <c r="N363" i="10"/>
  <c r="G39" i="10"/>
  <c r="N344" i="10"/>
  <c r="O83" i="10"/>
  <c r="U83" i="10" s="1"/>
  <c r="T83" i="10" s="1"/>
  <c r="L63" i="10"/>
  <c r="AB63" i="10" s="1"/>
  <c r="K113" i="10"/>
  <c r="N277" i="10"/>
  <c r="E220" i="10"/>
  <c r="O35" i="10"/>
  <c r="N345" i="10"/>
  <c r="M80" i="10"/>
  <c r="S80" i="10" s="1"/>
  <c r="N293" i="10"/>
  <c r="N166" i="10"/>
  <c r="H189" i="10"/>
  <c r="H270" i="10"/>
  <c r="H322" i="10"/>
  <c r="N314" i="10"/>
  <c r="N183" i="10"/>
  <c r="N229" i="10"/>
  <c r="N228" i="10"/>
  <c r="N207" i="10"/>
  <c r="G79" i="10"/>
  <c r="AE79" i="10" s="1"/>
  <c r="O79" i="10"/>
  <c r="U79" i="10" s="1"/>
  <c r="N360" i="10"/>
  <c r="L79" i="10"/>
  <c r="K79" i="10" s="1"/>
  <c r="K360" i="10"/>
  <c r="D38" i="10"/>
  <c r="E38" i="10" s="1"/>
  <c r="N366" i="10"/>
  <c r="O84" i="10"/>
  <c r="U84" i="10" s="1"/>
  <c r="T84" i="10" s="1"/>
  <c r="J84" i="10"/>
  <c r="F53" i="10"/>
  <c r="E53" i="10" s="1"/>
  <c r="E205" i="10"/>
  <c r="E358" i="10"/>
  <c r="H357" i="10"/>
  <c r="I60" i="10"/>
  <c r="M79" i="10"/>
  <c r="S79" i="10" s="1"/>
  <c r="K363" i="10"/>
  <c r="K364" i="10"/>
  <c r="N364" i="10"/>
  <c r="H161" i="10"/>
  <c r="N102" i="10"/>
  <c r="N266" i="10"/>
  <c r="H353" i="10"/>
  <c r="J60" i="10"/>
  <c r="P60" i="10" s="1"/>
  <c r="H364" i="10"/>
  <c r="L84" i="10"/>
  <c r="K366" i="10"/>
  <c r="N352" i="10"/>
  <c r="E364" i="10"/>
  <c r="D79" i="10"/>
  <c r="N354" i="10"/>
  <c r="H361" i="10"/>
  <c r="I51" i="10"/>
  <c r="E354" i="10"/>
  <c r="J51" i="10"/>
  <c r="P51" i="10" s="1"/>
  <c r="H308" i="10"/>
  <c r="N221" i="10"/>
  <c r="K155" i="10"/>
  <c r="N179" i="10"/>
  <c r="K362" i="10"/>
  <c r="K352" i="10"/>
  <c r="F79" i="10"/>
  <c r="E79" i="10" s="1"/>
  <c r="E360" i="10"/>
  <c r="E355" i="10"/>
  <c r="N187" i="10"/>
  <c r="N356" i="10"/>
  <c r="E361" i="10"/>
  <c r="F51" i="10"/>
  <c r="E51" i="10" s="1"/>
  <c r="D39" i="10"/>
  <c r="K272" i="10"/>
  <c r="K354" i="10"/>
  <c r="N265" i="10"/>
  <c r="K332" i="10"/>
  <c r="M37" i="10"/>
  <c r="S37" i="10" s="1"/>
  <c r="O86" i="10"/>
  <c r="U86" i="10" s="1"/>
  <c r="T86" i="10" s="1"/>
  <c r="N233" i="10"/>
  <c r="H363" i="10"/>
  <c r="I84" i="10"/>
  <c r="H366" i="10"/>
  <c r="N357" i="10"/>
  <c r="O60" i="10"/>
  <c r="U60" i="10" s="1"/>
  <c r="I39" i="10"/>
  <c r="H359" i="10"/>
  <c r="G84" i="10"/>
  <c r="E362" i="10"/>
  <c r="E353" i="10"/>
  <c r="N362" i="10"/>
  <c r="M38" i="10"/>
  <c r="S38" i="10" s="1"/>
  <c r="L49" i="10"/>
  <c r="K49" i="10" s="1"/>
  <c r="K101" i="10"/>
  <c r="K319" i="10"/>
  <c r="H352" i="10"/>
  <c r="G60" i="10"/>
  <c r="E351" i="10"/>
  <c r="K351" i="10"/>
  <c r="K365" i="10"/>
  <c r="K356" i="10"/>
  <c r="Q88" i="10"/>
  <c r="P87" i="10"/>
  <c r="AA87" i="10"/>
  <c r="P81" i="10"/>
  <c r="V81" i="10"/>
  <c r="AC81" i="10"/>
  <c r="AE81" i="10"/>
  <c r="AA81" i="10"/>
  <c r="U42" i="10"/>
  <c r="N42" i="10"/>
  <c r="U37" i="10"/>
  <c r="T37" i="10" s="1"/>
  <c r="AA42" i="10"/>
  <c r="AA63" i="10"/>
  <c r="P63" i="10"/>
  <c r="V63" i="10"/>
  <c r="AE63" i="10"/>
  <c r="H47" i="10"/>
  <c r="N81" i="10"/>
  <c r="U81" i="10"/>
  <c r="T81" i="10" s="1"/>
  <c r="P34" i="10"/>
  <c r="V34" i="10"/>
  <c r="AA34" i="10"/>
  <c r="AF45" i="10"/>
  <c r="AE47" i="10"/>
  <c r="P47" i="10"/>
  <c r="AA47" i="10"/>
  <c r="AC47" i="10"/>
  <c r="AB50" i="10"/>
  <c r="R50" i="10"/>
  <c r="X50" i="10"/>
  <c r="AD50" i="10"/>
  <c r="K50" i="10"/>
  <c r="U48" i="10"/>
  <c r="AE44" i="10"/>
  <c r="AA44" i="10"/>
  <c r="U69" i="10"/>
  <c r="AC43" i="10"/>
  <c r="P43" i="10"/>
  <c r="E72" i="10"/>
  <c r="AD87" i="10"/>
  <c r="AB87" i="10"/>
  <c r="AF87" i="10"/>
  <c r="R87" i="10"/>
  <c r="H87" i="10"/>
  <c r="R73" i="10"/>
  <c r="AD73" i="10"/>
  <c r="AF73" i="10"/>
  <c r="R80" i="10"/>
  <c r="AB80" i="10"/>
  <c r="AD80" i="10"/>
  <c r="K66" i="10"/>
  <c r="R69" i="10"/>
  <c r="AF69" i="10"/>
  <c r="AB69" i="10"/>
  <c r="AD69" i="10"/>
  <c r="X69" i="10"/>
  <c r="AD36" i="10"/>
  <c r="AF36" i="10"/>
  <c r="K36" i="10"/>
  <c r="R36" i="10"/>
  <c r="AB36" i="10"/>
  <c r="X36" i="10"/>
  <c r="H90" i="10"/>
  <c r="P72" i="10"/>
  <c r="AE72" i="10"/>
  <c r="AC72" i="10"/>
  <c r="V71" i="10"/>
  <c r="AA71" i="10"/>
  <c r="AE71" i="10"/>
  <c r="AC71" i="10"/>
  <c r="P71" i="10"/>
  <c r="AD89" i="10"/>
  <c r="K89" i="10"/>
  <c r="R89" i="10"/>
  <c r="X89" i="10"/>
  <c r="AB89" i="10"/>
  <c r="AC74" i="10"/>
  <c r="AE74" i="10"/>
  <c r="AA74" i="10"/>
  <c r="V74" i="10"/>
  <c r="P74" i="10"/>
  <c r="P78" i="10"/>
  <c r="V78" i="10"/>
  <c r="AA78" i="10"/>
  <c r="AC78" i="10"/>
  <c r="AE78" i="10"/>
  <c r="P15" i="10"/>
  <c r="AB15" i="10" s="1"/>
  <c r="AB9" i="10" s="1"/>
  <c r="T88" i="10"/>
  <c r="K9" i="10"/>
  <c r="AD9" i="10"/>
  <c r="AH9" i="10"/>
  <c r="Z9" i="10"/>
  <c r="AF9" i="10"/>
  <c r="P64" i="10"/>
  <c r="AC64" i="10"/>
  <c r="U89" i="10"/>
  <c r="T89" i="10" s="1"/>
  <c r="N89" i="10"/>
  <c r="Z89" i="10" s="1"/>
  <c r="AF75" i="10"/>
  <c r="AD75" i="10"/>
  <c r="R75" i="10"/>
  <c r="U35" i="10"/>
  <c r="P89" i="10"/>
  <c r="AC89" i="10"/>
  <c r="AA89" i="10"/>
  <c r="AE89" i="10"/>
  <c r="U90" i="10"/>
  <c r="T90" i="10" s="1"/>
  <c r="N90" i="10"/>
  <c r="Z90" i="10" s="1"/>
  <c r="AB48" i="10"/>
  <c r="AD48" i="10"/>
  <c r="R48" i="10"/>
  <c r="K48" i="10"/>
  <c r="X48" i="10"/>
  <c r="E42" i="10"/>
  <c r="K78" i="10"/>
  <c r="AB78" i="10"/>
  <c r="AF78" i="10"/>
  <c r="X78" i="10"/>
  <c r="R78" i="10"/>
  <c r="R68" i="10"/>
  <c r="X68" i="10"/>
  <c r="AF68" i="10"/>
  <c r="AD68" i="10"/>
  <c r="AB68" i="10"/>
  <c r="K68" i="10"/>
  <c r="R57" i="10"/>
  <c r="AF57" i="10"/>
  <c r="AB57" i="10"/>
  <c r="X15" i="10"/>
  <c r="AC15" i="10"/>
  <c r="AE15" i="10"/>
  <c r="P90" i="10"/>
  <c r="AA90" i="10"/>
  <c r="AE90" i="10"/>
  <c r="V90" i="10"/>
  <c r="E48" i="10"/>
  <c r="U63" i="10"/>
  <c r="T63" i="10" s="1"/>
  <c r="N63" i="10"/>
  <c r="Z63" i="10" s="1"/>
  <c r="AC38" i="10"/>
  <c r="P38" i="10"/>
  <c r="AE38" i="10"/>
  <c r="U65" i="10"/>
  <c r="T65" i="10" s="1"/>
  <c r="N65" i="10"/>
  <c r="Z65" i="10" s="1"/>
  <c r="E40" i="10"/>
  <c r="E62" i="10"/>
  <c r="P9" i="10"/>
  <c r="P41" i="10"/>
  <c r="AC41" i="10"/>
  <c r="AA41" i="10"/>
  <c r="V41" i="10"/>
  <c r="AF54" i="10"/>
  <c r="X54" i="10"/>
  <c r="K54" i="10"/>
  <c r="R54" i="10"/>
  <c r="AB54" i="10"/>
  <c r="U85" i="10"/>
  <c r="T85" i="10" s="1"/>
  <c r="N85" i="10"/>
  <c r="Z85" i="10" s="1"/>
  <c r="AD77" i="10"/>
  <c r="AB77" i="10"/>
  <c r="R77" i="10"/>
  <c r="N41" i="10"/>
  <c r="Z41" i="10" s="1"/>
  <c r="U41" i="10"/>
  <c r="T41" i="10" s="1"/>
  <c r="H36" i="10"/>
  <c r="AC49" i="10"/>
  <c r="AE49" i="10"/>
  <c r="P49" i="10"/>
  <c r="P37" i="10"/>
  <c r="V37" i="10"/>
  <c r="AE37" i="10"/>
  <c r="H78" i="10"/>
  <c r="U72" i="10"/>
  <c r="P68" i="10"/>
  <c r="V68" i="10"/>
  <c r="AA68" i="10"/>
  <c r="E74" i="10"/>
  <c r="AC57" i="10"/>
  <c r="P57" i="10"/>
  <c r="AA57" i="10"/>
  <c r="V57" i="10"/>
  <c r="U64" i="10"/>
  <c r="E83" i="10"/>
  <c r="R83" i="10"/>
  <c r="AD83" i="10"/>
  <c r="AF83" i="10"/>
  <c r="K83" i="10"/>
  <c r="W55" i="10"/>
  <c r="Y55" i="10"/>
  <c r="AC70" i="10"/>
  <c r="U38" i="10"/>
  <c r="AE39" i="10"/>
  <c r="P65" i="10"/>
  <c r="AA65" i="10"/>
  <c r="AC76" i="10"/>
  <c r="AE76" i="10"/>
  <c r="AA76" i="10"/>
  <c r="N57" i="10"/>
  <c r="Z57" i="10" s="1"/>
  <c r="U57" i="10"/>
  <c r="T57" i="10" s="1"/>
  <c r="V85" i="10"/>
  <c r="P85" i="10"/>
  <c r="AA85" i="10"/>
  <c r="AE85" i="10"/>
  <c r="H53" i="10"/>
  <c r="R74" i="10"/>
  <c r="K74" i="10"/>
  <c r="AF74" i="10"/>
  <c r="AD74" i="10"/>
  <c r="H57" i="10"/>
  <c r="AD85" i="10"/>
  <c r="K85" i="10"/>
  <c r="AB85" i="10"/>
  <c r="R85" i="10"/>
  <c r="Q85" i="10" s="1"/>
  <c r="AC45" i="10"/>
  <c r="P45" i="10"/>
  <c r="P40" i="10"/>
  <c r="AC40" i="10"/>
  <c r="R62" i="10"/>
  <c r="AF62" i="10"/>
  <c r="K62" i="10"/>
  <c r="AD62" i="10"/>
  <c r="E45" i="10"/>
  <c r="U40" i="10"/>
  <c r="V19" i="10"/>
  <c r="N68" i="10"/>
  <c r="Z68" i="10" s="1"/>
  <c r="U68" i="10"/>
  <c r="T68" i="10" s="1"/>
  <c r="E65" i="10"/>
  <c r="N58" i="10"/>
  <c r="Z58" i="10" s="1"/>
  <c r="Y61" i="10"/>
  <c r="W61" i="10"/>
  <c r="U51" i="10"/>
  <c r="AA51" i="10"/>
  <c r="AA50" i="10"/>
  <c r="AE50" i="10"/>
  <c r="P50" i="10"/>
  <c r="AF38" i="10"/>
  <c r="K38" i="10"/>
  <c r="X38" i="10"/>
  <c r="AD38" i="10"/>
  <c r="AB38" i="10"/>
  <c r="AC58" i="10"/>
  <c r="V58" i="10"/>
  <c r="AE58" i="10"/>
  <c r="P58" i="10"/>
  <c r="AA58" i="10"/>
  <c r="U78" i="10"/>
  <c r="T78" i="10" s="1"/>
  <c r="N78" i="10"/>
  <c r="Z78" i="10" s="1"/>
  <c r="P35" i="10"/>
  <c r="AA35" i="10"/>
  <c r="AE35" i="10"/>
  <c r="AC35" i="10"/>
  <c r="AG9" i="10"/>
  <c r="X9" i="10"/>
  <c r="AC9" i="10"/>
  <c r="AE9" i="10"/>
  <c r="R56" i="10"/>
  <c r="AF56" i="10"/>
  <c r="AB56" i="10"/>
  <c r="AC53" i="10"/>
  <c r="AA53" i="10"/>
  <c r="P53" i="10"/>
  <c r="AE53" i="10"/>
  <c r="V53" i="10"/>
  <c r="AA75" i="10"/>
  <c r="V75" i="10"/>
  <c r="P75" i="10"/>
  <c r="S20" i="10"/>
  <c r="P62" i="10"/>
  <c r="AC62" i="10"/>
  <c r="AE62" i="10"/>
  <c r="V62" i="10"/>
  <c r="AA62" i="10"/>
  <c r="E85" i="10"/>
  <c r="S18" i="10"/>
  <c r="U47" i="10"/>
  <c r="T47" i="10" s="1"/>
  <c r="N47" i="10"/>
  <c r="Z47" i="10" s="1"/>
  <c r="U87" i="10"/>
  <c r="T87" i="10" s="1"/>
  <c r="N50" i="10"/>
  <c r="Z50" i="10" s="1"/>
  <c r="U50" i="10"/>
  <c r="T50" i="10" s="1"/>
  <c r="P73" i="10"/>
  <c r="AD43" i="10"/>
  <c r="K43" i="10"/>
  <c r="N34" i="10"/>
  <c r="Z34" i="10" s="1"/>
  <c r="U34" i="10"/>
  <c r="T34" i="10" s="1"/>
  <c r="U71" i="10"/>
  <c r="T71" i="10" s="1"/>
  <c r="N71" i="10"/>
  <c r="Z71" i="10" s="1"/>
  <c r="X72" i="10"/>
  <c r="AB72" i="10"/>
  <c r="K72" i="10"/>
  <c r="AF72" i="10"/>
  <c r="AD72" i="10"/>
  <c r="R72" i="10"/>
  <c r="K76" i="10"/>
  <c r="X76" i="10"/>
  <c r="AD76" i="10"/>
  <c r="R76" i="10"/>
  <c r="U56" i="10"/>
  <c r="AE46" i="10"/>
  <c r="U70" i="10"/>
  <c r="AE77" i="10"/>
  <c r="AC77" i="10"/>
  <c r="U53" i="10"/>
  <c r="T53" i="10" s="1"/>
  <c r="N53" i="10"/>
  <c r="Z53" i="10" s="1"/>
  <c r="U43" i="10"/>
  <c r="R47" i="10"/>
  <c r="K47" i="10"/>
  <c r="AF47" i="10"/>
  <c r="X47" i="10"/>
  <c r="AD47" i="10"/>
  <c r="U80" i="10"/>
  <c r="AF65" i="10"/>
  <c r="X65" i="10"/>
  <c r="AB65" i="10"/>
  <c r="R65" i="10"/>
  <c r="AD65" i="10"/>
  <c r="H68" i="10"/>
  <c r="E77" i="10"/>
  <c r="AF15" i="10"/>
  <c r="AH15" i="10"/>
  <c r="K15" i="10"/>
  <c r="Z15" i="10"/>
  <c r="AD15" i="10"/>
  <c r="P86" i="10"/>
  <c r="AA86" i="10"/>
  <c r="AC86" i="10"/>
  <c r="V86" i="10"/>
  <c r="AD58" i="10"/>
  <c r="K58" i="10"/>
  <c r="X58" i="10"/>
  <c r="AF58" i="10"/>
  <c r="R58" i="10"/>
  <c r="AB58" i="10"/>
  <c r="P54" i="10"/>
  <c r="AC54" i="10"/>
  <c r="AE54" i="10"/>
  <c r="V54" i="10"/>
  <c r="AA54" i="10"/>
  <c r="R81" i="10"/>
  <c r="AD81" i="10"/>
  <c r="AB81" i="10"/>
  <c r="K81" i="10"/>
  <c r="X81" i="10"/>
  <c r="AF81" i="10"/>
  <c r="U36" i="10"/>
  <c r="T36" i="10" s="1"/>
  <c r="P79" i="10"/>
  <c r="V79" i="10"/>
  <c r="AA79" i="10"/>
  <c r="P84" i="10"/>
  <c r="AA84" i="10"/>
  <c r="U77" i="10"/>
  <c r="AD64" i="10"/>
  <c r="AF64" i="10"/>
  <c r="X64" i="10"/>
  <c r="R64" i="10"/>
  <c r="AB64" i="10"/>
  <c r="K64" i="10"/>
  <c r="AC66" i="10"/>
  <c r="AA66" i="10"/>
  <c r="AF82" i="10"/>
  <c r="R82" i="10"/>
  <c r="AF71" i="10"/>
  <c r="R71" i="10"/>
  <c r="AD71" i="10"/>
  <c r="AB71" i="10"/>
  <c r="X71" i="10"/>
  <c r="K71" i="10"/>
  <c r="H54" i="10"/>
  <c r="H58" i="10"/>
  <c r="U45" i="10"/>
  <c r="T45" i="10" s="1"/>
  <c r="N45" i="10"/>
  <c r="Z45" i="10" s="1"/>
  <c r="R40" i="10"/>
  <c r="AD40" i="10"/>
  <c r="X40" i="10"/>
  <c r="P56" i="10"/>
  <c r="AE56" i="10"/>
  <c r="U54" i="10"/>
  <c r="T54" i="10" s="1"/>
  <c r="P80" i="10"/>
  <c r="U44" i="10"/>
  <c r="T44" i="10" s="1"/>
  <c r="N44" i="10"/>
  <c r="Z44" i="10" s="1"/>
  <c r="V36" i="10"/>
  <c r="P36" i="10"/>
  <c r="AE36" i="10"/>
  <c r="AA36" i="10"/>
  <c r="X53" i="10"/>
  <c r="K53" i="10"/>
  <c r="AF53" i="10"/>
  <c r="R53" i="10"/>
  <c r="AB53" i="10"/>
  <c r="H65" i="10"/>
  <c r="AB34" i="10"/>
  <c r="X34" i="10"/>
  <c r="K34" i="10"/>
  <c r="R34" i="10"/>
  <c r="AC83" i="10"/>
  <c r="V83" i="10"/>
  <c r="AA83" i="10"/>
  <c r="P83" i="10"/>
  <c r="H70" i="10"/>
  <c r="AC48" i="10"/>
  <c r="AE48" i="10"/>
  <c r="AA48" i="10"/>
  <c r="P48" i="10"/>
  <c r="V48" i="10"/>
  <c r="N36" i="10" l="1"/>
  <c r="AD57" i="10"/>
  <c r="V89" i="10"/>
  <c r="AE84" i="10"/>
  <c r="H34" i="10"/>
  <c r="AD60" i="10"/>
  <c r="H39" i="10"/>
  <c r="W15" i="10"/>
  <c r="Q58" i="10"/>
  <c r="AE45" i="10"/>
  <c r="AA37" i="10"/>
  <c r="E63" i="10"/>
  <c r="AF76" i="10"/>
  <c r="AA39" i="10"/>
  <c r="X77" i="10"/>
  <c r="T35" i="10"/>
  <c r="AF48" i="10"/>
  <c r="U9" i="10"/>
  <c r="X80" i="10"/>
  <c r="T38" i="10"/>
  <c r="AD41" i="10"/>
  <c r="Q71" i="10"/>
  <c r="R37" i="10"/>
  <c r="AF51" i="10"/>
  <c r="R44" i="10"/>
  <c r="X86" i="10"/>
  <c r="N40" i="10"/>
  <c r="Z40" i="10" s="1"/>
  <c r="H40" i="10"/>
  <c r="AE66" i="10"/>
  <c r="AB66" i="10"/>
  <c r="AB42" i="10"/>
  <c r="AF77" i="10"/>
  <c r="W9" i="10"/>
  <c r="V9" i="10" s="1"/>
  <c r="AC56" i="10"/>
  <c r="AC36" i="10"/>
  <c r="E82" i="10"/>
  <c r="S19" i="10"/>
  <c r="AB75" i="10"/>
  <c r="E56" i="10"/>
  <c r="AE83" i="10"/>
  <c r="AE41" i="10"/>
  <c r="E43" i="10"/>
  <c r="AD70" i="10"/>
  <c r="S23" i="10"/>
  <c r="AD34" i="10"/>
  <c r="U15" i="10"/>
  <c r="T9" i="10"/>
  <c r="S9" i="10" s="1"/>
  <c r="AE64" i="10"/>
  <c r="AC87" i="10"/>
  <c r="X44" i="10"/>
  <c r="AF86" i="10"/>
  <c r="AC60" i="10"/>
  <c r="T40" i="10"/>
  <c r="E75" i="10"/>
  <c r="N51" i="10"/>
  <c r="Z51" i="10" s="1"/>
  <c r="AB83" i="10"/>
  <c r="T42" i="10"/>
  <c r="X70" i="10"/>
  <c r="X83" i="10"/>
  <c r="R45" i="10"/>
  <c r="Q45" i="10" s="1"/>
  <c r="N49" i="10"/>
  <c r="Z49" i="10" s="1"/>
  <c r="E90" i="10"/>
  <c r="K44" i="10"/>
  <c r="X52" i="10"/>
  <c r="E81" i="10"/>
  <c r="H89" i="10"/>
  <c r="AB82" i="10"/>
  <c r="AE57" i="10"/>
  <c r="AC80" i="10"/>
  <c r="AF80" i="10"/>
  <c r="AC37" i="10"/>
  <c r="AB70" i="10"/>
  <c r="N72" i="10"/>
  <c r="Z72" i="10" s="1"/>
  <c r="AB44" i="10"/>
  <c r="AF70" i="10"/>
  <c r="AB45" i="10"/>
  <c r="K45" i="10"/>
  <c r="E84" i="10"/>
  <c r="N38" i="10"/>
  <c r="Z38" i="10" s="1"/>
  <c r="Q78" i="10"/>
  <c r="AF66" i="10"/>
  <c r="Q87" i="10"/>
  <c r="AD45" i="10"/>
  <c r="T60" i="10"/>
  <c r="AC39" i="10"/>
  <c r="AC79" i="10"/>
  <c r="N86" i="10"/>
  <c r="Z86" i="10" s="1"/>
  <c r="K86" i="10"/>
  <c r="N52" i="10"/>
  <c r="Z52" i="10" s="1"/>
  <c r="AB86" i="10"/>
  <c r="AE40" i="10"/>
  <c r="AB74" i="10"/>
  <c r="AA64" i="10"/>
  <c r="V84" i="10"/>
  <c r="AG15" i="10"/>
  <c r="AF63" i="10"/>
  <c r="Q38" i="10"/>
  <c r="K80" i="10"/>
  <c r="AE68" i="10"/>
  <c r="AD86" i="10"/>
  <c r="H86" i="10"/>
  <c r="AA40" i="10"/>
  <c r="H48" i="10"/>
  <c r="V40" i="10"/>
  <c r="AD37" i="10"/>
  <c r="V43" i="10"/>
  <c r="AD53" i="10"/>
  <c r="AE80" i="10"/>
  <c r="AB40" i="10"/>
  <c r="AD67" i="10"/>
  <c r="Q64" i="10"/>
  <c r="AA77" i="10"/>
  <c r="AC46" i="10"/>
  <c r="AA73" i="10"/>
  <c r="N87" i="10"/>
  <c r="Z87" i="10" s="1"/>
  <c r="V35" i="10"/>
  <c r="V65" i="10"/>
  <c r="V16" i="10"/>
  <c r="AC68" i="10"/>
  <c r="X37" i="10"/>
  <c r="AF89" i="10"/>
  <c r="AD52" i="10"/>
  <c r="AE43" i="10"/>
  <c r="AC44" i="10"/>
  <c r="Z81" i="10"/>
  <c r="V42" i="10"/>
  <c r="AD35" i="10"/>
  <c r="H60" i="10"/>
  <c r="T79" i="10"/>
  <c r="AB39" i="10"/>
  <c r="AB60" i="10"/>
  <c r="X57" i="10"/>
  <c r="H71" i="10"/>
  <c r="H83" i="10"/>
  <c r="H42" i="10"/>
  <c r="E41" i="10"/>
  <c r="N66" i="10"/>
  <c r="Z66" i="10" s="1"/>
  <c r="X84" i="10"/>
  <c r="Z36" i="10"/>
  <c r="E73" i="10"/>
  <c r="H67" i="10"/>
  <c r="K69" i="10"/>
  <c r="Q53" i="10"/>
  <c r="X82" i="10"/>
  <c r="V46" i="10"/>
  <c r="V73" i="10"/>
  <c r="H50" i="10"/>
  <c r="AF52" i="10"/>
  <c r="H66" i="10"/>
  <c r="AA43" i="10"/>
  <c r="V44" i="10"/>
  <c r="R35" i="10"/>
  <c r="Q35" i="10" s="1"/>
  <c r="K46" i="10"/>
  <c r="AA46" i="10"/>
  <c r="AE73" i="10"/>
  <c r="K42" i="10"/>
  <c r="Y42" i="10" s="1"/>
  <c r="V49" i="10"/>
  <c r="N82" i="10"/>
  <c r="Z82" i="10" s="1"/>
  <c r="N35" i="10"/>
  <c r="Z35" i="10" s="1"/>
  <c r="X75" i="10"/>
  <c r="K52" i="10"/>
  <c r="Y52" i="10" s="1"/>
  <c r="X66" i="10"/>
  <c r="T15" i="10"/>
  <c r="P44" i="10"/>
  <c r="Q44" i="10" s="1"/>
  <c r="N37" i="10"/>
  <c r="Z37" i="10" s="1"/>
  <c r="V15" i="10"/>
  <c r="R15" i="10"/>
  <c r="AD42" i="10"/>
  <c r="N76" i="10"/>
  <c r="Z76" i="10" s="1"/>
  <c r="X63" i="10"/>
  <c r="AB67" i="10"/>
  <c r="U66" i="10"/>
  <c r="T66" i="10" s="1"/>
  <c r="T51" i="10"/>
  <c r="AD63" i="10"/>
  <c r="X67" i="10"/>
  <c r="K65" i="10"/>
  <c r="Y65" i="10" s="1"/>
  <c r="N70" i="10"/>
  <c r="Z70" i="10" s="1"/>
  <c r="N74" i="10"/>
  <c r="Z74" i="10" s="1"/>
  <c r="AC73" i="10"/>
  <c r="T46" i="10"/>
  <c r="V45" i="10"/>
  <c r="X42" i="10"/>
  <c r="K57" i="10"/>
  <c r="U82" i="10"/>
  <c r="T82" i="10" s="1"/>
  <c r="P82" i="10"/>
  <c r="Q82" i="10" s="1"/>
  <c r="R52" i="10"/>
  <c r="AD66" i="10"/>
  <c r="AA69" i="10"/>
  <c r="S16" i="10"/>
  <c r="V47" i="10"/>
  <c r="X46" i="10"/>
  <c r="N75" i="10"/>
  <c r="Z75" i="10" s="1"/>
  <c r="AC84" i="10"/>
  <c r="E78" i="10"/>
  <c r="AD44" i="10"/>
  <c r="H63" i="10"/>
  <c r="H46" i="10"/>
  <c r="K67" i="10"/>
  <c r="AF67" i="10"/>
  <c r="K63" i="10"/>
  <c r="Y63" i="10" s="1"/>
  <c r="T77" i="10"/>
  <c r="T43" i="10"/>
  <c r="T70" i="10"/>
  <c r="U49" i="10"/>
  <c r="T49" i="10" s="1"/>
  <c r="AD56" i="10"/>
  <c r="R42" i="10"/>
  <c r="AD54" i="10"/>
  <c r="AA38" i="10"/>
  <c r="X90" i="10"/>
  <c r="R79" i="10"/>
  <c r="AA82" i="10"/>
  <c r="AB52" i="10"/>
  <c r="AE69" i="10"/>
  <c r="V67" i="10"/>
  <c r="U75" i="10"/>
  <c r="T75" i="10" s="1"/>
  <c r="V51" i="10"/>
  <c r="V56" i="10"/>
  <c r="K82" i="10"/>
  <c r="N77" i="10"/>
  <c r="Z77" i="10" s="1"/>
  <c r="N43" i="10"/>
  <c r="Z43" i="10" s="1"/>
  <c r="X43" i="10"/>
  <c r="AF42" i="10"/>
  <c r="K90" i="10"/>
  <c r="Y90" i="10" s="1"/>
  <c r="AB79" i="10"/>
  <c r="AE82" i="10"/>
  <c r="V69" i="10"/>
  <c r="AE52" i="10"/>
  <c r="P67" i="10"/>
  <c r="Q67" i="10" s="1"/>
  <c r="E50" i="10"/>
  <c r="E52" i="10"/>
  <c r="P70" i="10"/>
  <c r="Q70" i="10" s="1"/>
  <c r="AB41" i="10"/>
  <c r="AE42" i="10"/>
  <c r="H64" i="10"/>
  <c r="H51" i="10"/>
  <c r="H77" i="10"/>
  <c r="H81" i="10"/>
  <c r="AD82" i="10"/>
  <c r="Q76" i="10"/>
  <c r="X62" i="10"/>
  <c r="AD90" i="10"/>
  <c r="AA67" i="10"/>
  <c r="AB62" i="10"/>
  <c r="AB90" i="10"/>
  <c r="AD79" i="10"/>
  <c r="AC82" i="10"/>
  <c r="X41" i="10"/>
  <c r="AC67" i="10"/>
  <c r="N56" i="10"/>
  <c r="Z56" i="10" s="1"/>
  <c r="AB43" i="10"/>
  <c r="X79" i="10"/>
  <c r="K41" i="10"/>
  <c r="Y41" i="10" s="1"/>
  <c r="P69" i="10"/>
  <c r="AA52" i="10"/>
  <c r="AA56" i="10"/>
  <c r="R43" i="10"/>
  <c r="Q43" i="10" s="1"/>
  <c r="AF37" i="10"/>
  <c r="P52" i="10"/>
  <c r="AF34" i="10"/>
  <c r="V77" i="10"/>
  <c r="U62" i="10"/>
  <c r="T62" i="10" s="1"/>
  <c r="V70" i="10"/>
  <c r="AB37" i="10"/>
  <c r="AF90" i="10"/>
  <c r="AF79" i="10"/>
  <c r="AF41" i="10"/>
  <c r="AC52" i="10"/>
  <c r="N83" i="10"/>
  <c r="Z83" i="10" s="1"/>
  <c r="AC42" i="10"/>
  <c r="T56" i="10"/>
  <c r="AF85" i="10"/>
  <c r="AA70" i="10"/>
  <c r="H41" i="10"/>
  <c r="V60" i="10"/>
  <c r="AF39" i="10"/>
  <c r="N60" i="10"/>
  <c r="Z60" i="10" s="1"/>
  <c r="T80" i="10"/>
  <c r="V80" i="10"/>
  <c r="AB76" i="10"/>
  <c r="Q42" i="10"/>
  <c r="AF60" i="10"/>
  <c r="K84" i="10"/>
  <c r="Q34" i="10"/>
  <c r="AF40" i="10"/>
  <c r="V66" i="10"/>
  <c r="U39" i="10"/>
  <c r="T39" i="10" s="1"/>
  <c r="Q81" i="10"/>
  <c r="K70" i="10"/>
  <c r="AD51" i="10"/>
  <c r="Q72" i="10"/>
  <c r="N79" i="10"/>
  <c r="Z79" i="10" s="1"/>
  <c r="AC50" i="10"/>
  <c r="AA45" i="10"/>
  <c r="AE65" i="10"/>
  <c r="N84" i="10"/>
  <c r="Z84" i="10" s="1"/>
  <c r="R60" i="10"/>
  <c r="Q60" i="10" s="1"/>
  <c r="AD39" i="10"/>
  <c r="AA49" i="10"/>
  <c r="U76" i="10"/>
  <c r="T76" i="10" s="1"/>
  <c r="AF84" i="10"/>
  <c r="N67" i="10"/>
  <c r="Z67" i="10" s="1"/>
  <c r="V72" i="10"/>
  <c r="N69" i="10"/>
  <c r="Z69" i="10" s="1"/>
  <c r="T48" i="10"/>
  <c r="AB49" i="10"/>
  <c r="AB46" i="10"/>
  <c r="K35" i="10"/>
  <c r="Y35" i="10" s="1"/>
  <c r="H79" i="10"/>
  <c r="E46" i="10"/>
  <c r="E80" i="10"/>
  <c r="Q65" i="10"/>
  <c r="X60" i="10"/>
  <c r="R84" i="10"/>
  <c r="Q84" i="10" s="1"/>
  <c r="R49" i="10"/>
  <c r="Q49" i="10" s="1"/>
  <c r="AE60" i="10"/>
  <c r="AD84" i="10"/>
  <c r="N80" i="10"/>
  <c r="Z80" i="10" s="1"/>
  <c r="K51" i="10"/>
  <c r="W51" i="10" s="1"/>
  <c r="K39" i="10"/>
  <c r="T72" i="10"/>
  <c r="AD49" i="10"/>
  <c r="AD46" i="10"/>
  <c r="AF35" i="10"/>
  <c r="AA80" i="10"/>
  <c r="N39" i="10"/>
  <c r="Z39" i="10" s="1"/>
  <c r="AE51" i="10"/>
  <c r="AB84" i="10"/>
  <c r="U73" i="10"/>
  <c r="T73" i="10" s="1"/>
  <c r="AB73" i="10"/>
  <c r="T69" i="10"/>
  <c r="N48" i="10"/>
  <c r="Z48" i="10" s="1"/>
  <c r="X49" i="10"/>
  <c r="AF46" i="10"/>
  <c r="AB35" i="10"/>
  <c r="E70" i="10"/>
  <c r="E34" i="10"/>
  <c r="AB51" i="10"/>
  <c r="Q40" i="10"/>
  <c r="N46" i="10"/>
  <c r="Z46" i="10" s="1"/>
  <c r="X74" i="10"/>
  <c r="N73" i="10"/>
  <c r="Z73" i="10" s="1"/>
  <c r="Z42" i="10"/>
  <c r="E68" i="10"/>
  <c r="H80" i="10"/>
  <c r="H69" i="10"/>
  <c r="H75" i="10"/>
  <c r="H62" i="10"/>
  <c r="E47" i="10"/>
  <c r="V39" i="10"/>
  <c r="R63" i="10"/>
  <c r="Q63" i="10" s="1"/>
  <c r="R51" i="10"/>
  <c r="Q51" i="10" s="1"/>
  <c r="AA60" i="10"/>
  <c r="K60" i="10"/>
  <c r="N64" i="10"/>
  <c r="Z64" i="10" s="1"/>
  <c r="V64" i="10"/>
  <c r="V76" i="10"/>
  <c r="T64" i="10"/>
  <c r="V38" i="10"/>
  <c r="AA72" i="10"/>
  <c r="AF49" i="10"/>
  <c r="V87" i="10"/>
  <c r="H84" i="10"/>
  <c r="E76" i="10"/>
  <c r="V20" i="10"/>
  <c r="E36" i="10"/>
  <c r="E39" i="10"/>
  <c r="V17" i="10"/>
  <c r="H74" i="10"/>
  <c r="E86" i="10"/>
  <c r="Y78" i="10"/>
  <c r="W78" i="10"/>
  <c r="Q47" i="10"/>
  <c r="Y72" i="10"/>
  <c r="W72" i="10"/>
  <c r="Q37" i="10"/>
  <c r="Q41" i="10"/>
  <c r="W63" i="10"/>
  <c r="Q83" i="10"/>
  <c r="W50" i="10"/>
  <c r="Y50" i="10"/>
  <c r="Y45" i="10"/>
  <c r="W45" i="10"/>
  <c r="Y87" i="10"/>
  <c r="Q62" i="10"/>
  <c r="Q68" i="10"/>
  <c r="Q48" i="10"/>
  <c r="Q69" i="10"/>
  <c r="Y82" i="10"/>
  <c r="W82" i="10"/>
  <c r="Y86" i="10"/>
  <c r="W86" i="10"/>
  <c r="Q54" i="10"/>
  <c r="Q75" i="10"/>
  <c r="Q50" i="10"/>
  <c r="Y47" i="10"/>
  <c r="W47" i="10"/>
  <c r="W54" i="10"/>
  <c r="Y54" i="10"/>
  <c r="Y57" i="10"/>
  <c r="W57" i="10"/>
  <c r="W80" i="10"/>
  <c r="Y80" i="10"/>
  <c r="Y73" i="10"/>
  <c r="W49" i="10"/>
  <c r="Y49" i="10"/>
  <c r="W62" i="10"/>
  <c r="Y62" i="10"/>
  <c r="Y81" i="10"/>
  <c r="W81" i="10"/>
  <c r="Y71" i="10"/>
  <c r="W71" i="10"/>
  <c r="AA15" i="10"/>
  <c r="AA9" i="10" s="1"/>
  <c r="Y15" i="10"/>
  <c r="Q56" i="10"/>
  <c r="Y38" i="10"/>
  <c r="W38" i="10"/>
  <c r="Q39" i="10"/>
  <c r="Q36" i="10"/>
  <c r="Q80" i="10"/>
  <c r="Y76" i="10"/>
  <c r="W76" i="10"/>
  <c r="Y77" i="10"/>
  <c r="W77" i="10"/>
  <c r="Y36" i="10"/>
  <c r="W36" i="10"/>
  <c r="Q46" i="10"/>
  <c r="Y53" i="10"/>
  <c r="W53" i="10"/>
  <c r="W34" i="10"/>
  <c r="Y34" i="10"/>
  <c r="W58" i="10"/>
  <c r="Y58" i="10"/>
  <c r="Y85" i="10"/>
  <c r="W85" i="10"/>
  <c r="Q77" i="10"/>
  <c r="Q73" i="10"/>
  <c r="Y40" i="10"/>
  <c r="W40" i="10"/>
  <c r="Q57" i="10"/>
  <c r="Q89" i="10"/>
  <c r="W66" i="10"/>
  <c r="Y66" i="10"/>
  <c r="W44" i="10"/>
  <c r="Y44" i="10"/>
  <c r="Q86" i="10"/>
  <c r="Q74" i="10"/>
  <c r="Q90" i="10"/>
  <c r="Y68" i="10"/>
  <c r="W68" i="10"/>
  <c r="Q79" i="10"/>
  <c r="Y9" i="10"/>
  <c r="Y89" i="10"/>
  <c r="W89" i="10"/>
  <c r="Q66" i="10"/>
  <c r="W41" i="10" l="1"/>
  <c r="W84" i="10"/>
  <c r="W42" i="10"/>
  <c r="W75" i="10"/>
  <c r="Y75" i="10"/>
  <c r="Y37" i="10"/>
  <c r="W37" i="10"/>
  <c r="W73" i="10"/>
  <c r="S15" i="10"/>
  <c r="Q52" i="10"/>
  <c r="Y51" i="10"/>
  <c r="Y74" i="10"/>
  <c r="W90" i="10"/>
  <c r="Y56" i="10"/>
  <c r="Y64" i="10"/>
  <c r="W74" i="10"/>
  <c r="W56" i="10"/>
  <c r="W70" i="10"/>
  <c r="Y70" i="10"/>
  <c r="W65" i="10"/>
  <c r="W87" i="10"/>
  <c r="W83" i="10"/>
  <c r="Y69" i="10"/>
  <c r="W69" i="10"/>
  <c r="W43" i="10"/>
  <c r="W46" i="10"/>
  <c r="Y43" i="10"/>
  <c r="Y46" i="10"/>
  <c r="W79" i="10"/>
  <c r="Y79" i="10"/>
  <c r="W39" i="10"/>
  <c r="W52" i="10"/>
  <c r="W60" i="10"/>
  <c r="Y84" i="10"/>
  <c r="Y83" i="10"/>
  <c r="Y48" i="10"/>
  <c r="W48" i="10"/>
  <c r="Y39" i="10"/>
  <c r="Y60" i="10"/>
  <c r="W64" i="10"/>
  <c r="W35" i="10"/>
  <c r="W67" i="10"/>
  <c r="Y67" i="10"/>
</calcChain>
</file>

<file path=xl/sharedStrings.xml><?xml version="1.0" encoding="utf-8"?>
<sst xmlns="http://schemas.openxmlformats.org/spreadsheetml/2006/main" count="14491" uniqueCount="730">
  <si>
    <t>AFW</t>
  </si>
  <si>
    <t>Expected Month closure</t>
  </si>
  <si>
    <t>Overall Target</t>
  </si>
  <si>
    <t>Deficit</t>
  </si>
  <si>
    <t>BU</t>
  </si>
  <si>
    <t>Mar-21</t>
  </si>
  <si>
    <t>Target Achievement  %</t>
  </si>
  <si>
    <t>Historical Growth %</t>
  </si>
  <si>
    <t>Base Line Growth %</t>
  </si>
  <si>
    <t>Vol</t>
  </si>
  <si>
    <t>Charge</t>
  </si>
  <si>
    <t>Revenue</t>
  </si>
  <si>
    <t>Retention</t>
  </si>
  <si>
    <t>Acquisition</t>
  </si>
  <si>
    <t>Supply Deficit</t>
  </si>
  <si>
    <t>Demand Deficit</t>
  </si>
  <si>
    <t xml:space="preserve">Volume </t>
  </si>
  <si>
    <t>May-22</t>
  </si>
  <si>
    <t>AKW</t>
  </si>
  <si>
    <t>ALW</t>
  </si>
  <si>
    <t>May-21</t>
  </si>
  <si>
    <t>ADC</t>
  </si>
  <si>
    <t>HJH</t>
  </si>
  <si>
    <t>KSA</t>
  </si>
  <si>
    <t>Area</t>
  </si>
  <si>
    <t>DTD Historical</t>
  </si>
  <si>
    <t>DTD BaseLine</t>
  </si>
  <si>
    <t>DTD Actual</t>
  </si>
  <si>
    <t>DTD Target</t>
  </si>
  <si>
    <t>OPD</t>
  </si>
  <si>
    <t>Historical</t>
  </si>
  <si>
    <t>BaseLine</t>
  </si>
  <si>
    <t>Expected closure</t>
  </si>
  <si>
    <t>Specialty</t>
  </si>
  <si>
    <t>Doctor</t>
  </si>
  <si>
    <t>Andrology</t>
  </si>
  <si>
    <t>Cardiology</t>
  </si>
  <si>
    <t>Cardiothoracic</t>
  </si>
  <si>
    <t>Chest</t>
  </si>
  <si>
    <t>Dermatology</t>
  </si>
  <si>
    <t>E.N.T.</t>
  </si>
  <si>
    <t>General Surgery</t>
  </si>
  <si>
    <t>Internal Medicine</t>
  </si>
  <si>
    <t>Neuro Surgery</t>
  </si>
  <si>
    <t>Neurology</t>
  </si>
  <si>
    <t>Nutrition</t>
  </si>
  <si>
    <t>OBE &amp; GYN</t>
  </si>
  <si>
    <t>Ophthalmology</t>
  </si>
  <si>
    <t>Orthopedics</t>
  </si>
  <si>
    <t>Other</t>
  </si>
  <si>
    <t>Pediatrics</t>
  </si>
  <si>
    <t>Psychiatry</t>
  </si>
  <si>
    <t>Urology</t>
  </si>
  <si>
    <t>Vascular Surgery</t>
  </si>
  <si>
    <t>SHERIF MOHAMED IBRAHIM ELDAWY</t>
  </si>
  <si>
    <t>AHMAD ALSAID JABER JABER</t>
  </si>
  <si>
    <t>MOHAMED MOHAMED M. ELMARAGHI</t>
  </si>
  <si>
    <t>MOHAMED MAHMOUD IBRAHIM THAALAB</t>
  </si>
  <si>
    <t>NABIL ALI A. HIBAH</t>
  </si>
  <si>
    <t>SAFA SAAD ABDULRAHMAN ABUALAZM</t>
  </si>
  <si>
    <t>ESSAM ABDELFATTAH M. ABDELSAMAD</t>
  </si>
  <si>
    <t>MOHAMED KHALIFA A. KHALIFA</t>
  </si>
  <si>
    <t>HAITHAM MOHAMMED MOHAMMED ELSHEIKH</t>
  </si>
  <si>
    <t>HAMED H HAMED ABOUSTEIT</t>
  </si>
  <si>
    <t>ABDULRAHMAN ABDULLAH A. ASHY</t>
  </si>
  <si>
    <t>ALAA HASSAN A. ELSHAMY</t>
  </si>
  <si>
    <t>SALWA RASHAD A. SAID</t>
  </si>
  <si>
    <t>EZZAT MOHD Nousoh KARIMAH</t>
  </si>
  <si>
    <t>AHMED AMIN E. HEKAL</t>
  </si>
  <si>
    <t>Nabil Kamal MOHD AL NAJAR</t>
  </si>
  <si>
    <t>AHMAD LOTFY ABDLHALIM RAGAB</t>
  </si>
  <si>
    <t>OSAMA AHMED MOHAMED ABDELSALAM</t>
  </si>
  <si>
    <t>SHIMAA ESSAM  MOHAMED</t>
  </si>
  <si>
    <t>MANAL FAWZY MOHAMMED AHMED</t>
  </si>
  <si>
    <t>RANIA MOUSTAFA AHMED ELSAYED</t>
  </si>
  <si>
    <t>MOHAMMED HELMY Hassan THABET</t>
  </si>
  <si>
    <t>WALAA AHMED IBRAHIM ELSADANY</t>
  </si>
  <si>
    <t>SARAH MOSTAFA H. ELHOMOSANY</t>
  </si>
  <si>
    <t>TAMER YOUSEF A EISSA</t>
  </si>
  <si>
    <t>ELSAYED IBRAHIM M. SHAHEEN</t>
  </si>
  <si>
    <t>MAHMOUD FATHY ABDELHAFEZ TAHOUN</t>
  </si>
  <si>
    <t>MAHMOUD HUSSIEN M. HARB</t>
  </si>
  <si>
    <t>AHMED ALI AHMED ELSAYED</t>
  </si>
  <si>
    <t>OSAMA ELSAYED M. BEKHIT</t>
  </si>
  <si>
    <t>MERVAT ABDELHAMEED A. DEGHEDY</t>
  </si>
  <si>
    <t>MANSOUR MOHAMED M. ABDALLAH</t>
  </si>
  <si>
    <t>OLAYA MOHAMED W. ELERAKY</t>
  </si>
  <si>
    <t>WAEL ZIYAD  HASHIM</t>
  </si>
  <si>
    <t>RANIA HAMED M. ELBAAZ</t>
  </si>
  <si>
    <t>JOUD NASIR ABDULLAH BAZAID</t>
  </si>
  <si>
    <t>AHMED MOHAMED ABDELRAZIK MOHAMED</t>
  </si>
  <si>
    <t>AMR MOHAMED A. YEHIA</t>
  </si>
  <si>
    <t>SHERIF MOHAMED AHMED ABDELFATTAH</t>
  </si>
  <si>
    <t>IHAB ANWAR TAHA ABOUELWAFA</t>
  </si>
  <si>
    <t>TAREK AHMED ABDELMAQSOUD NOSSEIR</t>
  </si>
  <si>
    <t>NAGWA IBRAHIM MOSSAD ELHALAWANI</t>
  </si>
  <si>
    <t>HAMED HASSAN ALI ALBARGI</t>
  </si>
  <si>
    <t>MOSTAFA MAHMOUD SALAMA SALAMA</t>
  </si>
  <si>
    <t>AMEEN AHMED  ALSAGGAF</t>
  </si>
  <si>
    <t>OSAMA AHMED BADAWY MOAWAD</t>
  </si>
  <si>
    <t>IBRAHIM HUSSEIN IBRAHIM ELATTAR</t>
  </si>
  <si>
    <t>ALI ABDALRHMAN MOHMMAD ALBARAKATI</t>
  </si>
  <si>
    <t>MAHMOUD HAMDY REZG EID</t>
  </si>
  <si>
    <t>EMAN FAROUK OSMAN ELSAFTY</t>
  </si>
  <si>
    <t>MONA ABDELSABOUR A. SOLIMAN</t>
  </si>
  <si>
    <t>MOHAMED AHMED ISMAIL NASR</t>
  </si>
  <si>
    <t>WALEED ELSAYED A. ALI</t>
  </si>
  <si>
    <t>KHAIRYA MOHAMMED ALI MOUSSA</t>
  </si>
  <si>
    <t>ABDELSALAM AHMED AHAMD ELASHRY</t>
  </si>
  <si>
    <t>KHALED GOMAA MOHAMED ALAMELDEEN</t>
  </si>
  <si>
    <t>EX   ANESTHESIA</t>
  </si>
  <si>
    <t>MOHAMED GALAL IBRAHEEM ABOELSOUD GALAL</t>
  </si>
  <si>
    <t>RAED SHABAAN ELSAYED ALI</t>
  </si>
  <si>
    <t>SARA MOHAMED SAID SOLIMAN</t>
  </si>
  <si>
    <t>AKRAM MAGED S. ALMADHOUN</t>
  </si>
  <si>
    <t>ALI ABDULHAMID  ABDULRAHMAN</t>
  </si>
  <si>
    <t>IBRAHIM NAEEM YOUSEF ALBAYYOUK</t>
  </si>
  <si>
    <t>EMAN ABDELAZIZ M. SOLIMAN</t>
  </si>
  <si>
    <t>IBRAHIM HASSAN IBRAHIM EID</t>
  </si>
  <si>
    <t>ALIAA MAHMOUD S ELMADBOULY</t>
  </si>
  <si>
    <t>AHMED HASSAN AHMED ELSHAHRI</t>
  </si>
  <si>
    <t>ALI MOHAMED ABDELHADY ELHABET</t>
  </si>
  <si>
    <t>ELSAYED EBRAHEM ELSAYED ABOASI</t>
  </si>
  <si>
    <t>REDA ABDELAZIM M. YOUSSEF</t>
  </si>
  <si>
    <t>IQAMA   CONS.</t>
  </si>
  <si>
    <t>MOSAB IBRAHEIM H. SALEH</t>
  </si>
  <si>
    <t>YOSRA SAEED ABDELMAEWLA REZK</t>
  </si>
  <si>
    <t>AHMED ABDELBASET ELSAYED ABOELNOUR</t>
  </si>
  <si>
    <t>ELHENDAWI MANSOUR ISSA ABDELKHALEK</t>
  </si>
  <si>
    <t>AHMAD MARI MOHAMMED THABIT</t>
  </si>
  <si>
    <t>NEHAL NAGDY M. ZEDAN</t>
  </si>
  <si>
    <t>SARA MAHFOUZ HAFEZ YEHIA</t>
  </si>
  <si>
    <t>ELHAM HASSAN SALEH ABDELGAWAD</t>
  </si>
  <si>
    <t>SARA HUSSEIN MAHMOUD ABDELWAHAB</t>
  </si>
  <si>
    <t>MAHMOUD ADNAN  ABUDEEBA</t>
  </si>
  <si>
    <t>ASMAA ABDELNABI ABDELAAL KHEDR</t>
  </si>
  <si>
    <t>MAHA AHMED MOHAMED ZAMARA</t>
  </si>
  <si>
    <t>MOHAMMED FIKRY A. SHABANA</t>
  </si>
  <si>
    <t>WALAA MOHAMED I. ALHANAFY</t>
  </si>
  <si>
    <t>EX.   PHYSIOTHERAPY</t>
  </si>
  <si>
    <t>MOHAMMED MOUSTAFA MOUSTAFA ELASKARY</t>
  </si>
  <si>
    <t>MOHAMMED MAHMOUD ARAFAT AWAGA</t>
  </si>
  <si>
    <t>SHAYMAA MAHMOUD AMIN AYOUB</t>
  </si>
  <si>
    <t>NASSER MOHAMAD EZZELDEN FARG</t>
  </si>
  <si>
    <t>LCH</t>
  </si>
  <si>
    <t>MKR</t>
  </si>
  <si>
    <t>Conservative</t>
  </si>
  <si>
    <t>Oral Surgery</t>
  </si>
  <si>
    <t>Prosthesis</t>
  </si>
  <si>
    <t>Composite Filling</t>
  </si>
  <si>
    <t>Periodontic</t>
  </si>
  <si>
    <t>Scaling</t>
  </si>
  <si>
    <t>Screening</t>
  </si>
  <si>
    <t>Pharmacy</t>
  </si>
  <si>
    <t>Dental Services</t>
  </si>
  <si>
    <t>MAHA FIKRY TAWFIC SHEHABELDIN</t>
  </si>
  <si>
    <t>HANAA ABDELAZIZ  ABDULKHALIK</t>
  </si>
  <si>
    <t>MAHA EBRAHIM ABD ELGHANY ALQABBANY</t>
  </si>
  <si>
    <t>MAHA SHERIF OSMAN HAMDY</t>
  </si>
  <si>
    <t>AMANI ALI  ABDELGHANI</t>
  </si>
  <si>
    <t>RAMY ATEF IBRAHIM ABDELHAMID</t>
  </si>
  <si>
    <t>MOHAB MOHAMED TOLBA SULTAN</t>
  </si>
  <si>
    <t>KHADIGA OMAR KAMAL ALENANY</t>
  </si>
  <si>
    <t>NEDAA ASEM  EL GENDY</t>
  </si>
  <si>
    <t>NAGLAA ABDELMONAIM RAHEEM BAKHET</t>
  </si>
  <si>
    <t>KHALIL AHMED MOHAMMED ALKAMEL</t>
  </si>
  <si>
    <t>AHMED MAMDOUH SHON</t>
  </si>
  <si>
    <t>SARA MOHAMED ABDELFATTAH SOLIMAN</t>
  </si>
  <si>
    <t>SAIFELDEEN IBRAHIM ABDELSALAM MOUSTAFA</t>
  </si>
  <si>
    <t>MARWAN SALAHELDIN EBRAHIM RADWAN</t>
  </si>
  <si>
    <t>MOUSTAFA ANBAR  ANBAR</t>
  </si>
  <si>
    <t>WALAA MOHAMED ABDELLATIF ABDELGAWWAD</t>
  </si>
  <si>
    <t>KAREEM METWALLY ABDELSALAM SALEM</t>
  </si>
  <si>
    <t>ALSHYMAA ZENHOM MAHMOD ABDALALEIM</t>
  </si>
  <si>
    <t>MENNATALLAH MOHAMED SAYED ABO ELSOUAD</t>
  </si>
  <si>
    <t>AHMED OMAR ABDELRAHMAN HEGAB</t>
  </si>
  <si>
    <t>HOSSAM MOHAMED YOUSRI SASSI</t>
  </si>
  <si>
    <t>SARA AHMED  HEFNY</t>
  </si>
  <si>
    <t>KHALED   ABDEL MONIEM</t>
  </si>
  <si>
    <t>MOHAMED AKMAL ABD ELFATTAH ABD ELRAHMAN</t>
  </si>
  <si>
    <t>ALYAA AHMED REFAIE FARAG</t>
  </si>
  <si>
    <t>SAFAA HASSAN ALI HASSAN</t>
  </si>
  <si>
    <t>Ahmed Magdy</t>
  </si>
  <si>
    <t>REHAB WAGEH ELSAYED ZAIN</t>
  </si>
  <si>
    <t>Gasser Sherif Mohamed Saleh</t>
  </si>
  <si>
    <t>HEBA SAMIR MOHAMED ELHAKIM</t>
  </si>
  <si>
    <t>MOHAMED ABDELKHALEQ IBRAHIM ABD ELRAZEQ</t>
  </si>
  <si>
    <t>MOHAMED OSAMA SAMY BADER</t>
  </si>
  <si>
    <t>PATRICK MICHEL MATTA</t>
  </si>
  <si>
    <t>YOUSRA ABOUBAKR KAMAL ROSHDY</t>
  </si>
  <si>
    <t>Mohamed Galal</t>
  </si>
  <si>
    <t>GEHAN MOUSTAFA ELSAYED MSTAFA</t>
  </si>
  <si>
    <t>MOHAMED AHMED MOHAMED ELSHEIKH</t>
  </si>
  <si>
    <t>SAMAR   EL KAYAL</t>
  </si>
  <si>
    <t>ALAA ALSOBKI</t>
  </si>
  <si>
    <t>YAZAN HAMMAM RAMADAN ALHARTANI</t>
  </si>
  <si>
    <t>AMAL MOHAMMED ALI MAGHRABY</t>
  </si>
  <si>
    <t>MOHAMED SULTAN MOHAMED ALASMARI</t>
  </si>
  <si>
    <t>TAHANY MOHAMED AHMED ELATTAS</t>
  </si>
  <si>
    <t>HANEEN MOHAMMED ALI BASHEER</t>
  </si>
  <si>
    <t>SARAH MAHMOUD ALY AMER</t>
  </si>
  <si>
    <t>AHMED SAMIR ABDELATIF ELBHNSAWY</t>
  </si>
  <si>
    <t>NADIA HANI MOUHIEE HABBAL</t>
  </si>
  <si>
    <t>KHALED EBRAHIM  MATTAR</t>
  </si>
  <si>
    <t>MOHAMED RAMADAN ABULYAZEED MOHAMED</t>
  </si>
  <si>
    <t>DALIA MOHAMED MAHMOUD</t>
  </si>
  <si>
    <t>MOHAMED MAGDY ABD ELHALIM ELASHRY</t>
  </si>
  <si>
    <t>SNB</t>
  </si>
  <si>
    <t>FWZ</t>
  </si>
  <si>
    <t>ER</t>
  </si>
  <si>
    <t>Screening &amp; Scaling</t>
  </si>
  <si>
    <t>Orthodontics</t>
  </si>
  <si>
    <t xml:space="preserve"> Prothdontics/ Simple End</t>
  </si>
  <si>
    <t>cosmatology</t>
  </si>
  <si>
    <t>Phonatics</t>
  </si>
  <si>
    <t>Home Care</t>
  </si>
  <si>
    <t>Endodontics</t>
  </si>
  <si>
    <t>Advanced GP</t>
  </si>
  <si>
    <t>Prosthodontic</t>
  </si>
  <si>
    <t>Pedodontics</t>
  </si>
  <si>
    <t>External Doctor</t>
  </si>
  <si>
    <t>Clinical Pathology</t>
  </si>
  <si>
    <t>Physiotherapy</t>
  </si>
  <si>
    <t>Laboratory</t>
  </si>
  <si>
    <t>ABDELHAMID MOHAMED ABDELHAMID YOUSIF</t>
  </si>
  <si>
    <t>ADEL  MOHAMMED TAWFIK SCREENING</t>
  </si>
  <si>
    <t>ADEL MOHAMED TAWFIK ABDELRAHMAN</t>
  </si>
  <si>
    <t>Ahmed Mohamed Abdelrazek Mohamed</t>
  </si>
  <si>
    <t>AMANI ALI ELHEFNI ABDELGHANI</t>
  </si>
  <si>
    <t>Amany Hassan Elmansour Elhamamy</t>
  </si>
  <si>
    <t>Asmaa Gumah Yousf Abdelmenem</t>
  </si>
  <si>
    <t>Badr Saleh Mohamed Saadawi</t>
  </si>
  <si>
    <t>clarity Lase Laser Doctor</t>
  </si>
  <si>
    <t>Doctor Amira HomeCare ER</t>
  </si>
  <si>
    <t>DR SCREENING CLINIC</t>
  </si>
  <si>
    <t>DR SNB Dental Screening</t>
  </si>
  <si>
    <t>EIHAB ABDELSAMAD MOHAMED ALBADAWY</t>
  </si>
  <si>
    <t>Elham Gamal Eldeen Shaheen</t>
  </si>
  <si>
    <t>EMAN  FAROUK OSMAN  ELSAFTY</t>
  </si>
  <si>
    <t>Eman AbdElAziz Mohamed Soliman</t>
  </si>
  <si>
    <t>EX   EMERGENCY</t>
  </si>
  <si>
    <t>EX.   DOCTOR ( OUT PATIENT )</t>
  </si>
  <si>
    <t>FATMAH ABDULRAHMAN ABDULLAH ASHY</t>
  </si>
  <si>
    <t>Gentle lase Laser Doctor</t>
  </si>
  <si>
    <t>Ghada AbdelRahman Elsaid Al Mashad</t>
  </si>
  <si>
    <t>Hend Waleed Mohammed Bahakeem</t>
  </si>
  <si>
    <t>HOME   CARE</t>
  </si>
  <si>
    <t>HUDA ABDULLAH  ABUSANGA</t>
  </si>
  <si>
    <t>IBRAHEM AHMED SAYED FARAJ</t>
  </si>
  <si>
    <t>KHALID ABDUALAZYZ ABULLATTIF ABDUALTEF</t>
  </si>
  <si>
    <t>Lab Clinic Doctor</t>
  </si>
  <si>
    <t>LAMYAA MAHMOUD NASR ELKANANI</t>
  </si>
  <si>
    <t>MAHMOUD ALI ALI ABOHASAN</t>
  </si>
  <si>
    <t>Manal Fawzy Mohamed Ahmed</t>
  </si>
  <si>
    <t>MENNATALLAH ZAKARIA ZAKARIA ABDELGHAFOUR</t>
  </si>
  <si>
    <t>MOAMEN AHMED MOHAMED MEKAWY</t>
  </si>
  <si>
    <t>MOHAMED ABDELWADOD ABDIN FADUL</t>
  </si>
  <si>
    <t>Mohamed Mohamed Ibrahim Elkhayat</t>
  </si>
  <si>
    <t>MOHAMMED HASSAN EMAM NASSAR</t>
  </si>
  <si>
    <t>MONA MAHMOUD ABDULRAHMAN AL AWADI</t>
  </si>
  <si>
    <t>Mosab Ibrahim Hassan Saleh</t>
  </si>
  <si>
    <t>NABILA TAHA ALI SAFAN</t>
  </si>
  <si>
    <t>NADA MOHAMED RATEB JAWISH</t>
  </si>
  <si>
    <t>NORAH ABDULLAH AL ZUBAIDY AL ZUBAIDY</t>
  </si>
  <si>
    <t>Not Specified</t>
  </si>
  <si>
    <t>NUHA ABUBAKER ABDULLAH ALKAFF</t>
  </si>
  <si>
    <t>Rabab Masoud AbdelWahed</t>
  </si>
  <si>
    <t>Raed Shabaan El Sayed Ali</t>
  </si>
  <si>
    <t>Safa El said</t>
  </si>
  <si>
    <t>Samah Mohamed Megahed</t>
  </si>
  <si>
    <t>Sarah Moustafa Hussein ElHomosany</t>
  </si>
  <si>
    <t>SHAIMAA ATTIA ABOUOUF NEGM</t>
  </si>
  <si>
    <t>SNB Home Care Services</t>
  </si>
  <si>
    <t>Soha Moneir Abedllatief Aboelleil</t>
  </si>
  <si>
    <t>TRAD KHALED A. ALSHADUKI</t>
  </si>
  <si>
    <t>Walaa Ahmed Elsadany</t>
  </si>
  <si>
    <t>WALAA RAMADAN ABD ELSALHIN SAAD</t>
  </si>
  <si>
    <t>YASMIN IBRAHIM ABDELWAHED AHMED</t>
  </si>
  <si>
    <t>Activities</t>
  </si>
  <si>
    <t>Moroccan</t>
  </si>
  <si>
    <t>SPA</t>
  </si>
  <si>
    <t>Salon</t>
  </si>
  <si>
    <t>samar Salem Mobark AL KADY</t>
  </si>
  <si>
    <t>HydraFacial Clinic</t>
  </si>
  <si>
    <t>Morrocan bath</t>
  </si>
  <si>
    <t>MOHAMED SALAHELDIN GOMAA GOMAA</t>
  </si>
  <si>
    <t>Reham Abdulmosin Abdelmawjood</t>
  </si>
  <si>
    <t>ABDULRAHMAN AHMED ABDULRAHMAN AHMED</t>
  </si>
  <si>
    <t>Meaad Mohamed Abdulaziz Almihmidi</t>
  </si>
  <si>
    <t>Amany Aboalazm</t>
  </si>
  <si>
    <t>Mai Hassan Abdulhalim Garout</t>
  </si>
  <si>
    <t>Rania Fahmi Mohamed Hassoun</t>
  </si>
  <si>
    <t>Marwa Lotfi Abdulhalim Ragab</t>
  </si>
  <si>
    <t>Walaa Zuhair Alshalah</t>
  </si>
  <si>
    <t>Suzan Yacoub Sdeq Kashgari</t>
  </si>
  <si>
    <t>SPA SPA</t>
  </si>
  <si>
    <t>SaifElDin Ibrahim Abdelsalam Moustafa</t>
  </si>
  <si>
    <t>Ibtisam Hassan WaezEldeen Feda</t>
  </si>
  <si>
    <t>Rania Hamed Elbaz</t>
  </si>
  <si>
    <t>Amany Saber Mohamed Aboalazm</t>
  </si>
  <si>
    <t>Nazareth Jackhoren Papazian</t>
  </si>
  <si>
    <t>yara Mohamed Merheb</t>
  </si>
  <si>
    <t>Lamya Essam Amen Jefri</t>
  </si>
  <si>
    <t>WORK SHOP</t>
  </si>
  <si>
    <t>Pediatric medicine</t>
  </si>
  <si>
    <t>Audiological medicine</t>
  </si>
  <si>
    <t>ABA</t>
  </si>
  <si>
    <t>Occupational therapy (OT)</t>
  </si>
  <si>
    <t>PSYCHOLOGY</t>
  </si>
  <si>
    <t>Learning Difficulties</t>
  </si>
  <si>
    <t>Early intervention</t>
  </si>
  <si>
    <t>PR</t>
  </si>
  <si>
    <t>khairya Mohamed Aly Mousa</t>
  </si>
  <si>
    <t>Bouran Hakky Mohamed</t>
  </si>
  <si>
    <t>AHMED MAGDY SAEED ISMAEEL ALGENDY</t>
  </si>
  <si>
    <t>Dalia Osama Essam Adwan</t>
  </si>
  <si>
    <t>Doaa Salem Mohamed Bamashmous</t>
  </si>
  <si>
    <t>Linda Sara Eid</t>
  </si>
  <si>
    <t>RAMA AHMED HAMMAMI</t>
  </si>
  <si>
    <t>DALIA MOHAMED ATTIA MAHMOUD</t>
  </si>
  <si>
    <t>Early Intervention Month Program</t>
  </si>
  <si>
    <t>MARAM SALEH ALI ALGHAMDI</t>
  </si>
  <si>
    <t>Asmaa Hashem Ahmad AlAttas</t>
  </si>
  <si>
    <t>Dina Mostafa ElSayed Morsy</t>
  </si>
  <si>
    <t>Hasnaa Ali Mohamed Subyani</t>
  </si>
  <si>
    <t>DOAA MAHER ABO EL AZM MOUSTAFA</t>
  </si>
  <si>
    <t>Marwa AbdulJawad Taher AlFerra</t>
  </si>
  <si>
    <t>NourElHoda Nabil Abdullah Mosa</t>
  </si>
  <si>
    <t>RAGHADA ABDELMONEIM ABDELHALEEM RIZK</t>
  </si>
  <si>
    <t>Alaa AbdelAziz AbduBaker Basheik</t>
  </si>
  <si>
    <t>wellness doctor doctor doctor</t>
  </si>
  <si>
    <t>Afnan Esmaeel Mohye Bokhari</t>
  </si>
  <si>
    <t>LAMA SAMI MOHAMMED ZARAH</t>
  </si>
  <si>
    <t>ALBATOOL BASEM ASEM MOHSEN</t>
  </si>
  <si>
    <t>DALIA TAWFIQ ABDULKAREEM RAYAN</t>
  </si>
  <si>
    <t>Sara Yahia Mahmoud Gad</t>
  </si>
  <si>
    <t>Fatimah Abdulhamed Abdullah al Huraibi</t>
  </si>
  <si>
    <t>Aliaa Mahmoud Elmadbouly</t>
  </si>
  <si>
    <t>Soha Moneir AbdEllatif AboElleil</t>
  </si>
  <si>
    <t>Hatem AbdElSattar Hassan Teima</t>
  </si>
  <si>
    <t>Cosmatology</t>
  </si>
  <si>
    <t>KHALID MOHAMMED ABDALLAH ABDALHADI</t>
  </si>
  <si>
    <t>TRAD KHALED SCREENING</t>
  </si>
  <si>
    <t>Gentle Lase Clinic One</t>
  </si>
  <si>
    <t>Cath LAB</t>
  </si>
  <si>
    <t>External - Pharmacy Sales</t>
  </si>
  <si>
    <t>ICU</t>
  </si>
  <si>
    <t>Inpatient</t>
  </si>
  <si>
    <t>NICU</t>
  </si>
  <si>
    <t>Open Heart</t>
  </si>
  <si>
    <t>PICU</t>
  </si>
  <si>
    <t>MTD</t>
  </si>
  <si>
    <t>DTD</t>
  </si>
  <si>
    <t>Actual</t>
  </si>
  <si>
    <t>Target</t>
  </si>
  <si>
    <t>MTD Historical</t>
  </si>
  <si>
    <t>MTD BaseLine</t>
  </si>
  <si>
    <t>MTD Actual</t>
  </si>
  <si>
    <t>MTD Target</t>
  </si>
  <si>
    <t>Department</t>
  </si>
  <si>
    <t>Dec-21</t>
  </si>
  <si>
    <t>Apr-22</t>
  </si>
  <si>
    <t>Cash</t>
  </si>
  <si>
    <t>Credit</t>
  </si>
  <si>
    <t>-</t>
  </si>
  <si>
    <t>Picu</t>
  </si>
  <si>
    <t>Total</t>
  </si>
  <si>
    <t/>
  </si>
  <si>
    <t>SHERIF MOHAMED IBRAHIM ELDAWYCash</t>
  </si>
  <si>
    <t>AndrologyCash</t>
  </si>
  <si>
    <t>SHERIF MOHAMED IBRAHIM ELDAWYCredit</t>
  </si>
  <si>
    <t>AndrologyCredit</t>
  </si>
  <si>
    <t>AHMAD ALSAID JABER JABERCash</t>
  </si>
  <si>
    <t>CardiologyCash</t>
  </si>
  <si>
    <t>AHMAD ALSAID JABER JABERCredit</t>
  </si>
  <si>
    <t>CardiologyCredit</t>
  </si>
  <si>
    <t>MOHAMED MOHAMED M. ELMARAGHICash</t>
  </si>
  <si>
    <t>MOHAMED MOHAMED M. ELMARAGHICredit</t>
  </si>
  <si>
    <t>MOHAMED MAHMOUD IBRAHIM THAALABCash</t>
  </si>
  <si>
    <t>CardiothoracicCash</t>
  </si>
  <si>
    <t>MOHAMED MAHMOUD IBRAHIM THAALABCredit</t>
  </si>
  <si>
    <t>CardiothoracicCredit</t>
  </si>
  <si>
    <t>NABIL ALI A. HIBAHCash</t>
  </si>
  <si>
    <t>ChestCash</t>
  </si>
  <si>
    <t>NABIL ALI A. HIBAHCredit</t>
  </si>
  <si>
    <t>ChestCredit</t>
  </si>
  <si>
    <t>SAFA SAAD ABDULRAHMAN ABUALAZMCash</t>
  </si>
  <si>
    <t>DermatologyCash</t>
  </si>
  <si>
    <t>SAFA SAAD ABDULRAHMAN ABUALAZMCredit</t>
  </si>
  <si>
    <t>DermatologyCredit</t>
  </si>
  <si>
    <t>ESSAM ABDELFATTAH M. ABDELSAMADCash</t>
  </si>
  <si>
    <t>ESSAM ABDELFATTAH M. ABDELSAMADCredit</t>
  </si>
  <si>
    <t>MOHAMED KHALIFA A. KHALIFACash</t>
  </si>
  <si>
    <t>E.N.T.Cash</t>
  </si>
  <si>
    <t>MOHAMED KHALIFA A. KHALIFACredit</t>
  </si>
  <si>
    <t>E.N.T.Credit</t>
  </si>
  <si>
    <t>HAITHAM MOHAMMED MOHAMMED ELSHEIKHCash</t>
  </si>
  <si>
    <t>Dental ServicesCash</t>
  </si>
  <si>
    <t>HAITHAM MOHAMMED MOHAMMED ELSHEIKHCredit</t>
  </si>
  <si>
    <t>Dental ServicesCredit</t>
  </si>
  <si>
    <t>HAMED H HAMED ABOUSTEITCash</t>
  </si>
  <si>
    <t>General SurgeryCash</t>
  </si>
  <si>
    <t>HAMED H HAMED ABOUSTEITCredit</t>
  </si>
  <si>
    <t>General SurgeryCredit</t>
  </si>
  <si>
    <t>ABDULRAHMAN ABDULLAH A. ASHYCash</t>
  </si>
  <si>
    <t>ABDULRAHMAN ABDULLAH A. ASHYCredit</t>
  </si>
  <si>
    <t>ALAA HASSAN A. ELSHAMYCash</t>
  </si>
  <si>
    <t>Internal MedicineCash</t>
  </si>
  <si>
    <t>ALAA HASSAN A. ELSHAMYCredit</t>
  </si>
  <si>
    <t>Internal MedicineCredit</t>
  </si>
  <si>
    <t>SALWA RASHAD A. SAIDCash</t>
  </si>
  <si>
    <t>SALWA RASHAD A. SAIDCredit</t>
  </si>
  <si>
    <t>EZZAT MOHD Nousoh KARIMAHCash</t>
  </si>
  <si>
    <t>EZZAT MOHD Nousoh KARIMAHCredit</t>
  </si>
  <si>
    <t>AHMED AMIN E. HEKALCash</t>
  </si>
  <si>
    <t>AHMED AMIN E. HEKALCredit</t>
  </si>
  <si>
    <t>Nabil Kamal MOHD AL NAJARCash</t>
  </si>
  <si>
    <t>Nabil Kamal MOHD AL NAJARCredit</t>
  </si>
  <si>
    <t>AHMAD LOTFY ABDLHALIM RAGABCash</t>
  </si>
  <si>
    <t>Neuro SurgeryCash</t>
  </si>
  <si>
    <t>AHMAD LOTFY ABDLHALIM RAGABCredit</t>
  </si>
  <si>
    <t>Neuro SurgeryCredit</t>
  </si>
  <si>
    <t>OSAMA AHMED MOHAMED ABDELSALAMCash</t>
  </si>
  <si>
    <t>NeurologyCash</t>
  </si>
  <si>
    <t>OSAMA AHMED MOHAMED ABDELSALAMCredit</t>
  </si>
  <si>
    <t>NeurologyCredit</t>
  </si>
  <si>
    <t>SHIMAA ESSAM  MOHAMEDCash</t>
  </si>
  <si>
    <t>OBE &amp; GYNCash</t>
  </si>
  <si>
    <t>SHIMAA ESSAM  MOHAMEDCredit</t>
  </si>
  <si>
    <t>OBE &amp; GYNCredit</t>
  </si>
  <si>
    <t>MANAL FAWZY MOHAMMED AHMEDCash</t>
  </si>
  <si>
    <t>MANAL FAWZY MOHAMMED AHMEDCredit</t>
  </si>
  <si>
    <t>RANIA MOUSTAFA AHMED ELSAYEDCash</t>
  </si>
  <si>
    <t>RANIA MOUSTAFA AHMED ELSAYEDCredit</t>
  </si>
  <si>
    <t>MOHAMMED HELMY Hassan THABETCash</t>
  </si>
  <si>
    <t>MOHAMMED HELMY Hassan THABETCredit</t>
  </si>
  <si>
    <t>WALAA AHMED IBRAHIM ELSADANYCash</t>
  </si>
  <si>
    <t>OphthalmologyCash</t>
  </si>
  <si>
    <t>WALAA AHMED IBRAHIM ELSADANYCredit</t>
  </si>
  <si>
    <t>OphthalmologyCredit</t>
  </si>
  <si>
    <t>SARAH MOSTAFA H. ELHOMOSANYCash</t>
  </si>
  <si>
    <t>SARAH MOSTAFA H. ELHOMOSANYCredit</t>
  </si>
  <si>
    <t>TAMER YOUSEF A EISSACash</t>
  </si>
  <si>
    <t>TAMER YOUSEF A EISSACredit</t>
  </si>
  <si>
    <t>ELSAYED IBRAHIM M. SHAHEENCash</t>
  </si>
  <si>
    <t>OrthopedicsCash</t>
  </si>
  <si>
    <t>ELSAYED IBRAHIM M. SHAHEENCredit</t>
  </si>
  <si>
    <t>OrthopedicsCredit</t>
  </si>
  <si>
    <t>MAHMOUD FATHY ABDELHAFEZ TAHOUNCash</t>
  </si>
  <si>
    <t>MAHMOUD FATHY ABDELHAFEZ TAHOUNCredit</t>
  </si>
  <si>
    <t>MAHMOUD HUSSIEN M. HARBCash</t>
  </si>
  <si>
    <t>MAHMOUD HUSSIEN M. HARBCredit</t>
  </si>
  <si>
    <t>AHMED ALI AHMED ELSAYEDCash</t>
  </si>
  <si>
    <t>AHMED ALI AHMED ELSAYEDCredit</t>
  </si>
  <si>
    <t>OSAMA ELSAYED M. BEKHITCash</t>
  </si>
  <si>
    <t>PediatricsCash</t>
  </si>
  <si>
    <t>OSAMA ELSAYED M. BEKHITCredit</t>
  </si>
  <si>
    <t>PediatricsCredit</t>
  </si>
  <si>
    <t>MERVAT ABDELHAMEED A. DEGHEDYCash</t>
  </si>
  <si>
    <t>MERVAT ABDELHAMEED A. DEGHEDYCredit</t>
  </si>
  <si>
    <t>MANSOUR MOHAMED M. ABDALLAHCash</t>
  </si>
  <si>
    <t>MANSOUR MOHAMED M. ABDALLAHCredit</t>
  </si>
  <si>
    <t>OLAYA MOHAMED W. ELERAKYCash</t>
  </si>
  <si>
    <t>OLAYA MOHAMED W. ELERAKYCredit</t>
  </si>
  <si>
    <t>WAEL ZIYAD  HASHIMCash</t>
  </si>
  <si>
    <t>WAEL ZIYAD  HASHIMCredit</t>
  </si>
  <si>
    <t>RANIA HAMED M. ELBAAZCash</t>
  </si>
  <si>
    <t>PsychiatryCash</t>
  </si>
  <si>
    <t>RANIA HAMED M. ELBAAZCredit</t>
  </si>
  <si>
    <t>PsychiatryCredit</t>
  </si>
  <si>
    <t>JOUD NASIR ABDULLAH BAZAIDCash</t>
  </si>
  <si>
    <t>JOUD NASIR ABDULLAH BAZAIDCredit</t>
  </si>
  <si>
    <t>AHMED MOHAMED ABDELRAZIK MOHAMEDCash</t>
  </si>
  <si>
    <t>AHMED MOHAMED ABDELRAZIK MOHAMEDCredit</t>
  </si>
  <si>
    <t>AMR MOHAMED A. YEHIACash</t>
  </si>
  <si>
    <t>UrologyCash</t>
  </si>
  <si>
    <t>AMR MOHAMED A. YEHIACredit</t>
  </si>
  <si>
    <t>UrologyCredit</t>
  </si>
  <si>
    <t>SHERIF MOHAMED AHMED ABDELFATTAHCash</t>
  </si>
  <si>
    <t>Vascular SurgeryCash</t>
  </si>
  <si>
    <t>SHERIF MOHAMED AHMED ABDELFATTAHCredit</t>
  </si>
  <si>
    <t>Vascular SurgeryCredit</t>
  </si>
  <si>
    <t>IHAB ANWAR TAHA ABOUELWAFACash</t>
  </si>
  <si>
    <t>OtherCash</t>
  </si>
  <si>
    <t>IHAB ANWAR TAHA ABOUELWAFACredit</t>
  </si>
  <si>
    <t>OtherCredit</t>
  </si>
  <si>
    <t>TAREK AHMED ABDELMAQSOUD NOSSEIRCash</t>
  </si>
  <si>
    <t>TAREK AHMED ABDELMAQSOUD NOSSEIRCredit</t>
  </si>
  <si>
    <t>NAGWA IBRAHIM MOSSAD ELHALAWANICash</t>
  </si>
  <si>
    <t>NAGWA IBRAHIM MOSSAD ELHALAWANICredit</t>
  </si>
  <si>
    <t>HAMED HASSAN ALI ALBARGICash</t>
  </si>
  <si>
    <t>HAMED HASSAN ALI ALBARGICredit</t>
  </si>
  <si>
    <t>MOSTAFA MAHMOUD SALAMA SALAMACash</t>
  </si>
  <si>
    <t>MOSTAFA MAHMOUD SALAMA SALAMACredit</t>
  </si>
  <si>
    <t>AMEEN AHMED  ALSAGGAFCash</t>
  </si>
  <si>
    <t>AMEEN AHMED  ALSAGGAFCredit</t>
  </si>
  <si>
    <t>OSAMA AHMED BADAWY MOAWADCash</t>
  </si>
  <si>
    <t>OSAMA AHMED BADAWY MOAWADCredit</t>
  </si>
  <si>
    <t>IBRAHIM HUSSEIN IBRAHIM ELATTARCash</t>
  </si>
  <si>
    <t>IBRAHIM HUSSEIN IBRAHIM ELATTARCredit</t>
  </si>
  <si>
    <t>ALI ABDALRHMAN MOHMMAD ALBARAKATICash</t>
  </si>
  <si>
    <t>ALI ABDALRHMAN MOHMMAD ALBARAKATICredit</t>
  </si>
  <si>
    <t>MAHMOUD HAMDY REZG EIDCash</t>
  </si>
  <si>
    <t>MAHMOUD HAMDY REZG EIDCredit</t>
  </si>
  <si>
    <t>EMAN FAROUK OSMAN ELSAFTYCash</t>
  </si>
  <si>
    <t>EMAN FAROUK OSMAN ELSAFTYCredit</t>
  </si>
  <si>
    <t>MONA ABDELSABOUR A. SOLIMANCash</t>
  </si>
  <si>
    <t>MONA ABDELSABOUR A. SOLIMANCredit</t>
  </si>
  <si>
    <t>MOHAMED AHMED ISMAIL NASRCash</t>
  </si>
  <si>
    <t>MOHAMED AHMED ISMAIL NASRCredit</t>
  </si>
  <si>
    <t>WALEED ELSAYED A. ALICash</t>
  </si>
  <si>
    <t>WALEED ELSAYED A. ALICredit</t>
  </si>
  <si>
    <t>KHAIRYA MOHAMMED ALI MOUSSACash</t>
  </si>
  <si>
    <t>KHAIRYA MOHAMMED ALI MOUSSACredit</t>
  </si>
  <si>
    <t>ABDELSALAM AHMED AHAMD ELASHRYCash</t>
  </si>
  <si>
    <t>ABDELSALAM AHMED AHAMD ELASHRYCredit</t>
  </si>
  <si>
    <t>KHALED GOMAA MOHAMED ALAMELDEENCash</t>
  </si>
  <si>
    <t>KHALED GOMAA MOHAMED ALAMELDEENCredit</t>
  </si>
  <si>
    <t>EX   ANESTHESIACash</t>
  </si>
  <si>
    <t>EX   ANESTHESIACredit</t>
  </si>
  <si>
    <t>MOHAMED GALAL IBRAHEEM ABOELSOUD GALALCash</t>
  </si>
  <si>
    <t>MOHAMED GALAL IBRAHEEM ABOELSOUD GALALCredit</t>
  </si>
  <si>
    <t>RAED SHABAAN ELSAYED ALICash</t>
  </si>
  <si>
    <t>RAED SHABAAN ELSAYED ALICredit</t>
  </si>
  <si>
    <t>SARA MOHAMED SAID SOLIMANCash</t>
  </si>
  <si>
    <t>SARA MOHAMED SAID SOLIMANCredit</t>
  </si>
  <si>
    <t>AKRAM MAGED S. ALMADHOUNCash</t>
  </si>
  <si>
    <t>AKRAM MAGED S. ALMADHOUNCredit</t>
  </si>
  <si>
    <t>ALI ABDULHAMID  ABDULRAHMANCash</t>
  </si>
  <si>
    <t>ALI ABDULHAMID  ABDULRAHMANCredit</t>
  </si>
  <si>
    <t>IBRAHIM NAEEM YOUSEF ALBAYYOUKCash</t>
  </si>
  <si>
    <t>IBRAHIM NAEEM YOUSEF ALBAYYOUKCredit</t>
  </si>
  <si>
    <t>EMAN ABDELAZIZ M. SOLIMANCash</t>
  </si>
  <si>
    <t>EMAN ABDELAZIZ M. SOLIMANCredit</t>
  </si>
  <si>
    <t>IBRAHIM HASSAN IBRAHIM EIDCash</t>
  </si>
  <si>
    <t>IBRAHIM HASSAN IBRAHIM EIDCredit</t>
  </si>
  <si>
    <t>ALIAA MAHMOUD S ELMADBOULYCash</t>
  </si>
  <si>
    <t>ALIAA MAHMOUD S ELMADBOULYCredit</t>
  </si>
  <si>
    <t>AHMED HASSAN AHMED ELSHAHRICash</t>
  </si>
  <si>
    <t>AHMED HASSAN AHMED ELSHAHRICredit</t>
  </si>
  <si>
    <t>ALI MOHAMED ABDELHADY ELHABETCash</t>
  </si>
  <si>
    <t>ALI MOHAMED ABDELHADY ELHABETCredit</t>
  </si>
  <si>
    <t>ELSAYED EBRAHEM ELSAYED ABOASICash</t>
  </si>
  <si>
    <t>ELSAYED EBRAHEM ELSAYED ABOASICredit</t>
  </si>
  <si>
    <t>REDA ABDELAZIM M. YOUSSEFCash</t>
  </si>
  <si>
    <t>REDA ABDELAZIM M. YOUSSEFCredit</t>
  </si>
  <si>
    <t>IQAMA   CONS.Cash</t>
  </si>
  <si>
    <t>IQAMA   CONS.Credit</t>
  </si>
  <si>
    <t>MOSAB IBRAHEIM H. SALEHCash</t>
  </si>
  <si>
    <t>MOSAB IBRAHEIM H. SALEHCredit</t>
  </si>
  <si>
    <t>YOSRA SAEED ABDELMAEWLA REZKCash</t>
  </si>
  <si>
    <t>YOSRA SAEED ABDELMAEWLA REZKCredit</t>
  </si>
  <si>
    <t>AHMED ABDELBASET ELSAYED ABOELNOURCash</t>
  </si>
  <si>
    <t>AHMED ABDELBASET ELSAYED ABOELNOURCredit</t>
  </si>
  <si>
    <t>ELHENDAWI MANSOUR ISSA ABDELKHALEKCash</t>
  </si>
  <si>
    <t>ELHENDAWI MANSOUR ISSA ABDELKHALEKCredit</t>
  </si>
  <si>
    <t>AHMAD MARI MOHAMMED THABITCash</t>
  </si>
  <si>
    <t>AHMAD MARI MOHAMMED THABITCredit</t>
  </si>
  <si>
    <t>NEHAL NAGDY M. ZEDANCash</t>
  </si>
  <si>
    <t>NEHAL NAGDY M. ZEDANCredit</t>
  </si>
  <si>
    <t>SARA MAHFOUZ HAFEZ YEHIACash</t>
  </si>
  <si>
    <t>SARA MAHFOUZ HAFEZ YEHIACredit</t>
  </si>
  <si>
    <t>ELHAM HASSAN SALEH ABDELGAWADCash</t>
  </si>
  <si>
    <t>ELHAM HASSAN SALEH ABDELGAWADCredit</t>
  </si>
  <si>
    <t>SARA HUSSEIN MAHMOUD ABDELWAHABCash</t>
  </si>
  <si>
    <t>SARA HUSSEIN MAHMOUD ABDELWAHABCredit</t>
  </si>
  <si>
    <t>MAHMOUD ADNAN  ABUDEEBACash</t>
  </si>
  <si>
    <t>MAHMOUD ADNAN  ABUDEEBACredit</t>
  </si>
  <si>
    <t>ASMAA ABDELNABI ABDELAAL KHEDRCash</t>
  </si>
  <si>
    <t>ASMAA ABDELNABI ABDELAAL KHEDRCredit</t>
  </si>
  <si>
    <t>MAHA AHMED MOHAMED ZAMARACash</t>
  </si>
  <si>
    <t>MAHA AHMED MOHAMED ZAMARACredit</t>
  </si>
  <si>
    <t>MOHAMMED FIKRY A. SHABANACash</t>
  </si>
  <si>
    <t>MOHAMMED FIKRY A. SHABANACredit</t>
  </si>
  <si>
    <t>WALAA MOHAMED I. ALHANAFYCash</t>
  </si>
  <si>
    <t>WALAA MOHAMED I. ALHANAFYCredit</t>
  </si>
  <si>
    <t>EX.   PHYSIOTHERAPYCash</t>
  </si>
  <si>
    <t>EX.   PHYSIOTHERAPYCredit</t>
  </si>
  <si>
    <t>MOHAMMED MOUSTAFA MOUSTAFA ELASKARYCash</t>
  </si>
  <si>
    <t>MOHAMMED MOUSTAFA MOUSTAFA ELASKARYCredit</t>
  </si>
  <si>
    <t>MOHAMMED MAHMOUD ARAFAT AWAGACash</t>
  </si>
  <si>
    <t>MOHAMMED MAHMOUD ARAFAT AWAGACredit</t>
  </si>
  <si>
    <t>SHAYMAA MAHMOUD AMIN AYOUBCash</t>
  </si>
  <si>
    <t>SHAYMAA MAHMOUD AMIN AYOUBCredit</t>
  </si>
  <si>
    <t>NASSER MOHAMAD EZZELDEN FARGCash</t>
  </si>
  <si>
    <t>NASSER MOHAMAD EZZELDEN FARGCredit</t>
  </si>
  <si>
    <t>KHALID MOHAMMED ABDALLAH ABDALHADICash</t>
  </si>
  <si>
    <t>KHALID MOHAMMED ABDALLAH ABDALHADICredit</t>
  </si>
  <si>
    <t>MAALI ISMAIL M. SHARAFELDIN</t>
  </si>
  <si>
    <t>MAALI ISMAIL M. SHARAFELDINCash</t>
  </si>
  <si>
    <t>MAALI ISMAIL M. SHARAFELDINCredit</t>
  </si>
  <si>
    <t>AMR MANSOUR M. HASSAN</t>
  </si>
  <si>
    <t>AMR MANSOUR M. HASSANCash</t>
  </si>
  <si>
    <t>AMR MANSOUR M. HASSANCredit</t>
  </si>
  <si>
    <t>NAHED SAMY S. SHEDEED</t>
  </si>
  <si>
    <t>NAHED SAMY S. SHEDEEDCash</t>
  </si>
  <si>
    <t>NAHED SAMY S. SHEDEEDCredit</t>
  </si>
  <si>
    <t>Ramadan Growth %</t>
  </si>
  <si>
    <t>DENTAL SERVICES</t>
  </si>
  <si>
    <t>ABDELHAMID MOHAMED ABDELHAMID YOUSIFCash</t>
  </si>
  <si>
    <t>ABDELHAMID MOHAMED ABDELHAMID YOUSIFCredit</t>
  </si>
  <si>
    <t>ADEL  MOHAMMED TAWFIK SCREENINGCash</t>
  </si>
  <si>
    <t>ADEL  MOHAMMED TAWFIK SCREENINGCredit</t>
  </si>
  <si>
    <t>ADEL MOHAMED TAWFIK ABDELRAHMANCash</t>
  </si>
  <si>
    <t>ADEL MOHAMED TAWFIK ABDELRAHMANCredit</t>
  </si>
  <si>
    <t>Ahmed Mohamed Abdelrazek MohamedCash</t>
  </si>
  <si>
    <t>Ahmed Mohamed Abdelrazek MohamedCredit</t>
  </si>
  <si>
    <t>AMANI ALI ELHEFNI ABDELGHANICash</t>
  </si>
  <si>
    <t>AMANI ALI ELHEFNI ABDELGHANICredit</t>
  </si>
  <si>
    <t>Amany Hassan Elmansour ElhamamyCash</t>
  </si>
  <si>
    <t>Amany Hassan Elmansour ElhamamyCredit</t>
  </si>
  <si>
    <t>Asmaa Gumah Yousf AbdelmenemCash</t>
  </si>
  <si>
    <t>Asmaa Gumah Yousf AbdelmenemCredit</t>
  </si>
  <si>
    <t>Badr Saleh Mohamed SaadawiCash</t>
  </si>
  <si>
    <t>Badr Saleh Mohamed SaadawiCredit</t>
  </si>
  <si>
    <t>clarity Lase Laser DoctorCash</t>
  </si>
  <si>
    <t>clarity Lase Laser DoctorCredit</t>
  </si>
  <si>
    <t>Doctor Amira HomeCare ERCash</t>
  </si>
  <si>
    <t>Doctor Amira HomeCare ERCredit</t>
  </si>
  <si>
    <t>DR SCREENING CLINICCash</t>
  </si>
  <si>
    <t>DR SCREENING CLINICCredit</t>
  </si>
  <si>
    <t>DR SNB Dental ScreeningCash</t>
  </si>
  <si>
    <t>DR SNB Dental ScreeningCredit</t>
  </si>
  <si>
    <t>EIHAB ABDELSAMAD MOHAMED ALBADAWYCash</t>
  </si>
  <si>
    <t>EIHAB ABDELSAMAD MOHAMED ALBADAWYCredit</t>
  </si>
  <si>
    <t>Elham Gamal Eldeen ShaheenCash</t>
  </si>
  <si>
    <t>Elham Gamal Eldeen ShaheenCredit</t>
  </si>
  <si>
    <t>EMAN  FAROUK OSMAN  ELSAFTYCash</t>
  </si>
  <si>
    <t>EMAN  FAROUK OSMAN  ELSAFTYCredit</t>
  </si>
  <si>
    <t>Eman AbdElAziz Mohamed SolimanCash</t>
  </si>
  <si>
    <t>Eman AbdElAziz Mohamed SolimanCredit</t>
  </si>
  <si>
    <t>EX   EMERGENCYCash</t>
  </si>
  <si>
    <t>EX   EMERGENCYCredit</t>
  </si>
  <si>
    <t>EX.   DOCTOR ( OUT PATIENT )Cash</t>
  </si>
  <si>
    <t>EX.   DOCTOR ( OUT PATIENT )Credit</t>
  </si>
  <si>
    <t>FATMAH ABDULRAHMAN ABDULLAH ASHYCash</t>
  </si>
  <si>
    <t>FATMAH ABDULRAHMAN ABDULLAH ASHYCredit</t>
  </si>
  <si>
    <t>Gentle lase Laser DoctorCash</t>
  </si>
  <si>
    <t>Gentle lase Laser DoctorCredit</t>
  </si>
  <si>
    <t>Ghada AbdelRahman Elsaid Al MashadCash</t>
  </si>
  <si>
    <t>Ghada AbdelRahman Elsaid Al MashadCredit</t>
  </si>
  <si>
    <t>Hend Waleed Mohammed BahakeemCash</t>
  </si>
  <si>
    <t>Hend Waleed Mohammed BahakeemCredit</t>
  </si>
  <si>
    <t>HOME   CARECash</t>
  </si>
  <si>
    <t>HOME   CARECredit</t>
  </si>
  <si>
    <t>HUDA ABDULLAH  ABUSANGACash</t>
  </si>
  <si>
    <t>HUDA ABDULLAH  ABUSANGACredit</t>
  </si>
  <si>
    <t>IBRAHEM AHMED SAYED FARAJCash</t>
  </si>
  <si>
    <t>IBRAHEM AHMED SAYED FARAJCredit</t>
  </si>
  <si>
    <t>KHALID ABDUALAZYZ ABULLATTIF ABDUALTEFCash</t>
  </si>
  <si>
    <t>KHALID ABDUALAZYZ ABULLATTIF ABDUALTEFCredit</t>
  </si>
  <si>
    <t>Lab Clinic DoctorCash</t>
  </si>
  <si>
    <t>Lab Clinic DoctorCredit</t>
  </si>
  <si>
    <t>LAMYAA MAHMOUD NASR ELKANANICash</t>
  </si>
  <si>
    <t>LAMYAA MAHMOUD NASR ELKANANICredit</t>
  </si>
  <si>
    <t>MAHMOUD ALI ALI ABOHASANCash</t>
  </si>
  <si>
    <t>MAHMOUD ALI ALI ABOHASANCredit</t>
  </si>
  <si>
    <t>Manal Fawzy Mohamed AhmedCash</t>
  </si>
  <si>
    <t>Manal Fawzy Mohamed AhmedCredit</t>
  </si>
  <si>
    <t>MENNATALLAH ZAKARIA ZAKARIA ABDELGHAFOURCash</t>
  </si>
  <si>
    <t>MENNATALLAH ZAKARIA ZAKARIA ABDELGHAFOURCredit</t>
  </si>
  <si>
    <t>MOAMEN AHMED MOHAMED MEKAWYCash</t>
  </si>
  <si>
    <t>MOAMEN AHMED MOHAMED MEKAWYCredit</t>
  </si>
  <si>
    <t>MOHAMED ABDELWADOD ABDIN FADULCash</t>
  </si>
  <si>
    <t>MOHAMED ABDELWADOD ABDIN FADULCredit</t>
  </si>
  <si>
    <t>Mohamed Mohamed Ibrahim ElkhayatCash</t>
  </si>
  <si>
    <t>Mohamed Mohamed Ibrahim ElkhayatCredit</t>
  </si>
  <si>
    <t>MOHAMMED HASSAN EMAM NASSARCash</t>
  </si>
  <si>
    <t>MOHAMMED HASSAN EMAM NASSARCredit</t>
  </si>
  <si>
    <t>MONA MAHMOUD ABDULRAHMAN AL AWADICash</t>
  </si>
  <si>
    <t>MONA MAHMOUD ABDULRAHMAN AL AWADICredit</t>
  </si>
  <si>
    <t>Mosab Ibrahim Hassan SalehCash</t>
  </si>
  <si>
    <t>Mosab Ibrahim Hassan SalehCredit</t>
  </si>
  <si>
    <t>NABILA TAHA ALI SAFANCash</t>
  </si>
  <si>
    <t>NABILA TAHA ALI SAFANCredit</t>
  </si>
  <si>
    <t>NADA MOHAMED RATEB JAWISHCash</t>
  </si>
  <si>
    <t>NADA MOHAMED RATEB JAWISHCredit</t>
  </si>
  <si>
    <t>NORAH ABDULLAH AL ZUBAIDY AL ZUBAIDYCash</t>
  </si>
  <si>
    <t>NORAH ABDULLAH AL ZUBAIDY AL ZUBAIDYCredit</t>
  </si>
  <si>
    <t>Not SpecifiedCash</t>
  </si>
  <si>
    <t>Not SpecifiedCredit</t>
  </si>
  <si>
    <t>NUHA ABUBAKER ABDULLAH ALKAFFCash</t>
  </si>
  <si>
    <t>NUHA ABUBAKER ABDULLAH ALKAFFCredit</t>
  </si>
  <si>
    <t>Rabab Masoud AbdelWahedCash</t>
  </si>
  <si>
    <t>Rabab Masoud AbdelWahedCredit</t>
  </si>
  <si>
    <t>Raed Shabaan El Sayed AliCash</t>
  </si>
  <si>
    <t>Raed Shabaan El Sayed AliCredit</t>
  </si>
  <si>
    <t>Safa El saidCash</t>
  </si>
  <si>
    <t>Safa El saidCredit</t>
  </si>
  <si>
    <t>Samah Mohamed MegahedCash</t>
  </si>
  <si>
    <t>Samah Mohamed MegahedCredit</t>
  </si>
  <si>
    <t>Sarah Moustafa Hussein ElHomosanyCash</t>
  </si>
  <si>
    <t>Sarah Moustafa Hussein ElHomosanyCredit</t>
  </si>
  <si>
    <t>SHAIMAA ATTIA ABOUOUF NEGMCash</t>
  </si>
  <si>
    <t>SHAIMAA ATTIA ABOUOUF NEGMCredit</t>
  </si>
  <si>
    <t>SNB Home Care ServicesCash</t>
  </si>
  <si>
    <t>SNB Home Care ServicesCredit</t>
  </si>
  <si>
    <t>Soha Moneir Abedllatief AboelleilCash</t>
  </si>
  <si>
    <t>Soha Moneir Abedllatief AboelleilCredit</t>
  </si>
  <si>
    <t>TRAD KHALED A. ALSHADUKICash</t>
  </si>
  <si>
    <t>TRAD KHALED A. ALSHADUKICredit</t>
  </si>
  <si>
    <t>Walaa Ahmed ElsadanyCash</t>
  </si>
  <si>
    <t>Walaa Ahmed ElsadanyCredit</t>
  </si>
  <si>
    <t>WALAA RAMADAN ABD ELSALHIN SAADCash</t>
  </si>
  <si>
    <t>WALAA RAMADAN ABD ELSALHIN SAADCredit</t>
  </si>
  <si>
    <t>YASMIN IBRAHIM ABDELWAHED AHMEDCash</t>
  </si>
  <si>
    <t>YASMIN IBRAHIM ABDELWAHED AHMEDCredit</t>
  </si>
  <si>
    <t>TRAD KHALED SCREENINGCash</t>
  </si>
  <si>
    <t>TRAD KHALED SCREENINGCredit</t>
  </si>
  <si>
    <t>ELHAM MUSTAFA MELOUD NAMIR</t>
  </si>
  <si>
    <t>Rola Maher Hamza Mourad</t>
  </si>
  <si>
    <t>E E G</t>
  </si>
  <si>
    <t>Amira Fathy Rafaat Abdelhamed</t>
  </si>
  <si>
    <t>Amira Fathy Rafaat AbdelhamedCash</t>
  </si>
  <si>
    <t>Amira Fathy Rafaat AbdelhamedCredit</t>
  </si>
  <si>
    <t xml:space="preserve">Pharmacy </t>
  </si>
  <si>
    <t>Pharmacy Cash</t>
  </si>
  <si>
    <t>Pharmacy Credit</t>
  </si>
  <si>
    <t>Tahani Abid Omar AlGaizani</t>
  </si>
  <si>
    <t>Tahani Abid Omar AlGaizaniCash</t>
  </si>
  <si>
    <t>Tahani Abid Omar AlGaizaniCredit</t>
  </si>
  <si>
    <t>AHMED MOHAMED MOHAMED ABDELRAZEK</t>
  </si>
  <si>
    <t>SHAIMAA MOAWAD HAMID ELKHOLY</t>
  </si>
  <si>
    <t>SHAIMAA MOAWAD HAMID ELKHOLYCash</t>
  </si>
  <si>
    <t>SHAIMAA MOAWAD HAMID ELKHOLYCredit</t>
  </si>
  <si>
    <t>Tuesday, 17 May 2022</t>
  </si>
  <si>
    <t>MOSAB IBRAHEM  SALEH</t>
  </si>
  <si>
    <t>MOSAB IBRAHEM  SALEHCash</t>
  </si>
  <si>
    <t>MOSAB IBRAHEM  SALEHCredit</t>
  </si>
  <si>
    <t xml:space="preserve">Endocrinology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</si>
</sst>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0.000"/>
  </numFmts>
  <fonts count="27" x14ac:knownFonts="1">
    <font>
      <sz val="11"/>
      <color theme="1"/>
      <name val="Calibri"/>
      <family val="2"/>
      <scheme val="minor"/>
    </font>
    <font>
      <sz val="11"/>
      <color theme="1"/>
      <name val="Calibri"/>
      <family val="2"/>
      <scheme val="minor"/>
    </font>
    <font>
      <sz val="11"/>
      <color rgb="FFFF0000"/>
      <name val="Calibri"/>
      <family val="2"/>
      <scheme val="minor"/>
    </font>
    <font>
      <b/>
      <sz val="12"/>
      <color theme="0"/>
      <name val="Calibri"/>
      <family val="2"/>
      <scheme val="minor"/>
    </font>
    <font>
      <b/>
      <sz val="12"/>
      <color theme="1"/>
      <name val="Calibri"/>
      <family val="2"/>
      <scheme val="minor"/>
    </font>
    <font>
      <sz val="10"/>
      <color rgb="FFFF0000"/>
      <name val="Calibri"/>
      <family val="2"/>
      <scheme val="minor"/>
    </font>
    <font>
      <sz val="10"/>
      <color theme="1"/>
      <name val="Calibri"/>
      <family val="2"/>
      <scheme val="minor"/>
    </font>
    <font>
      <b/>
      <sz val="10"/>
      <color theme="0"/>
      <name val="Calibri"/>
      <family val="2"/>
      <scheme val="minor"/>
    </font>
    <font>
      <b/>
      <sz val="9"/>
      <color theme="1"/>
      <name val="Calibri"/>
      <family val="2"/>
      <scheme val="minor"/>
    </font>
    <font>
      <sz val="10"/>
      <color theme="0"/>
      <name val="Calibri"/>
      <family val="2"/>
      <scheme val="minor"/>
    </font>
    <font>
      <sz val="11"/>
      <color theme="0" tint="-4.9989318521683403E-2"/>
      <name val="Calibri"/>
      <family val="2"/>
      <scheme val="minor"/>
    </font>
    <font>
      <sz val="9"/>
      <color theme="1"/>
      <name val="Calibri"/>
      <family val="2"/>
      <scheme val="minor"/>
    </font>
    <font>
      <sz val="9"/>
      <color theme="0"/>
      <name val="Calibri"/>
      <family val="2"/>
      <scheme val="minor"/>
    </font>
    <font>
      <b/>
      <sz val="9"/>
      <color theme="0"/>
      <name val="Calibri"/>
      <family val="2"/>
      <scheme val="minor"/>
    </font>
    <font>
      <sz val="10"/>
      <color theme="0" tint="-4.9989318521683403E-2"/>
      <name val="Calibri"/>
      <family val="2"/>
      <scheme val="minor"/>
    </font>
    <font>
      <b/>
      <sz val="20"/>
      <color theme="0"/>
      <name val="Calibri"/>
      <family val="2"/>
      <scheme val="minor"/>
    </font>
    <font>
      <b/>
      <sz val="11"/>
      <color theme="0"/>
      <name val="Calibri"/>
      <family val="2"/>
      <scheme val="minor"/>
    </font>
    <font>
      <sz val="11"/>
      <color theme="0"/>
      <name val="Calibri"/>
      <family val="2"/>
      <scheme val="minor"/>
    </font>
    <font>
      <b/>
      <sz val="8"/>
      <color theme="1"/>
      <name val="Calibri"/>
      <family val="2"/>
      <scheme val="minor"/>
    </font>
    <font>
      <sz val="9"/>
      <color theme="0" tint="-4.9989318521683403E-2"/>
      <name val="Calibri"/>
      <family val="2"/>
      <scheme val="minor"/>
    </font>
    <font>
      <sz val="8"/>
      <color theme="1"/>
      <name val="Calibri"/>
      <family val="2"/>
      <scheme val="minor"/>
    </font>
    <font>
      <b/>
      <sz val="10"/>
      <color theme="1"/>
      <name val="Calibri"/>
      <family val="2"/>
      <scheme val="minor"/>
    </font>
    <font>
      <sz val="11"/>
      <name val="Calibri"/>
      <family val="2"/>
      <scheme val="minor"/>
    </font>
    <font>
      <sz val="10"/>
      <name val="Calibri"/>
      <family val="2"/>
      <scheme val="minor"/>
    </font>
    <font>
      <sz val="10"/>
      <color theme="0" tint="-0.14999847407452621"/>
      <name val="Calibri"/>
      <family val="2"/>
      <scheme val="minor"/>
    </font>
    <font>
      <sz val="9"/>
      <color theme="0" tint="-0.14999847407452621"/>
      <name val="Calibri"/>
      <family val="2"/>
      <scheme val="minor"/>
    </font>
    <font>
      <sz val="11"/>
      <color rgb="FF000000"/>
      <name val="Calibri"/>
      <family val="2"/>
    </font>
  </fonts>
  <fills count="9">
    <fill>
      <patternFill patternType="none"/>
    </fill>
    <fill>
      <patternFill patternType="gray125"/>
    </fill>
    <fill>
      <patternFill patternType="solid">
        <fgColor rgb="FF002060"/>
        <bgColor indexed="64"/>
      </patternFill>
    </fill>
    <fill>
      <patternFill patternType="solid">
        <fgColor theme="0" tint="-0.249977111117893"/>
        <bgColor indexed="64"/>
      </patternFill>
    </fill>
    <fill>
      <patternFill patternType="solid">
        <fgColor theme="2" tint="-0.749992370372631"/>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59999389629810485"/>
        <bgColor indexed="64"/>
      </patternFill>
    </fill>
  </fills>
  <borders count="15">
    <border>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51">
    <xf numFmtId="0" fontId="0" fillId="0" borderId="0" xfId="0"/>
    <xf numFmtId="0" fontId="2" fillId="0" borderId="0" xfId="0" applyFont="1"/>
    <xf numFmtId="0" fontId="5" fillId="0" borderId="0" xfId="0" applyFont="1"/>
    <xf numFmtId="0" fontId="6" fillId="0" borderId="0" xfId="0" applyFont="1"/>
    <xf numFmtId="17" fontId="7" fillId="5" borderId="5" xfId="1" applyNumberFormat="1" applyFont="1" applyFill="1" applyBorder="1" applyAlignment="1">
      <alignment horizontal="center" vertical="center"/>
    </xf>
    <xf numFmtId="0" fontId="8" fillId="6" borderId="5" xfId="0" applyFont="1" applyFill="1" applyBorder="1" applyAlignment="1">
      <alignment horizontal="center" vertical="center"/>
    </xf>
    <xf numFmtId="38" fontId="8" fillId="6" borderId="5" xfId="0" applyNumberFormat="1" applyFont="1" applyFill="1" applyBorder="1" applyAlignment="1">
      <alignment horizontal="center" vertical="center"/>
    </xf>
    <xf numFmtId="9" fontId="8" fillId="6" borderId="5" xfId="0" applyNumberFormat="1" applyFont="1" applyFill="1" applyBorder="1" applyAlignment="1">
      <alignment horizontal="center" vertical="center"/>
    </xf>
    <xf numFmtId="9" fontId="8" fillId="6" borderId="5" xfId="2" applyFont="1" applyFill="1" applyBorder="1" applyAlignment="1">
      <alignment horizontal="center" vertical="center"/>
    </xf>
    <xf numFmtId="9" fontId="9" fillId="0" borderId="0" xfId="0" applyNumberFormat="1" applyFont="1"/>
    <xf numFmtId="3" fontId="8" fillId="6" borderId="5" xfId="1" applyNumberFormat="1" applyFont="1" applyFill="1" applyBorder="1" applyAlignment="1">
      <alignment horizontal="center" vertical="center"/>
    </xf>
    <xf numFmtId="3" fontId="8" fillId="6" borderId="5" xfId="0" applyNumberFormat="1" applyFont="1" applyFill="1" applyBorder="1" applyAlignment="1">
      <alignment horizontal="center" vertical="center"/>
    </xf>
    <xf numFmtId="0" fontId="10" fillId="0" borderId="0" xfId="0" applyFont="1"/>
    <xf numFmtId="0" fontId="9" fillId="0" borderId="0" xfId="0" applyFont="1"/>
    <xf numFmtId="3" fontId="8" fillId="7" borderId="5" xfId="1" applyNumberFormat="1" applyFont="1" applyFill="1" applyBorder="1" applyAlignment="1">
      <alignment horizontal="center" vertical="center"/>
    </xf>
    <xf numFmtId="38" fontId="8" fillId="7" borderId="5" xfId="0" applyNumberFormat="1" applyFont="1" applyFill="1" applyBorder="1" applyAlignment="1">
      <alignment horizontal="center" vertical="center"/>
    </xf>
    <xf numFmtId="0" fontId="0" fillId="7" borderId="0" xfId="0" applyFill="1"/>
    <xf numFmtId="9" fontId="8" fillId="7" borderId="5" xfId="2" applyFont="1" applyFill="1" applyBorder="1" applyAlignment="1">
      <alignment horizontal="center" vertical="center"/>
    </xf>
    <xf numFmtId="0" fontId="13" fillId="2" borderId="10" xfId="0" applyFont="1" applyFill="1" applyBorder="1" applyAlignment="1">
      <alignment horizontal="center" vertical="center"/>
    </xf>
    <xf numFmtId="17" fontId="13" fillId="2" borderId="1" xfId="1" applyNumberFormat="1" applyFont="1" applyFill="1" applyBorder="1" applyAlignment="1">
      <alignment horizontal="center" vertical="center"/>
    </xf>
    <xf numFmtId="17" fontId="13" fillId="5" borderId="5" xfId="1" applyNumberFormat="1" applyFont="1" applyFill="1" applyBorder="1" applyAlignment="1">
      <alignment horizontal="center" vertical="center"/>
    </xf>
    <xf numFmtId="0" fontId="8" fillId="7" borderId="5" xfId="0" applyFont="1" applyFill="1" applyBorder="1" applyAlignment="1">
      <alignment horizontal="center" vertical="center"/>
    </xf>
    <xf numFmtId="9" fontId="8" fillId="7" borderId="5" xfId="0" applyNumberFormat="1" applyFont="1" applyFill="1" applyBorder="1" applyAlignment="1">
      <alignment horizontal="center" vertical="center"/>
    </xf>
    <xf numFmtId="0" fontId="8" fillId="6" borderId="5" xfId="0" applyFont="1" applyFill="1" applyBorder="1" applyAlignment="1">
      <alignment horizontal="center"/>
    </xf>
    <xf numFmtId="9" fontId="5" fillId="0" borderId="0" xfId="0" applyNumberFormat="1" applyFont="1"/>
    <xf numFmtId="9" fontId="12" fillId="0" borderId="0" xfId="0" applyNumberFormat="1" applyFont="1"/>
    <xf numFmtId="3" fontId="11" fillId="0" borderId="0" xfId="0" applyNumberFormat="1" applyFont="1"/>
    <xf numFmtId="0" fontId="0" fillId="0" borderId="0" xfId="0" quotePrefix="1"/>
    <xf numFmtId="0" fontId="14" fillId="0" borderId="0" xfId="0" applyFont="1"/>
    <xf numFmtId="3" fontId="8" fillId="7" borderId="5" xfId="0" applyNumberFormat="1" applyFont="1" applyFill="1" applyBorder="1" applyAlignment="1">
      <alignment horizontal="center" vertical="center"/>
    </xf>
    <xf numFmtId="14" fontId="14" fillId="0" borderId="0" xfId="0" applyNumberFormat="1" applyFont="1"/>
    <xf numFmtId="17" fontId="8" fillId="6" borderId="5" xfId="0" applyNumberFormat="1" applyFont="1" applyFill="1" applyBorder="1" applyAlignment="1">
      <alignment horizontal="center" vertical="center"/>
    </xf>
    <xf numFmtId="9" fontId="6" fillId="0" borderId="0" xfId="0" applyNumberFormat="1" applyFont="1"/>
    <xf numFmtId="0" fontId="0" fillId="0" borderId="0" xfId="0" applyAlignment="1">
      <alignment horizontal="center" vertical="center"/>
    </xf>
    <xf numFmtId="164" fontId="0" fillId="0" borderId="4" xfId="0" applyNumberFormat="1" applyBorder="1" applyAlignment="1">
      <alignment horizontal="center" vertical="center"/>
    </xf>
    <xf numFmtId="0" fontId="6" fillId="0" borderId="4" xfId="0" applyFont="1" applyBorder="1"/>
    <xf numFmtId="165" fontId="17" fillId="0" borderId="0" xfId="0" applyNumberFormat="1" applyFont="1"/>
    <xf numFmtId="0" fontId="8" fillId="7" borderId="5" xfId="0" applyFont="1" applyFill="1" applyBorder="1" applyAlignment="1">
      <alignment horizontal="center"/>
    </xf>
    <xf numFmtId="38" fontId="8" fillId="8" borderId="5" xfId="0" applyNumberFormat="1" applyFont="1" applyFill="1" applyBorder="1" applyAlignment="1">
      <alignment horizontal="center" vertical="center"/>
    </xf>
    <xf numFmtId="9" fontId="8" fillId="8" borderId="5" xfId="0" applyNumberFormat="1" applyFont="1" applyFill="1" applyBorder="1" applyAlignment="1">
      <alignment horizontal="center" vertical="center"/>
    </xf>
    <xf numFmtId="9" fontId="8" fillId="8" borderId="5" xfId="2" applyFont="1" applyFill="1" applyBorder="1" applyAlignment="1">
      <alignment horizontal="center" vertical="center"/>
    </xf>
    <xf numFmtId="0" fontId="8" fillId="7" borderId="0" xfId="0" applyFont="1" applyFill="1" applyAlignment="1">
      <alignment horizontal="center"/>
    </xf>
    <xf numFmtId="38" fontId="8" fillId="0" borderId="0" xfId="0" applyNumberFormat="1" applyFont="1" applyAlignment="1">
      <alignment horizontal="center" vertical="center"/>
    </xf>
    <xf numFmtId="165" fontId="8" fillId="0" borderId="0" xfId="1" applyNumberFormat="1" applyFont="1" applyBorder="1" applyAlignment="1">
      <alignment horizontal="center" vertical="center"/>
    </xf>
    <xf numFmtId="165" fontId="8" fillId="7" borderId="0" xfId="1" applyNumberFormat="1" applyFont="1" applyFill="1" applyBorder="1" applyAlignment="1">
      <alignment horizontal="center" vertical="center"/>
    </xf>
    <xf numFmtId="38" fontId="8" fillId="7" borderId="0" xfId="0" applyNumberFormat="1" applyFont="1" applyFill="1" applyAlignment="1">
      <alignment horizontal="center" vertical="center"/>
    </xf>
    <xf numFmtId="38" fontId="18" fillId="0" borderId="0" xfId="0" applyNumberFormat="1" applyFont="1" applyAlignment="1">
      <alignment horizontal="center" vertical="center"/>
    </xf>
    <xf numFmtId="9" fontId="8" fillId="0" borderId="0" xfId="2" applyFont="1" applyBorder="1" applyAlignment="1">
      <alignment horizontal="center" vertical="center"/>
    </xf>
    <xf numFmtId="165" fontId="19" fillId="0" borderId="0" xfId="1" applyNumberFormat="1" applyFont="1" applyBorder="1" applyAlignment="1">
      <alignment horizontal="center" vertical="center"/>
    </xf>
    <xf numFmtId="38" fontId="20" fillId="0" borderId="0" xfId="0" applyNumberFormat="1" applyFont="1" applyAlignment="1">
      <alignment horizontal="center" vertical="center"/>
    </xf>
    <xf numFmtId="9" fontId="11" fillId="0" borderId="0" xfId="2" applyFont="1" applyBorder="1" applyAlignment="1">
      <alignment horizontal="center" vertical="center"/>
    </xf>
    <xf numFmtId="38" fontId="0" fillId="0" borderId="0" xfId="0" applyNumberFormat="1"/>
    <xf numFmtId="3" fontId="8" fillId="6" borderId="5" xfId="0" applyNumberFormat="1" applyFont="1" applyFill="1" applyBorder="1" applyAlignment="1">
      <alignment horizontal="center"/>
    </xf>
    <xf numFmtId="165" fontId="8" fillId="6" borderId="5" xfId="1" applyNumberFormat="1" applyFont="1" applyFill="1" applyBorder="1" applyAlignment="1">
      <alignment horizontal="center" vertical="center"/>
    </xf>
    <xf numFmtId="0" fontId="16" fillId="0" borderId="0" xfId="0" applyFont="1"/>
    <xf numFmtId="1" fontId="16" fillId="0" borderId="0" xfId="0" applyNumberFormat="1" applyFont="1"/>
    <xf numFmtId="3" fontId="8" fillId="7" borderId="5" xfId="0" applyNumberFormat="1" applyFont="1" applyFill="1" applyBorder="1" applyAlignment="1">
      <alignment horizontal="center"/>
    </xf>
    <xf numFmtId="165" fontId="8" fillId="7" borderId="5" xfId="1" applyNumberFormat="1" applyFont="1" applyFill="1" applyBorder="1" applyAlignment="1">
      <alignment horizontal="center" vertical="center"/>
    </xf>
    <xf numFmtId="0" fontId="8" fillId="0" borderId="0" xfId="0" applyFont="1"/>
    <xf numFmtId="9" fontId="13" fillId="0" borderId="0" xfId="0" applyNumberFormat="1" applyFont="1" applyAlignment="1">
      <alignment horizontal="center"/>
    </xf>
    <xf numFmtId="0" fontId="21" fillId="0" borderId="0" xfId="0" applyFont="1"/>
    <xf numFmtId="0" fontId="11" fillId="0" borderId="0" xfId="0" applyFont="1" applyAlignment="1">
      <alignment horizontal="center"/>
    </xf>
    <xf numFmtId="0" fontId="0" fillId="0" borderId="2" xfId="0" applyBorder="1" applyAlignment="1">
      <alignment vertical="center"/>
    </xf>
    <xf numFmtId="165" fontId="16" fillId="0" borderId="0" xfId="1" applyNumberFormat="1" applyFont="1"/>
    <xf numFmtId="165" fontId="17" fillId="0" borderId="0" xfId="1" applyNumberFormat="1" applyFont="1"/>
    <xf numFmtId="165" fontId="22" fillId="0" borderId="0" xfId="1" applyNumberFormat="1" applyFont="1"/>
    <xf numFmtId="9" fontId="23" fillId="0" borderId="0" xfId="0" applyNumberFormat="1" applyFont="1"/>
    <xf numFmtId="165" fontId="0" fillId="0" borderId="0" xfId="0" applyNumberFormat="1"/>
    <xf numFmtId="38" fontId="11" fillId="0" borderId="0" xfId="0" applyNumberFormat="1" applyFont="1" applyAlignment="1">
      <alignment horizontal="center" vertical="center"/>
    </xf>
    <xf numFmtId="165" fontId="11" fillId="0" borderId="0" xfId="1" applyNumberFormat="1" applyFont="1" applyBorder="1" applyAlignment="1">
      <alignment horizontal="center" vertical="center"/>
    </xf>
    <xf numFmtId="10" fontId="11" fillId="0" borderId="0" xfId="2" applyNumberFormat="1" applyFont="1" applyBorder="1" applyAlignment="1">
      <alignment horizontal="center" vertical="center"/>
    </xf>
    <xf numFmtId="0" fontId="11" fillId="0" borderId="0" xfId="0" applyFont="1"/>
    <xf numFmtId="9" fontId="12" fillId="0" borderId="0" xfId="0" applyNumberFormat="1" applyFont="1" applyAlignment="1">
      <alignment horizontal="center"/>
    </xf>
    <xf numFmtId="165" fontId="1" fillId="0" borderId="0" xfId="1" applyNumberFormat="1" applyFont="1"/>
    <xf numFmtId="0" fontId="23" fillId="0" borderId="0" xfId="0" applyFont="1"/>
    <xf numFmtId="9" fontId="8" fillId="7" borderId="5" xfId="1" applyNumberFormat="1" applyFont="1" applyFill="1" applyBorder="1" applyAlignment="1">
      <alignment horizontal="center" vertical="center"/>
    </xf>
    <xf numFmtId="38" fontId="11" fillId="7" borderId="5" xfId="0" applyNumberFormat="1" applyFont="1" applyFill="1" applyBorder="1" applyAlignment="1">
      <alignment horizontal="center" vertical="center"/>
    </xf>
    <xf numFmtId="165" fontId="11" fillId="7" borderId="5" xfId="1" applyNumberFormat="1" applyFont="1" applyFill="1" applyBorder="1" applyAlignment="1">
      <alignment horizontal="center" vertical="center"/>
    </xf>
    <xf numFmtId="9" fontId="11" fillId="7" borderId="5" xfId="2" applyFont="1" applyFill="1" applyBorder="1" applyAlignment="1">
      <alignment horizontal="center" vertical="center"/>
    </xf>
    <xf numFmtId="38" fontId="11" fillId="6" borderId="5" xfId="0" applyNumberFormat="1" applyFont="1" applyFill="1" applyBorder="1" applyAlignment="1">
      <alignment horizontal="center" vertical="center"/>
    </xf>
    <xf numFmtId="165" fontId="11" fillId="6" borderId="5" xfId="1" applyNumberFormat="1" applyFont="1" applyFill="1" applyBorder="1" applyAlignment="1">
      <alignment horizontal="center" vertical="center"/>
    </xf>
    <xf numFmtId="9" fontId="11" fillId="6" borderId="5" xfId="2" applyFont="1" applyFill="1" applyBorder="1" applyAlignment="1">
      <alignment horizontal="center" vertical="center"/>
    </xf>
    <xf numFmtId="38" fontId="11" fillId="6" borderId="0" xfId="0" applyNumberFormat="1" applyFont="1" applyFill="1" applyAlignment="1">
      <alignment horizontal="center" vertical="center"/>
    </xf>
    <xf numFmtId="165" fontId="11" fillId="6" borderId="0" xfId="1" applyNumberFormat="1" applyFont="1" applyFill="1" applyBorder="1" applyAlignment="1">
      <alignment horizontal="center" vertical="center"/>
    </xf>
    <xf numFmtId="9" fontId="11" fillId="6" borderId="0" xfId="2" applyFont="1" applyFill="1" applyBorder="1" applyAlignment="1">
      <alignment horizontal="center" vertical="center"/>
    </xf>
    <xf numFmtId="9" fontId="20" fillId="6" borderId="5" xfId="2" applyFont="1" applyFill="1" applyBorder="1" applyAlignment="1">
      <alignment horizontal="center" vertical="center"/>
    </xf>
    <xf numFmtId="9" fontId="0" fillId="0" borderId="0" xfId="2" applyFont="1"/>
    <xf numFmtId="166" fontId="9" fillId="0" borderId="0" xfId="0" applyNumberFormat="1" applyFont="1"/>
    <xf numFmtId="9" fontId="18" fillId="6" borderId="5" xfId="2" applyFont="1" applyFill="1" applyBorder="1" applyAlignment="1">
      <alignment horizontal="center" vertical="center"/>
    </xf>
    <xf numFmtId="9" fontId="24" fillId="0" borderId="0" xfId="0" applyNumberFormat="1" applyFont="1"/>
    <xf numFmtId="9" fontId="25" fillId="0" borderId="0" xfId="0" applyNumberFormat="1" applyFont="1" applyAlignment="1">
      <alignment horizontal="center"/>
    </xf>
    <xf numFmtId="165" fontId="8" fillId="6" borderId="5" xfId="0" applyNumberFormat="1" applyFont="1" applyFill="1" applyBorder="1" applyAlignment="1">
      <alignment horizontal="center"/>
    </xf>
    <xf numFmtId="38" fontId="18" fillId="6" borderId="5" xfId="0" applyNumberFormat="1" applyFont="1" applyFill="1" applyBorder="1" applyAlignment="1">
      <alignment horizontal="center" vertical="center"/>
    </xf>
    <xf numFmtId="0" fontId="22" fillId="0" borderId="0" xfId="0" applyFont="1"/>
    <xf numFmtId="9" fontId="9" fillId="7" borderId="0" xfId="0" applyNumberFormat="1" applyFont="1" applyFill="1"/>
    <xf numFmtId="166" fontId="9" fillId="7" borderId="0" xfId="0" applyNumberFormat="1" applyFont="1" applyFill="1"/>
    <xf numFmtId="3" fontId="0" fillId="7" borderId="0" xfId="0" applyNumberFormat="1" applyFill="1"/>
    <xf numFmtId="17" fontId="7" fillId="2" borderId="1" xfId="1" applyNumberFormat="1" applyFont="1" applyFill="1" applyBorder="1" applyAlignment="1">
      <alignment horizontal="center" vertical="center"/>
    </xf>
    <xf numFmtId="0" fontId="13" fillId="2" borderId="6" xfId="0" applyFont="1" applyFill="1" applyBorder="1" applyAlignment="1">
      <alignment horizontal="center" vertical="center"/>
    </xf>
    <xf numFmtId="9" fontId="14" fillId="0" borderId="0" xfId="0" applyNumberFormat="1" applyFont="1"/>
    <xf numFmtId="0" fontId="13" fillId="2" borderId="13" xfId="0" applyFont="1" applyFill="1" applyBorder="1" applyAlignment="1">
      <alignment horizontal="center" vertical="center"/>
    </xf>
    <xf numFmtId="0" fontId="13" fillId="2" borderId="4" xfId="0" applyFont="1" applyFill="1" applyBorder="1" applyAlignment="1">
      <alignment horizontal="center" vertical="center"/>
    </xf>
    <xf numFmtId="17" fontId="13" fillId="4" borderId="12" xfId="1" applyNumberFormat="1" applyFont="1" applyFill="1" applyBorder="1" applyAlignment="1">
      <alignment horizontal="center" vertical="center"/>
    </xf>
    <xf numFmtId="17" fontId="13" fillId="4" borderId="13" xfId="1" applyNumberFormat="1" applyFont="1" applyFill="1" applyBorder="1" applyAlignment="1">
      <alignment horizontal="center" vertical="center"/>
    </xf>
    <xf numFmtId="17" fontId="13" fillId="4" borderId="14" xfId="1" applyNumberFormat="1" applyFont="1" applyFill="1" applyBorder="1" applyAlignment="1">
      <alignment horizontal="center" vertical="center"/>
    </xf>
    <xf numFmtId="17" fontId="13" fillId="4" borderId="9" xfId="1" applyNumberFormat="1" applyFont="1" applyFill="1" applyBorder="1" applyAlignment="1">
      <alignment horizontal="center" vertical="center"/>
    </xf>
    <xf numFmtId="17" fontId="13" fillId="4" borderId="4" xfId="1" applyNumberFormat="1" applyFont="1" applyFill="1" applyBorder="1" applyAlignment="1">
      <alignment horizontal="center" vertical="center"/>
    </xf>
    <xf numFmtId="17" fontId="13" fillId="4" borderId="11" xfId="1" applyNumberFormat="1" applyFont="1" applyFill="1" applyBorder="1" applyAlignment="1">
      <alignment horizontal="center" vertical="center"/>
    </xf>
    <xf numFmtId="17" fontId="15" fillId="5" borderId="14" xfId="1" applyNumberFormat="1" applyFont="1" applyFill="1" applyBorder="1" applyAlignment="1">
      <alignment horizontal="center" vertical="center"/>
    </xf>
    <xf numFmtId="17" fontId="15" fillId="5" borderId="11" xfId="1" applyNumberFormat="1" applyFont="1" applyFill="1" applyBorder="1" applyAlignment="1">
      <alignment horizontal="center" vertical="center"/>
    </xf>
    <xf numFmtId="17" fontId="13" fillId="4" borderId="2" xfId="1" applyNumberFormat="1" applyFont="1" applyFill="1" applyBorder="1" applyAlignment="1">
      <alignment horizontal="center" vertical="center"/>
    </xf>
    <xf numFmtId="17" fontId="13" fillId="4" borderId="0" xfId="1"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3" xfId="0" applyFont="1" applyFill="1" applyBorder="1" applyAlignment="1">
      <alignment horizontal="center" vertical="center"/>
    </xf>
    <xf numFmtId="164" fontId="4" fillId="3" borderId="2" xfId="0" applyNumberFormat="1" applyFont="1" applyFill="1" applyBorder="1" applyAlignment="1">
      <alignment horizontal="center" vertical="center"/>
    </xf>
    <xf numFmtId="164" fontId="4" fillId="3" borderId="0" xfId="0" applyNumberFormat="1" applyFont="1" applyFill="1" applyAlignment="1">
      <alignment horizontal="center" vertical="center"/>
    </xf>
    <xf numFmtId="17" fontId="7" fillId="2" borderId="1" xfId="1" applyNumberFormat="1" applyFont="1" applyFill="1" applyBorder="1" applyAlignment="1">
      <alignment horizontal="center" vertical="center"/>
    </xf>
    <xf numFmtId="17" fontId="7" fillId="2" borderId="3" xfId="1" applyNumberFormat="1" applyFont="1" applyFill="1" applyBorder="1" applyAlignment="1">
      <alignment horizontal="center" vertical="center"/>
    </xf>
    <xf numFmtId="17" fontId="7" fillId="4" borderId="5" xfId="1" applyNumberFormat="1" applyFont="1" applyFill="1" applyBorder="1" applyAlignment="1">
      <alignment horizontal="center" vertical="center"/>
    </xf>
    <xf numFmtId="17" fontId="7" fillId="4" borderId="6" xfId="1" applyNumberFormat="1" applyFont="1" applyFill="1" applyBorder="1" applyAlignment="1">
      <alignment horizontal="center" vertical="center"/>
    </xf>
    <xf numFmtId="17" fontId="7" fillId="4" borderId="7" xfId="1" applyNumberFormat="1" applyFont="1" applyFill="1" applyBorder="1" applyAlignment="1">
      <alignment horizontal="center" vertical="center"/>
    </xf>
    <xf numFmtId="17" fontId="7" fillId="4" borderId="8" xfId="1" applyNumberFormat="1" applyFont="1" applyFill="1" applyBorder="1" applyAlignment="1">
      <alignment horizontal="center" vertical="center"/>
    </xf>
    <xf numFmtId="17" fontId="7" fillId="4" borderId="2" xfId="1" applyNumberFormat="1" applyFont="1" applyFill="1" applyBorder="1" applyAlignment="1">
      <alignment horizontal="center" vertical="center"/>
    </xf>
    <xf numFmtId="17" fontId="7" fillId="4" borderId="0" xfId="1" applyNumberFormat="1" applyFont="1" applyFill="1" applyBorder="1" applyAlignment="1">
      <alignment horizontal="center" vertical="center"/>
    </xf>
    <xf numFmtId="0" fontId="7" fillId="2" borderId="6" xfId="1" applyNumberFormat="1" applyFont="1" applyFill="1" applyBorder="1" applyAlignment="1">
      <alignment horizontal="center" vertical="center"/>
    </xf>
    <xf numFmtId="0" fontId="7" fillId="2" borderId="7" xfId="1" applyNumberFormat="1" applyFont="1" applyFill="1" applyBorder="1" applyAlignment="1">
      <alignment horizontal="center" vertical="center"/>
    </xf>
    <xf numFmtId="0" fontId="7" fillId="2" borderId="8" xfId="1" applyNumberFormat="1" applyFont="1" applyFill="1" applyBorder="1" applyAlignment="1">
      <alignment horizontal="center" vertical="center"/>
    </xf>
    <xf numFmtId="0" fontId="7" fillId="2" borderId="6" xfId="0" applyFont="1" applyFill="1" applyBorder="1" applyAlignment="1">
      <alignment horizontal="center" vertical="center"/>
    </xf>
    <xf numFmtId="0" fontId="7" fillId="2" borderId="7" xfId="0" applyFont="1" applyFill="1" applyBorder="1" applyAlignment="1">
      <alignment horizontal="center" vertical="center"/>
    </xf>
    <xf numFmtId="0" fontId="7" fillId="2" borderId="8" xfId="0" applyFont="1" applyFill="1" applyBorder="1" applyAlignment="1">
      <alignment horizontal="center" vertical="center"/>
    </xf>
    <xf numFmtId="17" fontId="7" fillId="4" borderId="9" xfId="1" applyNumberFormat="1" applyFont="1" applyFill="1" applyBorder="1" applyAlignment="1">
      <alignment horizontal="center" vertical="center"/>
    </xf>
    <xf numFmtId="17" fontId="7" fillId="4" borderId="4" xfId="1" applyNumberFormat="1" applyFont="1" applyFill="1" applyBorder="1" applyAlignment="1">
      <alignment horizontal="center" vertical="center"/>
    </xf>
    <xf numFmtId="17" fontId="7" fillId="4" borderId="11" xfId="1" applyNumberFormat="1" applyFont="1" applyFill="1" applyBorder="1" applyAlignment="1">
      <alignment horizontal="center" vertical="center"/>
    </xf>
    <xf numFmtId="0" fontId="7" fillId="2" borderId="5" xfId="1" applyNumberFormat="1" applyFont="1" applyFill="1" applyBorder="1" applyAlignment="1">
      <alignment horizontal="center" vertical="center"/>
    </xf>
    <xf numFmtId="0" fontId="7" fillId="2" borderId="9" xfId="1" applyNumberFormat="1" applyFont="1" applyFill="1" applyBorder="1" applyAlignment="1">
      <alignment horizontal="center" vertical="center"/>
    </xf>
    <xf numFmtId="0" fontId="7" fillId="2" borderId="4" xfId="1" applyNumberFormat="1" applyFont="1" applyFill="1" applyBorder="1" applyAlignment="1">
      <alignment horizontal="center" vertical="center"/>
    </xf>
    <xf numFmtId="17" fontId="13" fillId="4" borderId="6" xfId="1" applyNumberFormat="1" applyFont="1" applyFill="1" applyBorder="1" applyAlignment="1">
      <alignment horizontal="center" vertical="center"/>
    </xf>
    <xf numFmtId="17" fontId="13" fillId="4" borderId="7" xfId="1" applyNumberFormat="1" applyFont="1" applyFill="1" applyBorder="1" applyAlignment="1">
      <alignment horizontal="center" vertical="center"/>
    </xf>
    <xf numFmtId="17" fontId="13" fillId="4" borderId="8" xfId="1" applyNumberFormat="1" applyFont="1" applyFill="1" applyBorder="1" applyAlignment="1">
      <alignment horizontal="center" vertical="center"/>
    </xf>
    <xf numFmtId="0" fontId="13" fillId="2" borderId="6" xfId="0" applyFont="1" applyFill="1" applyBorder="1" applyAlignment="1">
      <alignment horizontal="center" vertical="center"/>
    </xf>
    <xf numFmtId="0" fontId="13" fillId="2" borderId="8" xfId="0" applyFont="1" applyFill="1" applyBorder="1" applyAlignment="1">
      <alignment horizontal="center" vertical="center"/>
    </xf>
    <xf numFmtId="0" fontId="13" fillId="2" borderId="5" xfId="1" applyNumberFormat="1" applyFont="1" applyFill="1" applyBorder="1" applyAlignment="1">
      <alignment horizontal="center" vertical="center"/>
    </xf>
    <xf numFmtId="0" fontId="13" fillId="2" borderId="6" xfId="1" applyNumberFormat="1" applyFont="1" applyFill="1" applyBorder="1" applyAlignment="1">
      <alignment horizontal="center" vertical="center"/>
    </xf>
    <xf numFmtId="0" fontId="13" fillId="2" borderId="7" xfId="1" applyNumberFormat="1" applyFont="1" applyFill="1" applyBorder="1" applyAlignment="1">
      <alignment horizontal="center" vertical="center"/>
    </xf>
    <xf numFmtId="17" fontId="13" fillId="4" borderId="5" xfId="1" applyNumberFormat="1" applyFont="1" applyFill="1" applyBorder="1" applyAlignment="1">
      <alignment horizontal="center" vertical="center"/>
    </xf>
    <xf numFmtId="0" fontId="7" fillId="2" borderId="11" xfId="1" applyNumberFormat="1" applyFont="1" applyFill="1" applyBorder="1" applyAlignment="1">
      <alignment horizontal="center" vertical="center"/>
    </xf>
    <xf numFmtId="0" fontId="13" fillId="2" borderId="9" xfId="1" applyNumberFormat="1" applyFont="1" applyFill="1" applyBorder="1" applyAlignment="1">
      <alignment horizontal="center" vertical="center"/>
    </xf>
    <xf numFmtId="0" fontId="13" fillId="2" borderId="4" xfId="1" applyNumberFormat="1" applyFont="1" applyFill="1" applyBorder="1" applyAlignment="1">
      <alignment horizontal="center" vertical="center"/>
    </xf>
    <xf numFmtId="0" fontId="13" fillId="2" borderId="11" xfId="1" applyNumberFormat="1" applyFont="1" applyFill="1" applyBorder="1" applyAlignment="1">
      <alignment horizontal="center" vertical="center"/>
    </xf>
    <xf numFmtId="0" fontId="13" fillId="2" borderId="7" xfId="0" applyFont="1" applyFill="1" applyBorder="1" applyAlignment="1">
      <alignment horizontal="center" vertical="center"/>
    </xf>
    <xf numFmtId="0" fontId="13" fillId="2" borderId="8" xfId="1" applyNumberFormat="1" applyFont="1" applyFill="1" applyBorder="1" applyAlignment="1">
      <alignment horizontal="center" vertical="center"/>
    </xf>
  </cellXfs>
  <cellStyles count="3">
    <cellStyle name="Comma" xfId="1" builtinId="3"/>
    <cellStyle name="Normal" xfId="0" builtinId="0"/>
    <cellStyle name="Percent" xfId="2" builtinId="5"/>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externalLink" Target="externalLinks/externalLink15.xml"/><Relationship Id="rId39" Type="http://schemas.openxmlformats.org/officeDocument/2006/relationships/externalLink" Target="externalLinks/externalLink28.xml"/><Relationship Id="rId21" Type="http://schemas.openxmlformats.org/officeDocument/2006/relationships/externalLink" Target="externalLinks/externalLink10.xml"/><Relationship Id="rId34" Type="http://schemas.openxmlformats.org/officeDocument/2006/relationships/externalLink" Target="externalLinks/externalLink23.xml"/><Relationship Id="rId42" Type="http://schemas.openxmlformats.org/officeDocument/2006/relationships/externalLink" Target="externalLinks/externalLink31.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5.xml"/><Relationship Id="rId29" Type="http://schemas.openxmlformats.org/officeDocument/2006/relationships/externalLink" Target="externalLinks/externalLink18.xml"/><Relationship Id="rId11" Type="http://schemas.openxmlformats.org/officeDocument/2006/relationships/worksheet" Target="worksheets/sheet11.xml"/><Relationship Id="rId24" Type="http://schemas.openxmlformats.org/officeDocument/2006/relationships/externalLink" Target="externalLinks/externalLink13.xml"/><Relationship Id="rId32" Type="http://schemas.openxmlformats.org/officeDocument/2006/relationships/externalLink" Target="externalLinks/externalLink21.xml"/><Relationship Id="rId37" Type="http://schemas.openxmlformats.org/officeDocument/2006/relationships/externalLink" Target="externalLinks/externalLink26.xml"/><Relationship Id="rId40" Type="http://schemas.openxmlformats.org/officeDocument/2006/relationships/externalLink" Target="externalLinks/externalLink29.xml"/><Relationship Id="rId45" Type="http://schemas.openxmlformats.org/officeDocument/2006/relationships/externalLink" Target="externalLinks/externalLink34.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externalLink" Target="externalLinks/externalLink12.xml"/><Relationship Id="rId28" Type="http://schemas.openxmlformats.org/officeDocument/2006/relationships/externalLink" Target="externalLinks/externalLink17.xml"/><Relationship Id="rId36" Type="http://schemas.openxmlformats.org/officeDocument/2006/relationships/externalLink" Target="externalLinks/externalLink2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8.xml"/><Relationship Id="rId31" Type="http://schemas.openxmlformats.org/officeDocument/2006/relationships/externalLink" Target="externalLinks/externalLink20.xml"/><Relationship Id="rId44" Type="http://schemas.openxmlformats.org/officeDocument/2006/relationships/externalLink" Target="externalLinks/externalLink3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externalLink" Target="externalLinks/externalLink11.xml"/><Relationship Id="rId27" Type="http://schemas.openxmlformats.org/officeDocument/2006/relationships/externalLink" Target="externalLinks/externalLink16.xml"/><Relationship Id="rId30" Type="http://schemas.openxmlformats.org/officeDocument/2006/relationships/externalLink" Target="externalLinks/externalLink19.xml"/><Relationship Id="rId35" Type="http://schemas.openxmlformats.org/officeDocument/2006/relationships/externalLink" Target="externalLinks/externalLink24.xml"/><Relationship Id="rId43" Type="http://schemas.openxmlformats.org/officeDocument/2006/relationships/externalLink" Target="externalLinks/externalLink3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externalLink" Target="externalLinks/externalLink14.xml"/><Relationship Id="rId33" Type="http://schemas.openxmlformats.org/officeDocument/2006/relationships/externalLink" Target="externalLinks/externalLink22.xml"/><Relationship Id="rId38" Type="http://schemas.openxmlformats.org/officeDocument/2006/relationships/externalLink" Target="externalLinks/externalLink27.xml"/><Relationship Id="rId46" Type="http://schemas.openxmlformats.org/officeDocument/2006/relationships/externalLink" Target="externalLinks/externalLink35.xml"/><Relationship Id="rId20" Type="http://schemas.openxmlformats.org/officeDocument/2006/relationships/externalLink" Target="externalLinks/externalLink9.xml"/><Relationship Id="rId41" Type="http://schemas.openxmlformats.org/officeDocument/2006/relationships/externalLink" Target="externalLinks/externalLink30.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xdr:colOff>
          <xdr:row>0</xdr:row>
          <xdr:rowOff>76200</xdr:rowOff>
        </xdr:from>
        <xdr:to>
          <xdr:col>11</xdr:col>
          <xdr:colOff>76200</xdr:colOff>
          <xdr:row>2</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92</xdr:row>
          <xdr:rowOff>57150</xdr:rowOff>
        </xdr:from>
        <xdr:to>
          <xdr:col>1</xdr:col>
          <xdr:colOff>962025</xdr:colOff>
          <xdr:row>93</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92</xdr:row>
          <xdr:rowOff>57150</xdr:rowOff>
        </xdr:from>
        <xdr:to>
          <xdr:col>1</xdr:col>
          <xdr:colOff>85725</xdr:colOff>
          <xdr:row>93</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76200</xdr:colOff>
          <xdr:row>93</xdr:row>
          <xdr:rowOff>28575</xdr:rowOff>
        </xdr:from>
        <xdr:to>
          <xdr:col>29</xdr:col>
          <xdr:colOff>133350</xdr:colOff>
          <xdr:row>94</xdr:row>
          <xdr:rowOff>76200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Doc_Update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r.abbas\AppData\Local\Microsoft\Windows\Temporary%20Internet%20Files\Content.Outlook\0GBKYZJJ\Le%20chateau%20Daily%20Income%20Report%20-Aug-2015_V3.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Sheet12"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Documents%20and%20Settings\hossam.elsayed\Application%20Data\Microsoft\Excel\Documents%20and%20Settings\hussiaa\Local%20Settings\Temporary%20Internet%20Files\Content.Outlook\JV54CZLQ\Cash%20Flow-2010%20(Repaire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OCUME~1\mohahkk\LOCALS~1\Temp\Rar$DI00.089\ASH%20%20Expenses%20Lay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7-2013\&#1575;&#1604;&#1578;&#1605;&#1585;&#1610;&#1590;%2020&#1610;&#1608;&#160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HR\P.O.B\Daily%20Summary\AFW%20Daily%20Doctors%20Summary%20till%2017-May.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HR\P.O.B\Daily%20Summary\AFW%20Daily%20Doctors%20Summary%20till%209-May.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sukkary\2016\Laptop\desktop\budget.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M.ELGAMAL\AppData\Local\Microsoft\Windows\Temporary%20Internet%20Files\Content.Outlook\XKBUG19L\Any%20year%20calendar1.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hmed.abdelgawad\Downloads\Run%20Chart%20Template%20(1).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7-2013\&#1575;&#1604;&#1585;&#1583;%20&#1593;&#1604;&#1609;%20&#1575;&#1604;&#1578;&#1605;&#1585;&#1610;&#1590;\&#1575;&#1604;&#1578;&#1605;&#1585;&#1610;&#1590;20&#1610;&#1608;&#1605;.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ASH\Exclusive%20drs%20PMS\Draft.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Documents%20and%20Settings\sally.abdelfatah\Local%20Settings\Temporary%20Internet%20Files\Content.Outlook\776U2N9P\finance%20sheet.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O:\Docs\Distrib_FDG\COSTIFDG.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ahmed.elgohary\AppData\Local\Microsoft\Windows\Temporary%20Internet%20Files\Content.Outlook\EFG0XH61\HAITHAM%20final%20Ins%20Plan%202014.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O:\New%20folder\2012%20%20last\HJH%20Financial%20Plan%2010-01-2012\MRI%20%20study%202012.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ash-portal-01/Budget%202014/2%20ASH/Final/target%202014%20delta%20team.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portal:100/sites/Marketing/outpatient/mc/DocLib1/The%20OPD%20Report/Documents%20and%20Settings/hussiaa/Local%20Settings/Temporary%20Internet%20Files/Content.Outlook/JV54CZLQ/Cash%20Flow-2010%20(Repaired).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temp0\final%204-bonus%20(2)%20(6)%20(3)%20(2)%20(2).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Budget%202014\2%20ASH\Final\target%202014%20delta%20team.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Documents%20and%20Settings\eslam.osama\Local%20Settings\Temporary%20Internet%20Files\Content.Outlook\G903WM0A\target%202014%20delta%20team.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C:\Users\ahmed.essawy\Desktop\STRATEGY\HJH\Source\Laptop\desktop\budget.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YKNM5F1I\Documents%20and%20Settings\amira.anwar\Local%20Settings\Temporary%20Internet%20Files\Content.Outlook\74HZ7K2G\&#1575;&#1604;&#1605;&#1587;&#1578;&#1588;&#1601;&#1609;.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SMH-FS-02\UsersData\Users\mai.elmasry\Desktop\Friday%20clinic.xlsx" TargetMode="External"/></Relationships>
</file>

<file path=xl/externalLinks/_rels/externalLink25.xml.rels><?xml version="1.0" encoding="UTF-8" standalone="yes"?>
<Relationships xmlns="http://schemas.openxmlformats.org/package/2006/relationships"><Relationship Id="rId2" Type="http://schemas.microsoft.com/office/2019/04/relationships/externalLinkLongPath" Target="file:///K:\Users\mahmoud.abas\AppData\Local\Microsoft\Windows\Temporary%20Internet%20Files\Content.Outlook\8LB48BCL\Users\M.ELGAMAL\AppData\Local\Microsoft\Windows\Temporary%20Internet%20Files\Content.Outlook\XKBUG19L\Any%20year%20calendar1.xlsx?7B58CAF8" TargetMode="External"/><Relationship Id="rId1" Type="http://schemas.openxmlformats.org/officeDocument/2006/relationships/externalLinkPath" Target="file:///\\7B58CAF8\Any%20year%20calendar1.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Users\mahmoud.abas\AppData\Local\Microsoft\Windows\Temporary%20Internet%20Files\Content.Outlook\8LB48BCL\Budget%202014\2%20ASH\Final\target%202014%20delta%20team.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D:\Nasser\Productivity\2022\May\May%20Daily\AFW%20Daily%20Doctors%20Summary%20till%2010-May.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Users\samah.abutaaleb\AppData\Local\Microsoft\Windows\Temporary%20Internet%20Files\Content.Outlook\8AF2HS6G\ASH\target%202014%20delta%20team.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ash-portal-01/Documents%20and%20Settings/hossam.elsayed/Application%20Data/Microsoft/Excel/Documents%20and%20Settings/hussiaa/Local%20Settings/Temporary%20Internet%20Files/Content.Outlook/JV54CZLQ/Cash%20Flow-2010%20(Repaired).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Documents%20and%20Settings\amira.anwar\Local%20Settings\Temporary%20Internet%20Files\Content.Outlook\NQBTS74R\SMH%20Salary%20Increase%20(2).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2015\1-2015\Salary\&#1608;&#1585;&#1602;%20&#1575;&#1604;&#1582;&#1586;&#1606;&#1577;.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Users\sally.abdelfatah\AppData\Local\Microsoft\Windows\Temporary%20Internet%20Files\Content.Outlook\ALH445P0\Activities%20extra%20target%20and%20campaigns-Activities.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Documents%20and%20Settings\sherin.abdelhamid\Local%20Settings\Temporary%20Internet%20Files\Content.Outlook\LQB8L3FR\Copy%20of%20Copy%20of%20ASH-Corporate%20review%20%20Oct%2031%202016%20new%20classigication.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Users\basant.abdelaziz\AppData\Local\Microsoft\Windows\Temporary%20Internet%20Files\Content.Outlook\6L9PWO7F\Pilot%20Un%20locked%202015%20break%20down.xlsx"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Users\amr.abbas\AppData\Local\Microsoft\Windows\Temporary%20Internet%20Files\Content.Outlook\0GBKYZJJ\Copy%20of%20ASHSMH-May-2015-Specialities%20Profitability%20Refera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1-8"/>
      <sheetName val="2-8"/>
      <sheetName val="3-8"/>
      <sheetName val="4-8"/>
      <sheetName val="5-8"/>
      <sheetName val="6-8"/>
      <sheetName val="8-8"/>
      <sheetName val="9-8"/>
      <sheetName val="10-8"/>
      <sheetName val="11-8"/>
      <sheetName val="12-8"/>
      <sheetName val="13-8 "/>
      <sheetName val="15-8"/>
      <sheetName val="16-8"/>
      <sheetName val="17-8"/>
      <sheetName val="18-8"/>
      <sheetName val="19-8"/>
      <sheetName val="20-8"/>
      <sheetName val="22-8"/>
      <sheetName val="23-8"/>
      <sheetName val="24-8 "/>
      <sheetName val="25-8"/>
      <sheetName val="26-8"/>
      <sheetName val="27-8"/>
      <sheetName val="29-8"/>
      <sheetName val="30-8"/>
      <sheetName val="31-8"/>
      <sheetName val="Revenues "/>
      <sheetName val="Monthly REV. LCH "/>
      <sheetName val="doctors salaries"/>
      <sheetName val="Monthly Target Revenues "/>
      <sheetName val="Yearly REV. DOC "/>
      <sheetName val="Monthly Target Cases "/>
      <sheetName val="Revenues"/>
      <sheetName val="Monthly REV. DOC."/>
      <sheetName val="Yearly REV. DOC"/>
      <sheetName val="cases "/>
      <sheetName val="PH REVENUE"/>
      <sheetName val="Monthly Target Revenues"/>
      <sheetName val="Monthly Target Cases"/>
      <sheetName val="cases"/>
      <sheetName val="treasury (1)"/>
      <sheetName val="treasury (2)"/>
      <sheetName val="treasury (3)"/>
      <sheetName val="treasury (4)"/>
      <sheetName val="treasury (5)"/>
      <sheetName val="treasury (6)"/>
      <sheetName val="treasury (8)"/>
      <sheetName val="treasury (9)"/>
      <sheetName val="treasury (10)"/>
      <sheetName val="treasury (11)"/>
      <sheetName val="treasury (12)"/>
      <sheetName val="treasury (13)"/>
      <sheetName val="treasury (15)"/>
      <sheetName val="treasury (16)"/>
      <sheetName val="treasury (17)"/>
      <sheetName val="treasury (18)"/>
      <sheetName val="treasury (19)"/>
      <sheetName val="treasury (20)"/>
      <sheetName val="treasury (22)"/>
      <sheetName val="treasury (23)"/>
      <sheetName val="treasury (24)"/>
      <sheetName val="treasury (25)"/>
      <sheetName val="treasury (26)"/>
      <sheetName val="treasury (27)"/>
      <sheetName val="treasury (29)"/>
      <sheetName val="treasury (30)"/>
      <sheetName val="treasury (31)"/>
      <sheetName val="statement (1)"/>
      <sheetName val="statement (2)"/>
      <sheetName val="statement (3)"/>
      <sheetName val="statement (4)"/>
      <sheetName val="statement (5)"/>
      <sheetName val="statement (6)"/>
      <sheetName val="statement (8)"/>
      <sheetName val="statement (9)"/>
      <sheetName val="statement (10)"/>
      <sheetName val="statement (11)"/>
      <sheetName val="statement (12)"/>
      <sheetName val="statement (13)"/>
      <sheetName val="statement (15)"/>
      <sheetName val="statement (16)"/>
      <sheetName val="statement (17)"/>
      <sheetName val="statement (18)"/>
      <sheetName val="statement (19)"/>
      <sheetName val="statement (20)"/>
      <sheetName val="statement (22)"/>
      <sheetName val="statement (23)"/>
      <sheetName val="statement (24)"/>
      <sheetName val="statement (25)"/>
      <sheetName val="statement (26)"/>
      <sheetName val="statement (27)"/>
      <sheetName val="statement (29)"/>
      <sheetName val="statement (30)"/>
      <sheetName val="statement (31)"/>
      <sheetName val="companies "/>
      <sheetName val="COLLECTION"/>
      <sheetName val="Financial Charts"/>
      <sheetName val="revenues  vs expenses"/>
      <sheetName val="CHARTS"/>
      <sheetName val="ACTUAL"/>
      <sheetName val="Budgeted"/>
      <sheetName val="Sheet2"/>
      <sheetName val="Sheet1"/>
      <sheetName val="Data"/>
      <sheetName val="Sheet2 (2)"/>
      <sheetName val="INPUT"/>
      <sheetName val="AGENT"/>
      <sheetName val="READ"/>
      <sheetName val="13-8_1"/>
      <sheetName val="24-8_1"/>
      <sheetName val="Revenues_1"/>
      <sheetName val="Monthly_REV__LCH_1"/>
      <sheetName val="doctors_salaries1"/>
      <sheetName val="Monthly_Target_Revenues_1"/>
      <sheetName val="Yearly_REV__DOC_1"/>
      <sheetName val="Monthly_Target_Cases_1"/>
      <sheetName val="Monthly_REV__DOC_1"/>
      <sheetName val="Yearly_REV__DOC1"/>
      <sheetName val="cases_1"/>
      <sheetName val="PH_REVENUE1"/>
      <sheetName val="Monthly_Target_Revenues1"/>
      <sheetName val="Monthly_Target_Cases1"/>
      <sheetName val="treasury_(1)1"/>
      <sheetName val="treasury_(2)1"/>
      <sheetName val="treasury_(3)1"/>
      <sheetName val="treasury_(4)1"/>
      <sheetName val="treasury_(5)1"/>
      <sheetName val="treasury_(6)1"/>
      <sheetName val="treasury_(8)1"/>
      <sheetName val="treasury_(9)1"/>
      <sheetName val="treasury_(10)1"/>
      <sheetName val="treasury_(11)1"/>
      <sheetName val="treasury_(12)1"/>
      <sheetName val="treasury_(13)1"/>
      <sheetName val="treasury_(15)1"/>
      <sheetName val="treasury_(16)1"/>
      <sheetName val="treasury_(17)1"/>
      <sheetName val="treasury_(18)1"/>
      <sheetName val="treasury_(19)1"/>
      <sheetName val="treasury_(20)1"/>
      <sheetName val="treasury_(22)1"/>
      <sheetName val="treasury_(23)1"/>
      <sheetName val="treasury_(24)1"/>
      <sheetName val="treasury_(25)1"/>
      <sheetName val="treasury_(26)1"/>
      <sheetName val="treasury_(27)1"/>
      <sheetName val="treasury_(29)1"/>
      <sheetName val="treasury_(30)1"/>
      <sheetName val="treasury_(31)1"/>
      <sheetName val="statement_(1)1"/>
      <sheetName val="statement_(2)1"/>
      <sheetName val="statement_(3)1"/>
      <sheetName val="statement_(4)1"/>
      <sheetName val="statement_(5)1"/>
      <sheetName val="statement_(6)1"/>
      <sheetName val="statement_(8)1"/>
      <sheetName val="statement_(9)1"/>
      <sheetName val="statement_(10)1"/>
      <sheetName val="statement_(11)1"/>
      <sheetName val="statement_(12)1"/>
      <sheetName val="statement_(13)1"/>
      <sheetName val="statement_(15)1"/>
      <sheetName val="statement_(16)1"/>
      <sheetName val="statement_(17)1"/>
      <sheetName val="statement_(18)1"/>
      <sheetName val="statement_(19)1"/>
      <sheetName val="statement_(20)1"/>
      <sheetName val="statement_(22)1"/>
      <sheetName val="statement_(23)1"/>
      <sheetName val="statement_(24)1"/>
      <sheetName val="statement_(25)1"/>
      <sheetName val="statement_(26)1"/>
      <sheetName val="statement_(27)1"/>
      <sheetName val="statement_(29)1"/>
      <sheetName val="statement_(30)1"/>
      <sheetName val="statement_(31)1"/>
      <sheetName val="companies_1"/>
      <sheetName val="Financial_Charts1"/>
      <sheetName val="revenues__vs_expenses1"/>
      <sheetName val="Sheet2_(2)1"/>
      <sheetName val="13-8_"/>
      <sheetName val="24-8_"/>
      <sheetName val="Revenues_"/>
      <sheetName val="Monthly_REV__LCH_"/>
      <sheetName val="doctors_salaries"/>
      <sheetName val="Monthly_Target_Revenues_"/>
      <sheetName val="Yearly_REV__DOC_"/>
      <sheetName val="Monthly_Target_Cases_"/>
      <sheetName val="Monthly_REV__DOC_"/>
      <sheetName val="Yearly_REV__DOC"/>
      <sheetName val="cases_"/>
      <sheetName val="PH_REVENUE"/>
      <sheetName val="Monthly_Target_Revenues"/>
      <sheetName val="Monthly_Target_Cases"/>
      <sheetName val="treasury_(1)"/>
      <sheetName val="treasury_(2)"/>
      <sheetName val="treasury_(3)"/>
      <sheetName val="treasury_(4)"/>
      <sheetName val="treasury_(5)"/>
      <sheetName val="treasury_(6)"/>
      <sheetName val="treasury_(8)"/>
      <sheetName val="treasury_(9)"/>
      <sheetName val="treasury_(10)"/>
      <sheetName val="treasury_(11)"/>
      <sheetName val="treasury_(12)"/>
      <sheetName val="treasury_(13)"/>
      <sheetName val="treasury_(15)"/>
      <sheetName val="treasury_(16)"/>
      <sheetName val="treasury_(17)"/>
      <sheetName val="treasury_(18)"/>
      <sheetName val="treasury_(19)"/>
      <sheetName val="treasury_(20)"/>
      <sheetName val="treasury_(22)"/>
      <sheetName val="treasury_(23)"/>
      <sheetName val="treasury_(24)"/>
      <sheetName val="treasury_(25)"/>
      <sheetName val="treasury_(26)"/>
      <sheetName val="treasury_(27)"/>
      <sheetName val="treasury_(29)"/>
      <sheetName val="treasury_(30)"/>
      <sheetName val="treasury_(31)"/>
      <sheetName val="statement_(1)"/>
      <sheetName val="statement_(2)"/>
      <sheetName val="statement_(3)"/>
      <sheetName val="statement_(4)"/>
      <sheetName val="statement_(5)"/>
      <sheetName val="statement_(6)"/>
      <sheetName val="statement_(8)"/>
      <sheetName val="statement_(9)"/>
      <sheetName val="statement_(10)"/>
      <sheetName val="statement_(11)"/>
      <sheetName val="statement_(12)"/>
      <sheetName val="statement_(13)"/>
      <sheetName val="statement_(15)"/>
      <sheetName val="statement_(16)"/>
      <sheetName val="statement_(17)"/>
      <sheetName val="statement_(18)"/>
      <sheetName val="statement_(19)"/>
      <sheetName val="statement_(20)"/>
      <sheetName val="statement_(22)"/>
      <sheetName val="statement_(23)"/>
      <sheetName val="statement_(24)"/>
      <sheetName val="statement_(25)"/>
      <sheetName val="statement_(26)"/>
      <sheetName val="statement_(27)"/>
      <sheetName val="statement_(29)"/>
      <sheetName val="statement_(30)"/>
      <sheetName val="statement_(31)"/>
      <sheetName val="companies_"/>
      <sheetName val="Financial_Charts"/>
      <sheetName val="revenues__vs_expenses"/>
      <sheetName val="Sheet2_(2)"/>
      <sheetName val="13-8_2"/>
      <sheetName val="24-8_2"/>
      <sheetName val="Revenues_2"/>
      <sheetName val="Monthly_REV__LCH_2"/>
      <sheetName val="doctors_salaries2"/>
      <sheetName val="Monthly_Target_Revenues_2"/>
      <sheetName val="Yearly_REV__DOC_2"/>
      <sheetName val="Monthly_Target_Cases_2"/>
      <sheetName val="Monthly_REV__DOC_2"/>
      <sheetName val="Yearly_REV__DOC2"/>
      <sheetName val="cases_2"/>
      <sheetName val="PH_REVENUE2"/>
      <sheetName val="Monthly_Target_Revenues2"/>
      <sheetName val="Monthly_Target_Cases2"/>
      <sheetName val="treasury_(1)2"/>
      <sheetName val="treasury_(2)2"/>
      <sheetName val="treasury_(3)2"/>
      <sheetName val="treasury_(4)2"/>
      <sheetName val="treasury_(5)2"/>
      <sheetName val="treasury_(6)2"/>
      <sheetName val="treasury_(8)2"/>
      <sheetName val="treasury_(9)2"/>
      <sheetName val="treasury_(10)2"/>
      <sheetName val="treasury_(11)2"/>
      <sheetName val="treasury_(12)2"/>
      <sheetName val="treasury_(13)2"/>
      <sheetName val="treasury_(15)2"/>
      <sheetName val="treasury_(16)2"/>
      <sheetName val="treasury_(17)2"/>
      <sheetName val="treasury_(18)2"/>
      <sheetName val="treasury_(19)2"/>
      <sheetName val="treasury_(20)2"/>
      <sheetName val="treasury_(22)2"/>
      <sheetName val="treasury_(23)2"/>
      <sheetName val="treasury_(24)2"/>
      <sheetName val="treasury_(25)2"/>
      <sheetName val="treasury_(26)2"/>
      <sheetName val="treasury_(27)2"/>
      <sheetName val="treasury_(29)2"/>
      <sheetName val="treasury_(30)2"/>
      <sheetName val="treasury_(31)2"/>
      <sheetName val="statement_(1)2"/>
      <sheetName val="statement_(2)2"/>
      <sheetName val="statement_(3)2"/>
      <sheetName val="statement_(4)2"/>
      <sheetName val="statement_(5)2"/>
      <sheetName val="statement_(6)2"/>
      <sheetName val="statement_(8)2"/>
      <sheetName val="statement_(9)2"/>
      <sheetName val="statement_(10)2"/>
      <sheetName val="statement_(11)2"/>
      <sheetName val="statement_(12)2"/>
      <sheetName val="statement_(13)2"/>
      <sheetName val="statement_(15)2"/>
      <sheetName val="statement_(16)2"/>
      <sheetName val="statement_(17)2"/>
      <sheetName val="statement_(18)2"/>
      <sheetName val="statement_(19)2"/>
      <sheetName val="statement_(20)2"/>
      <sheetName val="statement_(22)2"/>
      <sheetName val="statement_(23)2"/>
      <sheetName val="statement_(24)2"/>
      <sheetName val="statement_(25)2"/>
      <sheetName val="statement_(26)2"/>
      <sheetName val="statement_(27)2"/>
      <sheetName val="statement_(29)2"/>
      <sheetName val="statement_(30)2"/>
      <sheetName val="statement_(31)2"/>
      <sheetName val="companies_2"/>
      <sheetName val="Financial_Charts2"/>
      <sheetName val="revenues__vs_expenses2"/>
      <sheetName val="Sheet2_(2)2"/>
      <sheetName val="13-8_6"/>
      <sheetName val="24-8_6"/>
      <sheetName val="Revenues_6"/>
      <sheetName val="Monthly_REV__LCH_6"/>
      <sheetName val="doctors_salaries6"/>
      <sheetName val="Monthly_Target_Revenues_6"/>
      <sheetName val="Yearly_REV__DOC_6"/>
      <sheetName val="Monthly_Target_Cases_6"/>
      <sheetName val="Monthly_REV__DOC_6"/>
      <sheetName val="Yearly_REV__DOC6"/>
      <sheetName val="cases_6"/>
      <sheetName val="PH_REVENUE6"/>
      <sheetName val="Monthly_Target_Revenues6"/>
      <sheetName val="Monthly_Target_Cases6"/>
      <sheetName val="treasury_(1)6"/>
      <sheetName val="treasury_(2)6"/>
      <sheetName val="treasury_(3)6"/>
      <sheetName val="treasury_(4)6"/>
      <sheetName val="treasury_(5)6"/>
      <sheetName val="treasury_(6)6"/>
      <sheetName val="treasury_(8)6"/>
      <sheetName val="treasury_(9)6"/>
      <sheetName val="treasury_(10)6"/>
      <sheetName val="treasury_(11)6"/>
      <sheetName val="treasury_(12)6"/>
      <sheetName val="treasury_(13)6"/>
      <sheetName val="treasury_(15)6"/>
      <sheetName val="treasury_(16)6"/>
      <sheetName val="treasury_(17)6"/>
      <sheetName val="treasury_(18)6"/>
      <sheetName val="treasury_(19)6"/>
      <sheetName val="treasury_(20)6"/>
      <sheetName val="treasury_(22)6"/>
      <sheetName val="treasury_(23)6"/>
      <sheetName val="treasury_(24)6"/>
      <sheetName val="treasury_(25)6"/>
      <sheetName val="treasury_(26)6"/>
      <sheetName val="treasury_(27)6"/>
      <sheetName val="treasury_(29)6"/>
      <sheetName val="treasury_(30)6"/>
      <sheetName val="treasury_(31)6"/>
      <sheetName val="statement_(1)6"/>
      <sheetName val="statement_(2)6"/>
      <sheetName val="statement_(3)6"/>
      <sheetName val="statement_(4)6"/>
      <sheetName val="statement_(5)6"/>
      <sheetName val="statement_(6)6"/>
      <sheetName val="statement_(8)6"/>
      <sheetName val="statement_(9)6"/>
      <sheetName val="statement_(10)6"/>
      <sheetName val="statement_(11)6"/>
      <sheetName val="statement_(12)6"/>
      <sheetName val="statement_(13)6"/>
      <sheetName val="statement_(15)6"/>
      <sheetName val="statement_(16)6"/>
      <sheetName val="statement_(17)6"/>
      <sheetName val="statement_(18)6"/>
      <sheetName val="statement_(19)6"/>
      <sheetName val="statement_(20)6"/>
      <sheetName val="statement_(22)6"/>
      <sheetName val="statement_(23)6"/>
      <sheetName val="statement_(24)6"/>
      <sheetName val="statement_(25)6"/>
      <sheetName val="statement_(26)6"/>
      <sheetName val="statement_(27)6"/>
      <sheetName val="statement_(29)6"/>
      <sheetName val="statement_(30)6"/>
      <sheetName val="statement_(31)6"/>
      <sheetName val="companies_6"/>
      <sheetName val="Financial_Charts6"/>
      <sheetName val="revenues__vs_expenses6"/>
      <sheetName val="Sheet2_(2)6"/>
      <sheetName val="13-8_3"/>
      <sheetName val="24-8_3"/>
      <sheetName val="Revenues_3"/>
      <sheetName val="Monthly_REV__LCH_3"/>
      <sheetName val="doctors_salaries3"/>
      <sheetName val="Monthly_Target_Revenues_3"/>
      <sheetName val="Yearly_REV__DOC_3"/>
      <sheetName val="Monthly_Target_Cases_3"/>
      <sheetName val="Monthly_REV__DOC_3"/>
      <sheetName val="Yearly_REV__DOC3"/>
      <sheetName val="cases_3"/>
      <sheetName val="PH_REVENUE3"/>
      <sheetName val="Monthly_Target_Revenues3"/>
      <sheetName val="Monthly_Target_Cases3"/>
      <sheetName val="treasury_(1)3"/>
      <sheetName val="treasury_(2)3"/>
      <sheetName val="treasury_(3)3"/>
      <sheetName val="treasury_(4)3"/>
      <sheetName val="treasury_(5)3"/>
      <sheetName val="treasury_(6)3"/>
      <sheetName val="treasury_(8)3"/>
      <sheetName val="treasury_(9)3"/>
      <sheetName val="treasury_(10)3"/>
      <sheetName val="treasury_(11)3"/>
      <sheetName val="treasury_(12)3"/>
      <sheetName val="treasury_(13)3"/>
      <sheetName val="treasury_(15)3"/>
      <sheetName val="treasury_(16)3"/>
      <sheetName val="treasury_(17)3"/>
      <sheetName val="treasury_(18)3"/>
      <sheetName val="treasury_(19)3"/>
      <sheetName val="treasury_(20)3"/>
      <sheetName val="treasury_(22)3"/>
      <sheetName val="treasury_(23)3"/>
      <sheetName val="treasury_(24)3"/>
      <sheetName val="treasury_(25)3"/>
      <sheetName val="treasury_(26)3"/>
      <sheetName val="treasury_(27)3"/>
      <sheetName val="treasury_(29)3"/>
      <sheetName val="treasury_(30)3"/>
      <sheetName val="treasury_(31)3"/>
      <sheetName val="statement_(1)3"/>
      <sheetName val="statement_(2)3"/>
      <sheetName val="statement_(3)3"/>
      <sheetName val="statement_(4)3"/>
      <sheetName val="statement_(5)3"/>
      <sheetName val="statement_(6)3"/>
      <sheetName val="statement_(8)3"/>
      <sheetName val="statement_(9)3"/>
      <sheetName val="statement_(10)3"/>
      <sheetName val="statement_(11)3"/>
      <sheetName val="statement_(12)3"/>
      <sheetName val="statement_(13)3"/>
      <sheetName val="statement_(15)3"/>
      <sheetName val="statement_(16)3"/>
      <sheetName val="statement_(17)3"/>
      <sheetName val="statement_(18)3"/>
      <sheetName val="statement_(19)3"/>
      <sheetName val="statement_(20)3"/>
      <sheetName val="statement_(22)3"/>
      <sheetName val="statement_(23)3"/>
      <sheetName val="statement_(24)3"/>
      <sheetName val="statement_(25)3"/>
      <sheetName val="statement_(26)3"/>
      <sheetName val="statement_(27)3"/>
      <sheetName val="statement_(29)3"/>
      <sheetName val="statement_(30)3"/>
      <sheetName val="statement_(31)3"/>
      <sheetName val="companies_3"/>
      <sheetName val="Financial_Charts3"/>
      <sheetName val="revenues__vs_expenses3"/>
      <sheetName val="Sheet2_(2)3"/>
      <sheetName val="13-8_4"/>
      <sheetName val="24-8_4"/>
      <sheetName val="Revenues_4"/>
      <sheetName val="Monthly_REV__LCH_4"/>
      <sheetName val="doctors_salaries4"/>
      <sheetName val="Monthly_Target_Revenues_4"/>
      <sheetName val="Yearly_REV__DOC_4"/>
      <sheetName val="Monthly_Target_Cases_4"/>
      <sheetName val="Monthly_REV__DOC_4"/>
      <sheetName val="Yearly_REV__DOC4"/>
      <sheetName val="cases_4"/>
      <sheetName val="PH_REVENUE4"/>
      <sheetName val="Monthly_Target_Revenues4"/>
      <sheetName val="Monthly_Target_Cases4"/>
      <sheetName val="treasury_(1)4"/>
      <sheetName val="treasury_(2)4"/>
      <sheetName val="treasury_(3)4"/>
      <sheetName val="treasury_(4)4"/>
      <sheetName val="treasury_(5)4"/>
      <sheetName val="treasury_(6)4"/>
      <sheetName val="treasury_(8)4"/>
      <sheetName val="treasury_(9)4"/>
      <sheetName val="treasury_(10)4"/>
      <sheetName val="treasury_(11)4"/>
      <sheetName val="treasury_(12)4"/>
      <sheetName val="treasury_(13)4"/>
      <sheetName val="treasury_(15)4"/>
      <sheetName val="treasury_(16)4"/>
      <sheetName val="treasury_(17)4"/>
      <sheetName val="treasury_(18)4"/>
      <sheetName val="treasury_(19)4"/>
      <sheetName val="treasury_(20)4"/>
      <sheetName val="treasury_(22)4"/>
      <sheetName val="treasury_(23)4"/>
      <sheetName val="treasury_(24)4"/>
      <sheetName val="treasury_(25)4"/>
      <sheetName val="treasury_(26)4"/>
      <sheetName val="treasury_(27)4"/>
      <sheetName val="treasury_(29)4"/>
      <sheetName val="treasury_(30)4"/>
      <sheetName val="treasury_(31)4"/>
      <sheetName val="statement_(1)4"/>
      <sheetName val="statement_(2)4"/>
      <sheetName val="statement_(3)4"/>
      <sheetName val="statement_(4)4"/>
      <sheetName val="statement_(5)4"/>
      <sheetName val="statement_(6)4"/>
      <sheetName val="statement_(8)4"/>
      <sheetName val="statement_(9)4"/>
      <sheetName val="statement_(10)4"/>
      <sheetName val="statement_(11)4"/>
      <sheetName val="statement_(12)4"/>
      <sheetName val="statement_(13)4"/>
      <sheetName val="statement_(15)4"/>
      <sheetName val="statement_(16)4"/>
      <sheetName val="statement_(17)4"/>
      <sheetName val="statement_(18)4"/>
      <sheetName val="statement_(19)4"/>
      <sheetName val="statement_(20)4"/>
      <sheetName val="statement_(22)4"/>
      <sheetName val="statement_(23)4"/>
      <sheetName val="statement_(24)4"/>
      <sheetName val="statement_(25)4"/>
      <sheetName val="statement_(26)4"/>
      <sheetName val="statement_(27)4"/>
      <sheetName val="statement_(29)4"/>
      <sheetName val="statement_(30)4"/>
      <sheetName val="statement_(31)4"/>
      <sheetName val="companies_4"/>
      <sheetName val="Financial_Charts4"/>
      <sheetName val="revenues__vs_expenses4"/>
      <sheetName val="Sheet2_(2)4"/>
      <sheetName val="13-8_5"/>
      <sheetName val="24-8_5"/>
      <sheetName val="Revenues_5"/>
      <sheetName val="Monthly_REV__LCH_5"/>
      <sheetName val="doctors_salaries5"/>
      <sheetName val="Monthly_Target_Revenues_5"/>
      <sheetName val="Yearly_REV__DOC_5"/>
      <sheetName val="Monthly_Target_Cases_5"/>
      <sheetName val="Monthly_REV__DOC_5"/>
      <sheetName val="Yearly_REV__DOC5"/>
      <sheetName val="cases_5"/>
      <sheetName val="PH_REVENUE5"/>
      <sheetName val="Monthly_Target_Revenues5"/>
      <sheetName val="Monthly_Target_Cases5"/>
      <sheetName val="treasury_(1)5"/>
      <sheetName val="treasury_(2)5"/>
      <sheetName val="treasury_(3)5"/>
      <sheetName val="treasury_(4)5"/>
      <sheetName val="treasury_(5)5"/>
      <sheetName val="treasury_(6)5"/>
      <sheetName val="treasury_(8)5"/>
      <sheetName val="treasury_(9)5"/>
      <sheetName val="treasury_(10)5"/>
      <sheetName val="treasury_(11)5"/>
      <sheetName val="treasury_(12)5"/>
      <sheetName val="treasury_(13)5"/>
      <sheetName val="treasury_(15)5"/>
      <sheetName val="treasury_(16)5"/>
      <sheetName val="treasury_(17)5"/>
      <sheetName val="treasury_(18)5"/>
      <sheetName val="treasury_(19)5"/>
      <sheetName val="treasury_(20)5"/>
      <sheetName val="treasury_(22)5"/>
      <sheetName val="treasury_(23)5"/>
      <sheetName val="treasury_(24)5"/>
      <sheetName val="treasury_(25)5"/>
      <sheetName val="treasury_(26)5"/>
      <sheetName val="treasury_(27)5"/>
      <sheetName val="treasury_(29)5"/>
      <sheetName val="treasury_(30)5"/>
      <sheetName val="treasury_(31)5"/>
      <sheetName val="statement_(1)5"/>
      <sheetName val="statement_(2)5"/>
      <sheetName val="statement_(3)5"/>
      <sheetName val="statement_(4)5"/>
      <sheetName val="statement_(5)5"/>
      <sheetName val="statement_(6)5"/>
      <sheetName val="statement_(8)5"/>
      <sheetName val="statement_(9)5"/>
      <sheetName val="statement_(10)5"/>
      <sheetName val="statement_(11)5"/>
      <sheetName val="statement_(12)5"/>
      <sheetName val="statement_(13)5"/>
      <sheetName val="statement_(15)5"/>
      <sheetName val="statement_(16)5"/>
      <sheetName val="statement_(17)5"/>
      <sheetName val="statement_(18)5"/>
      <sheetName val="statement_(19)5"/>
      <sheetName val="statement_(20)5"/>
      <sheetName val="statement_(22)5"/>
      <sheetName val="statement_(23)5"/>
      <sheetName val="statement_(24)5"/>
      <sheetName val="statement_(25)5"/>
      <sheetName val="statement_(26)5"/>
      <sheetName val="statement_(27)5"/>
      <sheetName val="statement_(29)5"/>
      <sheetName val="statement_(30)5"/>
      <sheetName val="statement_(31)5"/>
      <sheetName val="companies_5"/>
      <sheetName val="Financial_Charts5"/>
      <sheetName val="revenues__vs_expenses5"/>
      <sheetName val="Sheet2_(2)5"/>
      <sheetName val="13-8_7"/>
      <sheetName val="24-8_7"/>
      <sheetName val="Revenues_7"/>
      <sheetName val="Monthly_REV__LCH_7"/>
      <sheetName val="doctors_salaries7"/>
      <sheetName val="Monthly_Target_Revenues_7"/>
      <sheetName val="Yearly_REV__DOC_7"/>
      <sheetName val="Monthly_Target_Cases_7"/>
      <sheetName val="Monthly_REV__DOC_7"/>
      <sheetName val="Yearly_REV__DOC7"/>
      <sheetName val="cases_7"/>
      <sheetName val="PH_REVENUE7"/>
      <sheetName val="Monthly_Target_Revenues7"/>
      <sheetName val="Monthly_Target_Cases7"/>
      <sheetName val="treasury_(1)7"/>
      <sheetName val="treasury_(2)7"/>
      <sheetName val="treasury_(3)7"/>
      <sheetName val="treasury_(4)7"/>
      <sheetName val="treasury_(5)7"/>
      <sheetName val="treasury_(6)7"/>
      <sheetName val="treasury_(8)7"/>
      <sheetName val="treasury_(9)7"/>
      <sheetName val="treasury_(10)7"/>
      <sheetName val="treasury_(11)7"/>
      <sheetName val="treasury_(12)7"/>
      <sheetName val="treasury_(13)7"/>
      <sheetName val="treasury_(15)7"/>
      <sheetName val="treasury_(16)7"/>
      <sheetName val="treasury_(17)7"/>
      <sheetName val="treasury_(18)7"/>
      <sheetName val="treasury_(19)7"/>
      <sheetName val="treasury_(20)7"/>
      <sheetName val="treasury_(22)7"/>
      <sheetName val="treasury_(23)7"/>
      <sheetName val="treasury_(24)7"/>
      <sheetName val="treasury_(25)7"/>
      <sheetName val="treasury_(26)7"/>
      <sheetName val="treasury_(27)7"/>
      <sheetName val="treasury_(29)7"/>
      <sheetName val="treasury_(30)7"/>
      <sheetName val="treasury_(31)7"/>
      <sheetName val="statement_(1)7"/>
      <sheetName val="statement_(2)7"/>
      <sheetName val="statement_(3)7"/>
      <sheetName val="statement_(4)7"/>
      <sheetName val="statement_(5)7"/>
      <sheetName val="statement_(6)7"/>
      <sheetName val="statement_(8)7"/>
      <sheetName val="statement_(9)7"/>
      <sheetName val="statement_(10)7"/>
      <sheetName val="statement_(11)7"/>
      <sheetName val="statement_(12)7"/>
      <sheetName val="statement_(13)7"/>
      <sheetName val="statement_(15)7"/>
      <sheetName val="statement_(16)7"/>
      <sheetName val="statement_(17)7"/>
      <sheetName val="statement_(18)7"/>
      <sheetName val="statement_(19)7"/>
      <sheetName val="statement_(20)7"/>
      <sheetName val="statement_(22)7"/>
      <sheetName val="statement_(23)7"/>
      <sheetName val="statement_(24)7"/>
      <sheetName val="statement_(25)7"/>
      <sheetName val="statement_(26)7"/>
      <sheetName val="statement_(27)7"/>
      <sheetName val="statement_(29)7"/>
      <sheetName val="statement_(30)7"/>
      <sheetName val="statement_(31)7"/>
      <sheetName val="companies_7"/>
      <sheetName val="Financial_Charts7"/>
      <sheetName val="revenues__vs_expenses7"/>
      <sheetName val="Sheet2_(2)7"/>
      <sheetName val="13-8_8"/>
      <sheetName val="24-8_8"/>
      <sheetName val="Revenues_8"/>
      <sheetName val="Monthly_REV__LCH_8"/>
      <sheetName val="doctors_salaries8"/>
      <sheetName val="Monthly_Target_Revenues_8"/>
      <sheetName val="Yearly_REV__DOC_8"/>
      <sheetName val="Monthly_Target_Cases_8"/>
      <sheetName val="Monthly_REV__DOC_8"/>
      <sheetName val="Yearly_REV__DOC8"/>
      <sheetName val="cases_8"/>
      <sheetName val="PH_REVENUE8"/>
      <sheetName val="Monthly_Target_Revenues8"/>
      <sheetName val="Monthly_Target_Cases8"/>
      <sheetName val="treasury_(1)8"/>
      <sheetName val="treasury_(2)8"/>
      <sheetName val="treasury_(3)8"/>
      <sheetName val="treasury_(4)8"/>
      <sheetName val="treasury_(5)8"/>
      <sheetName val="treasury_(6)8"/>
      <sheetName val="treasury_(8)8"/>
      <sheetName val="treasury_(9)8"/>
      <sheetName val="treasury_(10)8"/>
      <sheetName val="treasury_(11)8"/>
      <sheetName val="treasury_(12)8"/>
      <sheetName val="treasury_(13)8"/>
      <sheetName val="treasury_(15)8"/>
      <sheetName val="treasury_(16)8"/>
      <sheetName val="treasury_(17)8"/>
      <sheetName val="treasury_(18)8"/>
      <sheetName val="treasury_(19)8"/>
      <sheetName val="treasury_(20)8"/>
      <sheetName val="treasury_(22)8"/>
      <sheetName val="treasury_(23)8"/>
      <sheetName val="treasury_(24)8"/>
      <sheetName val="treasury_(25)8"/>
      <sheetName val="treasury_(26)8"/>
      <sheetName val="treasury_(27)8"/>
      <sheetName val="treasury_(29)8"/>
      <sheetName val="treasury_(30)8"/>
      <sheetName val="treasury_(31)8"/>
      <sheetName val="statement_(1)8"/>
      <sheetName val="statement_(2)8"/>
      <sheetName val="statement_(3)8"/>
      <sheetName val="statement_(4)8"/>
      <sheetName val="statement_(5)8"/>
      <sheetName val="statement_(6)8"/>
      <sheetName val="statement_(8)8"/>
      <sheetName val="statement_(9)8"/>
      <sheetName val="statement_(10)8"/>
      <sheetName val="statement_(11)8"/>
      <sheetName val="statement_(12)8"/>
      <sheetName val="statement_(13)8"/>
      <sheetName val="statement_(15)8"/>
      <sheetName val="statement_(16)8"/>
      <sheetName val="statement_(17)8"/>
      <sheetName val="statement_(18)8"/>
      <sheetName val="statement_(19)8"/>
      <sheetName val="statement_(20)8"/>
      <sheetName val="statement_(22)8"/>
      <sheetName val="statement_(23)8"/>
      <sheetName val="statement_(24)8"/>
      <sheetName val="statement_(25)8"/>
      <sheetName val="statement_(26)8"/>
      <sheetName val="statement_(27)8"/>
      <sheetName val="statement_(29)8"/>
      <sheetName val="statement_(30)8"/>
      <sheetName val="statement_(31)8"/>
      <sheetName val="companies_8"/>
      <sheetName val="Financial_Charts8"/>
      <sheetName val="revenues__vs_expenses8"/>
      <sheetName val="Sheet2_(2)8"/>
      <sheetName val="13-8_9"/>
      <sheetName val="24-8_9"/>
      <sheetName val="Revenues_9"/>
      <sheetName val="Monthly_REV__LCH_9"/>
      <sheetName val="doctors_salaries9"/>
      <sheetName val="Monthly_Target_Revenues_9"/>
      <sheetName val="Yearly_REV__DOC_9"/>
      <sheetName val="Monthly_Target_Cases_9"/>
      <sheetName val="Monthly_REV__DOC_9"/>
      <sheetName val="Yearly_REV__DOC9"/>
      <sheetName val="cases_9"/>
      <sheetName val="PH_REVENUE9"/>
      <sheetName val="Monthly_Target_Revenues9"/>
      <sheetName val="Monthly_Target_Cases9"/>
      <sheetName val="treasury_(1)9"/>
      <sheetName val="treasury_(2)9"/>
      <sheetName val="treasury_(3)9"/>
      <sheetName val="treasury_(4)9"/>
      <sheetName val="treasury_(5)9"/>
      <sheetName val="treasury_(6)9"/>
      <sheetName val="treasury_(8)9"/>
      <sheetName val="treasury_(9)9"/>
      <sheetName val="treasury_(10)9"/>
      <sheetName val="treasury_(11)9"/>
      <sheetName val="treasury_(12)9"/>
      <sheetName val="treasury_(13)9"/>
      <sheetName val="treasury_(15)9"/>
      <sheetName val="treasury_(16)9"/>
      <sheetName val="treasury_(17)9"/>
      <sheetName val="treasury_(18)9"/>
      <sheetName val="treasury_(19)9"/>
      <sheetName val="treasury_(20)9"/>
      <sheetName val="treasury_(22)9"/>
      <sheetName val="treasury_(23)9"/>
      <sheetName val="treasury_(24)9"/>
      <sheetName val="treasury_(25)9"/>
      <sheetName val="treasury_(26)9"/>
      <sheetName val="treasury_(27)9"/>
      <sheetName val="treasury_(29)9"/>
      <sheetName val="treasury_(30)9"/>
      <sheetName val="treasury_(31)9"/>
      <sheetName val="statement_(1)9"/>
      <sheetName val="statement_(2)9"/>
      <sheetName val="statement_(3)9"/>
      <sheetName val="statement_(4)9"/>
      <sheetName val="statement_(5)9"/>
      <sheetName val="statement_(6)9"/>
      <sheetName val="statement_(8)9"/>
      <sheetName val="statement_(9)9"/>
      <sheetName val="statement_(10)9"/>
      <sheetName val="statement_(11)9"/>
      <sheetName val="statement_(12)9"/>
      <sheetName val="statement_(13)9"/>
      <sheetName val="statement_(15)9"/>
      <sheetName val="statement_(16)9"/>
      <sheetName val="statement_(17)9"/>
      <sheetName val="statement_(18)9"/>
      <sheetName val="statement_(19)9"/>
      <sheetName val="statement_(20)9"/>
      <sheetName val="statement_(22)9"/>
      <sheetName val="statement_(23)9"/>
      <sheetName val="statement_(24)9"/>
      <sheetName val="statement_(25)9"/>
      <sheetName val="statement_(26)9"/>
      <sheetName val="statement_(27)9"/>
      <sheetName val="statement_(29)9"/>
      <sheetName val="statement_(30)9"/>
      <sheetName val="statement_(31)9"/>
      <sheetName val="companies_9"/>
      <sheetName val="Financial_Charts9"/>
      <sheetName val="revenues__vs_expenses9"/>
      <sheetName val="Sheet2_(2)9"/>
      <sheetName val="13-8_10"/>
      <sheetName val="24-8_10"/>
      <sheetName val="Revenues_10"/>
      <sheetName val="Monthly_REV__LCH_10"/>
      <sheetName val="doctors_salaries10"/>
      <sheetName val="Monthly_Target_Revenues_10"/>
      <sheetName val="Yearly_REV__DOC_10"/>
      <sheetName val="Monthly_Target_Cases_10"/>
      <sheetName val="Monthly_REV__DOC_10"/>
      <sheetName val="Yearly_REV__DOC10"/>
      <sheetName val="cases_10"/>
      <sheetName val="PH_REVENUE10"/>
      <sheetName val="Monthly_Target_Revenues10"/>
      <sheetName val="Monthly_Target_Cases10"/>
      <sheetName val="treasury_(1)10"/>
      <sheetName val="treasury_(2)10"/>
      <sheetName val="treasury_(3)10"/>
      <sheetName val="treasury_(4)10"/>
      <sheetName val="treasury_(5)10"/>
      <sheetName val="treasury_(6)10"/>
      <sheetName val="treasury_(8)10"/>
      <sheetName val="treasury_(9)10"/>
      <sheetName val="treasury_(10)10"/>
      <sheetName val="treasury_(11)10"/>
      <sheetName val="treasury_(12)10"/>
      <sheetName val="treasury_(13)10"/>
      <sheetName val="treasury_(15)10"/>
      <sheetName val="treasury_(16)10"/>
      <sheetName val="treasury_(17)10"/>
      <sheetName val="treasury_(18)10"/>
      <sheetName val="treasury_(19)10"/>
      <sheetName val="treasury_(20)10"/>
      <sheetName val="treasury_(22)10"/>
      <sheetName val="treasury_(23)10"/>
      <sheetName val="treasury_(24)10"/>
      <sheetName val="treasury_(25)10"/>
      <sheetName val="treasury_(26)10"/>
      <sheetName val="treasury_(27)10"/>
      <sheetName val="treasury_(29)10"/>
      <sheetName val="treasury_(30)10"/>
      <sheetName val="treasury_(31)10"/>
      <sheetName val="statement_(1)10"/>
      <sheetName val="statement_(2)10"/>
      <sheetName val="statement_(3)10"/>
      <sheetName val="statement_(4)10"/>
      <sheetName val="statement_(5)10"/>
      <sheetName val="statement_(6)10"/>
      <sheetName val="statement_(8)10"/>
      <sheetName val="statement_(9)10"/>
      <sheetName val="statement_(10)10"/>
      <sheetName val="statement_(11)10"/>
      <sheetName val="statement_(12)10"/>
      <sheetName val="statement_(13)10"/>
      <sheetName val="statement_(15)10"/>
      <sheetName val="statement_(16)10"/>
      <sheetName val="statement_(17)10"/>
      <sheetName val="statement_(18)10"/>
      <sheetName val="statement_(19)10"/>
      <sheetName val="statement_(20)10"/>
      <sheetName val="statement_(22)10"/>
      <sheetName val="statement_(23)10"/>
      <sheetName val="statement_(24)10"/>
      <sheetName val="statement_(25)10"/>
      <sheetName val="statement_(26)10"/>
      <sheetName val="statement_(27)10"/>
      <sheetName val="statement_(29)10"/>
      <sheetName val="statement_(30)10"/>
      <sheetName val="statement_(31)10"/>
      <sheetName val="companies_10"/>
      <sheetName val="Financial_Charts10"/>
      <sheetName val="revenues__vs_expenses10"/>
      <sheetName val="Sheet2_(2)10"/>
      <sheetName val="13-8_11"/>
      <sheetName val="24-8_11"/>
      <sheetName val="Revenues_11"/>
      <sheetName val="Monthly_REV__LCH_11"/>
      <sheetName val="doctors_salaries11"/>
      <sheetName val="Monthly_Target_Revenues_11"/>
      <sheetName val="Yearly_REV__DOC_11"/>
      <sheetName val="Monthly_Target_Cases_11"/>
      <sheetName val="Monthly_REV__DOC_11"/>
      <sheetName val="Yearly_REV__DOC11"/>
      <sheetName val="cases_11"/>
      <sheetName val="PH_REVENUE11"/>
      <sheetName val="Monthly_Target_Revenues11"/>
      <sheetName val="Monthly_Target_Cases11"/>
      <sheetName val="treasury_(1)11"/>
      <sheetName val="treasury_(2)11"/>
      <sheetName val="treasury_(3)11"/>
      <sheetName val="treasury_(4)11"/>
      <sheetName val="treasury_(5)11"/>
      <sheetName val="treasury_(6)11"/>
      <sheetName val="treasury_(8)11"/>
      <sheetName val="treasury_(9)11"/>
      <sheetName val="treasury_(10)11"/>
      <sheetName val="treasury_(11)11"/>
      <sheetName val="treasury_(12)11"/>
      <sheetName val="treasury_(13)11"/>
      <sheetName val="treasury_(15)11"/>
      <sheetName val="treasury_(16)11"/>
      <sheetName val="treasury_(17)11"/>
      <sheetName val="treasury_(18)11"/>
      <sheetName val="treasury_(19)11"/>
      <sheetName val="treasury_(20)11"/>
      <sheetName val="treasury_(22)11"/>
      <sheetName val="treasury_(23)11"/>
      <sheetName val="treasury_(24)11"/>
      <sheetName val="treasury_(25)11"/>
      <sheetName val="treasury_(26)11"/>
      <sheetName val="treasury_(27)11"/>
      <sheetName val="treasury_(29)11"/>
      <sheetName val="treasury_(30)11"/>
      <sheetName val="treasury_(31)11"/>
      <sheetName val="statement_(1)11"/>
      <sheetName val="statement_(2)11"/>
      <sheetName val="statement_(3)11"/>
      <sheetName val="statement_(4)11"/>
      <sheetName val="statement_(5)11"/>
      <sheetName val="statement_(6)11"/>
      <sheetName val="statement_(8)11"/>
      <sheetName val="statement_(9)11"/>
      <sheetName val="statement_(10)11"/>
      <sheetName val="statement_(11)11"/>
      <sheetName val="statement_(12)11"/>
      <sheetName val="statement_(13)11"/>
      <sheetName val="statement_(15)11"/>
      <sheetName val="statement_(16)11"/>
      <sheetName val="statement_(17)11"/>
      <sheetName val="statement_(18)11"/>
      <sheetName val="statement_(19)11"/>
      <sheetName val="statement_(20)11"/>
      <sheetName val="statement_(22)11"/>
      <sheetName val="statement_(23)11"/>
      <sheetName val="statement_(24)11"/>
      <sheetName val="statement_(25)11"/>
      <sheetName val="statement_(26)11"/>
      <sheetName val="statement_(27)11"/>
      <sheetName val="statement_(29)11"/>
      <sheetName val="statement_(30)11"/>
      <sheetName val="statement_(31)11"/>
      <sheetName val="companies_11"/>
      <sheetName val="Financial_Charts11"/>
      <sheetName val="revenues__vs_expenses11"/>
      <sheetName val="Sheet2_(2)11"/>
      <sheetName val="13-8_12"/>
      <sheetName val="24-8_12"/>
      <sheetName val="Revenues_12"/>
      <sheetName val="Monthly_REV__LCH_12"/>
      <sheetName val="doctors_salaries12"/>
      <sheetName val="Monthly_Target_Revenues_12"/>
      <sheetName val="Yearly_REV__DOC_12"/>
      <sheetName val="Monthly_Target_Cases_12"/>
      <sheetName val="Monthly_REV__DOC_12"/>
      <sheetName val="Yearly_REV__DOC12"/>
      <sheetName val="cases_12"/>
      <sheetName val="PH_REVENUE12"/>
      <sheetName val="Monthly_Target_Revenues12"/>
      <sheetName val="Monthly_Target_Cases12"/>
      <sheetName val="treasury_(1)12"/>
      <sheetName val="treasury_(2)12"/>
      <sheetName val="treasury_(3)12"/>
      <sheetName val="treasury_(4)12"/>
      <sheetName val="treasury_(5)12"/>
      <sheetName val="treasury_(6)12"/>
      <sheetName val="treasury_(8)12"/>
      <sheetName val="treasury_(9)12"/>
      <sheetName val="treasury_(10)12"/>
      <sheetName val="treasury_(11)12"/>
      <sheetName val="treasury_(12)12"/>
      <sheetName val="treasury_(13)12"/>
      <sheetName val="treasury_(15)12"/>
      <sheetName val="treasury_(16)12"/>
      <sheetName val="treasury_(17)12"/>
      <sheetName val="treasury_(18)12"/>
      <sheetName val="treasury_(19)12"/>
      <sheetName val="treasury_(20)12"/>
      <sheetName val="treasury_(22)12"/>
      <sheetName val="treasury_(23)12"/>
      <sheetName val="treasury_(24)12"/>
      <sheetName val="treasury_(25)12"/>
      <sheetName val="treasury_(26)12"/>
      <sheetName val="treasury_(27)12"/>
      <sheetName val="treasury_(29)12"/>
      <sheetName val="treasury_(30)12"/>
      <sheetName val="treasury_(31)12"/>
      <sheetName val="statement_(1)12"/>
      <sheetName val="statement_(2)12"/>
      <sheetName val="statement_(3)12"/>
      <sheetName val="statement_(4)12"/>
      <sheetName val="statement_(5)12"/>
      <sheetName val="statement_(6)12"/>
      <sheetName val="statement_(8)12"/>
      <sheetName val="statement_(9)12"/>
      <sheetName val="statement_(10)12"/>
      <sheetName val="statement_(11)12"/>
      <sheetName val="statement_(12)12"/>
      <sheetName val="statement_(13)12"/>
      <sheetName val="statement_(15)12"/>
      <sheetName val="statement_(16)12"/>
      <sheetName val="statement_(17)12"/>
      <sheetName val="statement_(18)12"/>
      <sheetName val="statement_(19)12"/>
      <sheetName val="statement_(20)12"/>
      <sheetName val="statement_(22)12"/>
      <sheetName val="statement_(23)12"/>
      <sheetName val="statement_(24)12"/>
      <sheetName val="statement_(25)12"/>
      <sheetName val="statement_(26)12"/>
      <sheetName val="statement_(27)12"/>
      <sheetName val="statement_(29)12"/>
      <sheetName val="statement_(30)12"/>
      <sheetName val="statement_(31)12"/>
      <sheetName val="companies_12"/>
      <sheetName val="Financial_Charts12"/>
      <sheetName val="revenues__vs_expenses12"/>
      <sheetName val="Sheet2_(2)12"/>
      <sheetName val="Full capacity"/>
      <sheetName val="Droplists"/>
      <sheetName val="Lists"/>
      <sheetName val="Reference"/>
      <sheetName val="depart"/>
      <sheetName val="title"/>
      <sheetName val="Retention Report "/>
      <sheetName val="Droplist"/>
      <sheetName val="List"/>
      <sheetName val="Account analysis "/>
      <sheetName val="READ "/>
      <sheetName val="Compliance"/>
      <sheetName val="Unified References"/>
      <sheetName val="levels"/>
      <sheetName val="Le chateau Daily Income Report "/>
      <sheetName val="hiddenSheet"/>
      <sheetName val="DAMA Report"/>
      <sheetName val="Refrence"/>
      <sheetName val="Factor"/>
      <sheetName val="july "/>
      <sheetName val="Reference EX"/>
      <sheetName val="specialists"/>
      <sheetName val="consultan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110">
          <cell r="C110" t="str">
            <v>Ashraf  Nasr</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2"/>
      <sheetName val="Helper"/>
      <sheetName val="DATA BASE"/>
      <sheetName val="OR REF PER SPE&amp;DOC"/>
      <sheetName val="OR REFERRALS PER CONTRACT"/>
      <sheetName val="Factor"/>
      <sheetName val="Remote Corporate sup."/>
      <sheetName val="lists"/>
      <sheetName val="ASH"/>
      <sheetName val="SMH"/>
      <sheetName val="Alexandria"/>
      <sheetName val="AMH CRM"/>
      <sheetName val="KSA FEB"/>
      <sheetName val="ADC"/>
      <sheetName val="AKW"/>
      <sheetName val="HJH"/>
      <sheetName val="APC"/>
      <sheetName val="pivots"/>
      <sheetName val="Droplist"/>
      <sheetName val="Sheet1"/>
      <sheetName val="Refrence"/>
      <sheetName val="Droplists"/>
      <sheetName val="Brief"/>
      <sheetName val="Cat."/>
      <sheetName val="hiddenSheet"/>
      <sheetName val="DropDownList"/>
      <sheetName val="HCAPS Comments"/>
      <sheetName val="Reference EX"/>
      <sheetName val="Reference"/>
      <sheetName val="Selection List"/>
      <sheetName val="Over All"/>
      <sheetName val="keys"/>
      <sheetName val="drop list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Sheet2"/>
      <sheetName val="Activity Measurement"/>
      <sheetName val="Monitoring Report"/>
      <sheetName val="ASH."/>
      <sheetName val="Factor"/>
      <sheetName val="KSA"/>
      <sheetName val="over view"/>
      <sheetName val="Digital Volume Contribution "/>
      <sheetName val="HJH"/>
      <sheetName val="Payment Type "/>
      <sheetName val="Medical Record "/>
      <sheetName val="HJH OVERVIEW "/>
      <sheetName val="AKW"/>
      <sheetName val="OPD Analysis  (2)"/>
      <sheetName val="ADC"/>
      <sheetName val="Polyclinic "/>
      <sheetName val="Cash_flow1"/>
      <sheetName val="External_&amp;_Outpatient1"/>
      <sheetName val="Cath_lab1"/>
      <sheetName val="ASH_Target1"/>
      <sheetName val="ASSH_TARget1"/>
      <sheetName val="operational_exp_1"/>
      <sheetName val="Markting_Exp_1"/>
      <sheetName val="H_R_Plan1"/>
      <sheetName val="Loan_Amortization_Schedule1"/>
      <sheetName val="Activity_Measurement1"/>
      <sheetName val="Monitoring_Report1"/>
      <sheetName val="ASH_1"/>
      <sheetName val="Cash_flow"/>
      <sheetName val="External_&amp;_Outpatient"/>
      <sheetName val="Cath_lab"/>
      <sheetName val="ASH_Target"/>
      <sheetName val="ASSH_TARget"/>
      <sheetName val="operational_exp_"/>
      <sheetName val="Markting_Exp_"/>
      <sheetName val="H_R_Plan"/>
      <sheetName val="Loan_Amortization_Schedule"/>
      <sheetName val="Activity_Measurement"/>
      <sheetName val="Monitoring_Report"/>
      <sheetName val="ASH_"/>
      <sheetName val="Cash_flow2"/>
      <sheetName val="External_&amp;_Outpatient2"/>
      <sheetName val="Cath_lab2"/>
      <sheetName val="ASH_Target2"/>
      <sheetName val="ASSH_TARget2"/>
      <sheetName val="operational_exp_2"/>
      <sheetName val="Markting_Exp_2"/>
      <sheetName val="H_R_Plan2"/>
      <sheetName val="Loan_Amortization_Schedule2"/>
      <sheetName val="Activity_Measurement2"/>
      <sheetName val="Monitoring_Report2"/>
      <sheetName val="ASH_2"/>
      <sheetName val="Cash_flow6"/>
      <sheetName val="External_&amp;_Outpatient6"/>
      <sheetName val="Cath_lab6"/>
      <sheetName val="ASH_Target6"/>
      <sheetName val="ASSH_TARget6"/>
      <sheetName val="operational_exp_6"/>
      <sheetName val="Markting_Exp_6"/>
      <sheetName val="H_R_Plan6"/>
      <sheetName val="Loan_Amortization_Schedule6"/>
      <sheetName val="Activity_Measurement6"/>
      <sheetName val="Monitoring_Report6"/>
      <sheetName val="ASH_6"/>
      <sheetName val="over_view2"/>
      <sheetName val="Digital_Volume_Contribution_2"/>
      <sheetName val="Payment_Type_2"/>
      <sheetName val="Medical_Record_2"/>
      <sheetName val="HJH_OVERVIEW_2"/>
      <sheetName val="OPD_Analysis__(2)2"/>
      <sheetName val="Polyclinic_2"/>
      <sheetName val="Cash_flow3"/>
      <sheetName val="External_&amp;_Outpatient3"/>
      <sheetName val="Cath_lab3"/>
      <sheetName val="ASH_Target3"/>
      <sheetName val="ASSH_TARget3"/>
      <sheetName val="operational_exp_3"/>
      <sheetName val="Markting_Exp_3"/>
      <sheetName val="H_R_Plan3"/>
      <sheetName val="Loan_Amortization_Schedule3"/>
      <sheetName val="Activity_Measurement3"/>
      <sheetName val="Monitoring_Report3"/>
      <sheetName val="ASH_3"/>
      <sheetName val="Cash_flow4"/>
      <sheetName val="External_&amp;_Outpatient4"/>
      <sheetName val="Cath_lab4"/>
      <sheetName val="ASH_Target4"/>
      <sheetName val="ASSH_TARget4"/>
      <sheetName val="operational_exp_4"/>
      <sheetName val="Markting_Exp_4"/>
      <sheetName val="H_R_Plan4"/>
      <sheetName val="Loan_Amortization_Schedule4"/>
      <sheetName val="Activity_Measurement4"/>
      <sheetName val="Monitoring_Report4"/>
      <sheetName val="ASH_4"/>
      <sheetName val="over_view"/>
      <sheetName val="Digital_Volume_Contribution_"/>
      <sheetName val="Payment_Type_"/>
      <sheetName val="Medical_Record_"/>
      <sheetName val="HJH_OVERVIEW_"/>
      <sheetName val="OPD_Analysis__(2)"/>
      <sheetName val="Polyclinic_"/>
      <sheetName val="Cash_flow5"/>
      <sheetName val="External_&amp;_Outpatient5"/>
      <sheetName val="Cath_lab5"/>
      <sheetName val="ASH_Target5"/>
      <sheetName val="ASSH_TARget5"/>
      <sheetName val="operational_exp_5"/>
      <sheetName val="Markting_Exp_5"/>
      <sheetName val="H_R_Plan5"/>
      <sheetName val="Loan_Amortization_Schedule5"/>
      <sheetName val="Activity_Measurement5"/>
      <sheetName val="Monitoring_Report5"/>
      <sheetName val="ASH_5"/>
      <sheetName val="over_view1"/>
      <sheetName val="Digital_Volume_Contribution_1"/>
      <sheetName val="Payment_Type_1"/>
      <sheetName val="Medical_Record_1"/>
      <sheetName val="HJH_OVERVIEW_1"/>
      <sheetName val="OPD_Analysis__(2)1"/>
      <sheetName val="Polyclinic_1"/>
      <sheetName val="Cash_flow7"/>
      <sheetName val="External_&amp;_Outpatient7"/>
      <sheetName val="Cath_lab7"/>
      <sheetName val="ASH_Target7"/>
      <sheetName val="ASSH_TARget7"/>
      <sheetName val="operational_exp_7"/>
      <sheetName val="Markting_Exp_7"/>
      <sheetName val="H_R_Plan7"/>
      <sheetName val="Loan_Amortization_Schedule7"/>
      <sheetName val="Activity_Measurement7"/>
      <sheetName val="Monitoring_Report7"/>
      <sheetName val="ASH_7"/>
      <sheetName val="Cash_flow8"/>
      <sheetName val="External_&amp;_Outpatient8"/>
      <sheetName val="Cath_lab8"/>
      <sheetName val="ASH_Target8"/>
      <sheetName val="ASSH_TARget8"/>
      <sheetName val="operational_exp_8"/>
      <sheetName val="Markting_Exp_8"/>
      <sheetName val="H_R_Plan8"/>
      <sheetName val="Loan_Amortization_Schedule8"/>
      <sheetName val="Activity_Measurement8"/>
      <sheetName val="Monitoring_Report8"/>
      <sheetName val="ASH_8"/>
      <sheetName val="over_view3"/>
      <sheetName val="Digital_Volume_Contribution_3"/>
      <sheetName val="Payment_Type_3"/>
      <sheetName val="Medical_Record_3"/>
      <sheetName val="HJH_OVERVIEW_3"/>
      <sheetName val="OPD_Analysis__(2)3"/>
      <sheetName val="Polyclinic_3"/>
      <sheetName val="Cash_flow9"/>
      <sheetName val="External_&amp;_Outpatient9"/>
      <sheetName val="Cath_lab9"/>
      <sheetName val="ASH_Target9"/>
      <sheetName val="ASSH_TARget9"/>
      <sheetName val="operational_exp_9"/>
      <sheetName val="Markting_Exp_9"/>
      <sheetName val="H_R_Plan9"/>
      <sheetName val="Loan_Amortization_Schedule9"/>
      <sheetName val="Activity_Measurement9"/>
      <sheetName val="Monitoring_Report9"/>
      <sheetName val="ASH_9"/>
      <sheetName val="over_view4"/>
      <sheetName val="Digital_Volume_Contribution_4"/>
      <sheetName val="Payment_Type_4"/>
      <sheetName val="Medical_Record_4"/>
      <sheetName val="HJH_OVERVIEW_4"/>
      <sheetName val="OPD_Analysis__(2)4"/>
      <sheetName val="Polyclinic_4"/>
      <sheetName val="Cash_flow10"/>
      <sheetName val="External_&amp;_Outpatient10"/>
      <sheetName val="Cath_lab10"/>
      <sheetName val="ASH_Target10"/>
      <sheetName val="ASSH_TARget10"/>
      <sheetName val="operational_exp_10"/>
      <sheetName val="Markting_Exp_10"/>
      <sheetName val="H_R_Plan10"/>
      <sheetName val="Loan_Amortization_Schedule10"/>
      <sheetName val="Activity_Measurement10"/>
      <sheetName val="Monitoring_Report10"/>
      <sheetName val="ASH_10"/>
      <sheetName val="over_view5"/>
      <sheetName val="Digital_Volume_Contribution_5"/>
      <sheetName val="Payment_Type_5"/>
      <sheetName val="Medical_Record_5"/>
      <sheetName val="HJH_OVERVIEW_5"/>
      <sheetName val="OPD_Analysis__(2)5"/>
      <sheetName val="Polyclinic_5"/>
      <sheetName val="Cash_flow11"/>
      <sheetName val="External_&amp;_Outpatient11"/>
      <sheetName val="Cath_lab11"/>
      <sheetName val="ASH_Target11"/>
      <sheetName val="ASSH_TARget11"/>
      <sheetName val="operational_exp_11"/>
      <sheetName val="Markting_Exp_11"/>
      <sheetName val="H_R_Plan11"/>
      <sheetName val="Loan_Amortization_Schedule11"/>
      <sheetName val="Activity_Measurement11"/>
      <sheetName val="Monitoring_Report11"/>
      <sheetName val="ASH_11"/>
      <sheetName val="over_view6"/>
      <sheetName val="Digital_Volume_Contribution_6"/>
      <sheetName val="Payment_Type_6"/>
      <sheetName val="Medical_Record_6"/>
      <sheetName val="HJH_OVERVIEW_6"/>
      <sheetName val="OPD_Analysis__(2)6"/>
      <sheetName val="Polyclinic_6"/>
      <sheetName val="Cash_flow12"/>
      <sheetName val="External_&amp;_Outpatient12"/>
      <sheetName val="Cath_lab12"/>
      <sheetName val="ASH_Target12"/>
      <sheetName val="ASSH_TARget12"/>
      <sheetName val="operational_exp_12"/>
      <sheetName val="Markting_Exp_12"/>
      <sheetName val="H_R_Plan12"/>
      <sheetName val="Loan_Amortization_Schedule12"/>
      <sheetName val="Activity_Measurement12"/>
      <sheetName val="Monitoring_Report12"/>
      <sheetName val="ASH_12"/>
      <sheetName val="over_view7"/>
      <sheetName val="Digital_Volume_Contribution_7"/>
      <sheetName val="Payment_Type_7"/>
      <sheetName val="Medical_Record_7"/>
      <sheetName val="HJH_OVERVIEW_7"/>
      <sheetName val="OPD_Analysis__(2)7"/>
      <sheetName val="Polyclinic_7"/>
      <sheetName val="Droplists"/>
      <sheetName val="P&amp;F KPI Tree"/>
      <sheetName val="Decision list Report "/>
      <sheetName val="Lists"/>
      <sheetName val="Sheet1"/>
      <sheetName val="pricing planning"/>
      <sheetName val="Competitive advantage Tools"/>
      <sheetName val="Detialed D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Loan Amortization Schedule</v>
          </cell>
        </row>
        <row r="4">
          <cell r="B4" t="str">
            <v>Enter values</v>
          </cell>
          <cell r="H4" t="str">
            <v>Loan summary</v>
          </cell>
        </row>
        <row r="5">
          <cell r="C5" t="str">
            <v>Loan amount</v>
          </cell>
          <cell r="D5">
            <v>3300000</v>
          </cell>
          <cell r="I5" t="str">
            <v>Scheduled payment</v>
          </cell>
          <cell r="J5">
            <v>272859.94110595033</v>
          </cell>
        </row>
        <row r="6">
          <cell r="C6" t="str">
            <v>Annual interest rate</v>
          </cell>
          <cell r="D6">
            <v>0.14000000000000001</v>
          </cell>
          <cell r="I6" t="str">
            <v>Scheduled number of payments</v>
          </cell>
          <cell r="J6">
            <v>16</v>
          </cell>
        </row>
        <row r="7">
          <cell r="C7" t="str">
            <v>Loan period in years</v>
          </cell>
          <cell r="D7">
            <v>4</v>
          </cell>
          <cell r="I7" t="str">
            <v>Actual number of payments</v>
          </cell>
          <cell r="J7">
            <v>16</v>
          </cell>
        </row>
        <row r="8">
          <cell r="C8" t="str">
            <v>Number of payments per year</v>
          </cell>
          <cell r="D8">
            <v>4</v>
          </cell>
          <cell r="I8" t="str">
            <v>Total early payments</v>
          </cell>
          <cell r="J8">
            <v>0</v>
          </cell>
        </row>
        <row r="9">
          <cell r="C9" t="str">
            <v>Start date of loan</v>
          </cell>
          <cell r="D9">
            <v>40238</v>
          </cell>
          <cell r="I9" t="str">
            <v>Total interest</v>
          </cell>
          <cell r="J9">
            <v>1065759.0576951939</v>
          </cell>
        </row>
        <row r="10">
          <cell r="C10" t="str">
            <v>Optional extra payments</v>
          </cell>
        </row>
        <row r="12">
          <cell r="B12" t="str">
            <v>Lender name:</v>
          </cell>
        </row>
        <row r="16">
          <cell r="A16" t="str">
            <v>Pmt. No.</v>
          </cell>
          <cell r="B16" t="str">
            <v>Payment Date</v>
          </cell>
          <cell r="C16" t="str">
            <v>Beginning Balance</v>
          </cell>
          <cell r="D16" t="str">
            <v>Scheduled Payment</v>
          </cell>
          <cell r="E16" t="str">
            <v>Extra Payment</v>
          </cell>
          <cell r="F16" t="str">
            <v>Total Payment</v>
          </cell>
          <cell r="G16" t="str">
            <v>Principal</v>
          </cell>
          <cell r="H16" t="str">
            <v>Interest</v>
          </cell>
          <cell r="I16" t="str">
            <v>Ending Balance</v>
          </cell>
          <cell r="J16" t="str">
            <v>Cumulative Interest</v>
          </cell>
        </row>
        <row r="18">
          <cell r="A18">
            <v>1</v>
          </cell>
          <cell r="B18">
            <v>40330</v>
          </cell>
          <cell r="C18">
            <v>3300000</v>
          </cell>
          <cell r="D18">
            <v>272859.94110595033</v>
          </cell>
          <cell r="E18">
            <v>0</v>
          </cell>
          <cell r="F18">
            <v>272859.94110595033</v>
          </cell>
          <cell r="G18">
            <v>157359.94110595033</v>
          </cell>
          <cell r="H18">
            <v>115500.00000000001</v>
          </cell>
          <cell r="I18">
            <v>3142640.0588940498</v>
          </cell>
          <cell r="J18">
            <v>115500.00000000001</v>
          </cell>
        </row>
        <row r="19">
          <cell r="A19">
            <v>2</v>
          </cell>
          <cell r="B19">
            <v>40422</v>
          </cell>
          <cell r="C19">
            <v>3142640.0588940498</v>
          </cell>
          <cell r="D19">
            <v>272859.94110595033</v>
          </cell>
          <cell r="E19">
            <v>0</v>
          </cell>
          <cell r="F19">
            <v>272859.94110595033</v>
          </cell>
          <cell r="G19">
            <v>162867.5390446586</v>
          </cell>
          <cell r="H19">
            <v>109992.40206129175</v>
          </cell>
          <cell r="I19">
            <v>2979772.5198493912</v>
          </cell>
          <cell r="J19">
            <v>225492.40206129177</v>
          </cell>
        </row>
        <row r="20">
          <cell r="A20">
            <v>3</v>
          </cell>
          <cell r="B20">
            <v>40513</v>
          </cell>
          <cell r="C20">
            <v>2979772.5198493912</v>
          </cell>
          <cell r="D20">
            <v>272859.94110595033</v>
          </cell>
          <cell r="E20">
            <v>0</v>
          </cell>
          <cell r="F20">
            <v>272859.94110595033</v>
          </cell>
          <cell r="G20">
            <v>168567.90291122164</v>
          </cell>
          <cell r="H20">
            <v>104292.0381947287</v>
          </cell>
          <cell r="I20">
            <v>2811204.6169381696</v>
          </cell>
          <cell r="J20">
            <v>329784.44025602046</v>
          </cell>
        </row>
        <row r="21">
          <cell r="A21">
            <v>4</v>
          </cell>
          <cell r="B21">
            <v>40603</v>
          </cell>
          <cell r="C21">
            <v>2811204.6169381696</v>
          </cell>
          <cell r="D21">
            <v>272859.94110595033</v>
          </cell>
          <cell r="E21">
            <v>0</v>
          </cell>
          <cell r="F21">
            <v>272859.94110595033</v>
          </cell>
          <cell r="G21">
            <v>174467.77951311439</v>
          </cell>
          <cell r="H21">
            <v>98392.161592835939</v>
          </cell>
          <cell r="I21">
            <v>2636736.837425055</v>
          </cell>
          <cell r="J21">
            <v>428176.60184885643</v>
          </cell>
        </row>
        <row r="22">
          <cell r="A22">
            <v>5</v>
          </cell>
          <cell r="B22">
            <v>40695</v>
          </cell>
          <cell r="C22">
            <v>2636736.837425055</v>
          </cell>
          <cell r="D22">
            <v>272859.94110595033</v>
          </cell>
          <cell r="E22">
            <v>0</v>
          </cell>
          <cell r="F22">
            <v>272859.94110595033</v>
          </cell>
          <cell r="G22">
            <v>180574.15179607342</v>
          </cell>
          <cell r="H22">
            <v>92285.789309876927</v>
          </cell>
          <cell r="I22">
            <v>2456162.6856289813</v>
          </cell>
          <cell r="J22">
            <v>520462.39115873334</v>
          </cell>
        </row>
        <row r="23">
          <cell r="A23">
            <v>6</v>
          </cell>
          <cell r="B23">
            <v>40787</v>
          </cell>
          <cell r="C23">
            <v>2456162.6856289813</v>
          </cell>
          <cell r="D23">
            <v>272859.94110595033</v>
          </cell>
          <cell r="E23">
            <v>0</v>
          </cell>
          <cell r="F23">
            <v>272859.94110595033</v>
          </cell>
          <cell r="G23">
            <v>186894.24710893596</v>
          </cell>
          <cell r="H23">
            <v>85965.693997014358</v>
          </cell>
          <cell r="I23">
            <v>2269268.4385200455</v>
          </cell>
          <cell r="J23">
            <v>606428.08515574771</v>
          </cell>
        </row>
        <row r="24">
          <cell r="A24">
            <v>7</v>
          </cell>
          <cell r="B24">
            <v>40878</v>
          </cell>
          <cell r="C24">
            <v>2269268.4385200455</v>
          </cell>
          <cell r="D24">
            <v>272859.94110595033</v>
          </cell>
          <cell r="E24">
            <v>0</v>
          </cell>
          <cell r="F24">
            <v>272859.94110595033</v>
          </cell>
          <cell r="G24">
            <v>193435.54575774874</v>
          </cell>
          <cell r="H24">
            <v>79424.395348201593</v>
          </cell>
          <cell r="I24">
            <v>2075832.8927622968</v>
          </cell>
          <cell r="J24">
            <v>685852.48050394934</v>
          </cell>
        </row>
        <row r="25">
          <cell r="A25">
            <v>8</v>
          </cell>
          <cell r="B25">
            <v>40969</v>
          </cell>
          <cell r="C25">
            <v>2075832.8927622968</v>
          </cell>
          <cell r="D25">
            <v>272859.94110595033</v>
          </cell>
          <cell r="E25">
            <v>0</v>
          </cell>
          <cell r="F25">
            <v>272859.94110595033</v>
          </cell>
          <cell r="G25">
            <v>200205.78985926992</v>
          </cell>
          <cell r="H25">
            <v>72654.151246680398</v>
          </cell>
          <cell r="I25">
            <v>1875627.1029030269</v>
          </cell>
          <cell r="J25">
            <v>758506.63175062975</v>
          </cell>
        </row>
        <row r="26">
          <cell r="A26">
            <v>9</v>
          </cell>
          <cell r="B26">
            <v>41061</v>
          </cell>
          <cell r="C26">
            <v>1875627.1029030269</v>
          </cell>
          <cell r="D26">
            <v>272859.94110595033</v>
          </cell>
          <cell r="E26">
            <v>0</v>
          </cell>
          <cell r="F26">
            <v>272859.94110595033</v>
          </cell>
          <cell r="G26">
            <v>207212.99250434438</v>
          </cell>
          <cell r="H26">
            <v>65646.948601605953</v>
          </cell>
          <cell r="I26">
            <v>1668414.1103986825</v>
          </cell>
          <cell r="J26">
            <v>824153.5803522357</v>
          </cell>
        </row>
        <row r="27">
          <cell r="A27">
            <v>10</v>
          </cell>
          <cell r="B27">
            <v>41153</v>
          </cell>
          <cell r="C27">
            <v>1668414.1103986825</v>
          </cell>
          <cell r="D27">
            <v>272859.94110595033</v>
          </cell>
          <cell r="E27">
            <v>0</v>
          </cell>
          <cell r="F27">
            <v>272859.94110595033</v>
          </cell>
          <cell r="G27">
            <v>214465.44724199644</v>
          </cell>
          <cell r="H27">
            <v>58394.493863953896</v>
          </cell>
          <cell r="I27">
            <v>1453948.6631566861</v>
          </cell>
          <cell r="J27">
            <v>882548.07421618956</v>
          </cell>
        </row>
        <row r="28">
          <cell r="A28">
            <v>11</v>
          </cell>
          <cell r="B28">
            <v>41244</v>
          </cell>
          <cell r="C28">
            <v>1453948.6631566861</v>
          </cell>
          <cell r="D28">
            <v>272859.94110595033</v>
          </cell>
          <cell r="E28">
            <v>0</v>
          </cell>
          <cell r="F28">
            <v>272859.94110595033</v>
          </cell>
          <cell r="G28">
            <v>221971.73789546633</v>
          </cell>
          <cell r="H28">
            <v>50888.203210484018</v>
          </cell>
          <cell r="I28">
            <v>1231976.9252612197</v>
          </cell>
          <cell r="J28">
            <v>933436.27742667357</v>
          </cell>
        </row>
        <row r="29">
          <cell r="A29">
            <v>12</v>
          </cell>
          <cell r="B29">
            <v>41334</v>
          </cell>
          <cell r="C29">
            <v>1231976.9252612197</v>
          </cell>
          <cell r="D29">
            <v>272859.94110595033</v>
          </cell>
          <cell r="E29">
            <v>0</v>
          </cell>
          <cell r="F29">
            <v>272859.94110595033</v>
          </cell>
          <cell r="G29">
            <v>229740.74872180764</v>
          </cell>
          <cell r="H29">
            <v>43119.192384142698</v>
          </cell>
          <cell r="I29">
            <v>1002236.1765394121</v>
          </cell>
          <cell r="J29">
            <v>976555.46981081623</v>
          </cell>
        </row>
        <row r="30">
          <cell r="A30">
            <v>13</v>
          </cell>
          <cell r="B30">
            <v>41426</v>
          </cell>
          <cell r="C30">
            <v>1002236.1765394121</v>
          </cell>
          <cell r="D30">
            <v>272859.94110595033</v>
          </cell>
          <cell r="E30">
            <v>0</v>
          </cell>
          <cell r="F30">
            <v>272859.94110595033</v>
          </cell>
          <cell r="G30">
            <v>237781.67492707091</v>
          </cell>
          <cell r="H30">
            <v>35078.266178879428</v>
          </cell>
          <cell r="I30">
            <v>764454.50161234126</v>
          </cell>
          <cell r="J30">
            <v>1011633.7359896956</v>
          </cell>
        </row>
        <row r="31">
          <cell r="A31">
            <v>14</v>
          </cell>
          <cell r="B31">
            <v>41518</v>
          </cell>
          <cell r="C31">
            <v>764454.50161234126</v>
          </cell>
          <cell r="D31">
            <v>272859.94110595033</v>
          </cell>
          <cell r="E31">
            <v>0</v>
          </cell>
          <cell r="F31">
            <v>272859.94110595033</v>
          </cell>
          <cell r="G31">
            <v>246104.03354951838</v>
          </cell>
          <cell r="H31">
            <v>26755.907556431946</v>
          </cell>
          <cell r="I31">
            <v>518350.46806282288</v>
          </cell>
          <cell r="J31">
            <v>1038389.6435461276</v>
          </cell>
        </row>
        <row r="32">
          <cell r="A32">
            <v>15</v>
          </cell>
          <cell r="B32">
            <v>41609</v>
          </cell>
          <cell r="C32">
            <v>518350.46806282288</v>
          </cell>
          <cell r="D32">
            <v>272859.94110595033</v>
          </cell>
          <cell r="E32">
            <v>0</v>
          </cell>
          <cell r="F32">
            <v>272859.94110595033</v>
          </cell>
          <cell r="G32">
            <v>254717.67472375152</v>
          </cell>
          <cell r="H32">
            <v>18142.266382198803</v>
          </cell>
          <cell r="I32">
            <v>263632.79333907133</v>
          </cell>
          <cell r="J32">
            <v>1056531.9099283265</v>
          </cell>
        </row>
        <row r="33">
          <cell r="A33">
            <v>16</v>
          </cell>
          <cell r="B33">
            <v>41699</v>
          </cell>
          <cell r="C33">
            <v>263632.79333907133</v>
          </cell>
          <cell r="D33">
            <v>272859.94110595033</v>
          </cell>
          <cell r="E33">
            <v>0</v>
          </cell>
          <cell r="F33">
            <v>263632.79333907133</v>
          </cell>
          <cell r="G33">
            <v>254405.64557220382</v>
          </cell>
          <cell r="H33">
            <v>9227.1477668674979</v>
          </cell>
          <cell r="I33">
            <v>0</v>
          </cell>
          <cell r="J33">
            <v>1065759.0576951939</v>
          </cell>
        </row>
        <row r="34">
          <cell r="A34">
            <v>17</v>
          </cell>
          <cell r="B34">
            <v>41791</v>
          </cell>
          <cell r="C34">
            <v>0</v>
          </cell>
          <cell r="D34">
            <v>272859.94110595033</v>
          </cell>
          <cell r="E34">
            <v>0</v>
          </cell>
          <cell r="F34">
            <v>0</v>
          </cell>
          <cell r="G34">
            <v>0</v>
          </cell>
          <cell r="H34">
            <v>0</v>
          </cell>
          <cell r="I34">
            <v>0</v>
          </cell>
          <cell r="J34">
            <v>1065759.0576951939</v>
          </cell>
        </row>
        <row r="35">
          <cell r="A35">
            <v>18</v>
          </cell>
          <cell r="B35">
            <v>41883</v>
          </cell>
          <cell r="C35">
            <v>0</v>
          </cell>
          <cell r="D35">
            <v>272859.94110595033</v>
          </cell>
          <cell r="E35">
            <v>0</v>
          </cell>
          <cell r="F35">
            <v>0</v>
          </cell>
          <cell r="G35">
            <v>0</v>
          </cell>
          <cell r="H35">
            <v>0</v>
          </cell>
          <cell r="I35">
            <v>0</v>
          </cell>
          <cell r="J35">
            <v>1065759.0576951939</v>
          </cell>
        </row>
        <row r="36">
          <cell r="A36">
            <v>19</v>
          </cell>
          <cell r="B36">
            <v>41974</v>
          </cell>
          <cell r="C36">
            <v>0</v>
          </cell>
          <cell r="D36">
            <v>272859.94110595033</v>
          </cell>
          <cell r="E36">
            <v>0</v>
          </cell>
          <cell r="F36">
            <v>0</v>
          </cell>
          <cell r="G36">
            <v>0</v>
          </cell>
          <cell r="H36">
            <v>0</v>
          </cell>
          <cell r="I36">
            <v>0</v>
          </cell>
          <cell r="J36">
            <v>1065759.0576951939</v>
          </cell>
        </row>
        <row r="37">
          <cell r="A37">
            <v>20</v>
          </cell>
          <cell r="B37">
            <v>42064</v>
          </cell>
          <cell r="C37">
            <v>0</v>
          </cell>
          <cell r="D37">
            <v>272859.94110595033</v>
          </cell>
          <cell r="E37">
            <v>0</v>
          </cell>
          <cell r="F37">
            <v>0</v>
          </cell>
          <cell r="G37">
            <v>0</v>
          </cell>
          <cell r="H37">
            <v>0</v>
          </cell>
          <cell r="I37">
            <v>0</v>
          </cell>
          <cell r="J37">
            <v>1065759.0576951939</v>
          </cell>
        </row>
        <row r="38">
          <cell r="A38">
            <v>21</v>
          </cell>
          <cell r="B38">
            <v>42156</v>
          </cell>
          <cell r="C38">
            <v>0</v>
          </cell>
          <cell r="D38">
            <v>272859.94110595033</v>
          </cell>
          <cell r="E38">
            <v>0</v>
          </cell>
          <cell r="F38">
            <v>0</v>
          </cell>
          <cell r="G38">
            <v>0</v>
          </cell>
          <cell r="H38">
            <v>0</v>
          </cell>
          <cell r="I38">
            <v>0</v>
          </cell>
          <cell r="J38">
            <v>1065759.0576951939</v>
          </cell>
        </row>
        <row r="39">
          <cell r="A39">
            <v>22</v>
          </cell>
          <cell r="B39">
            <v>42248</v>
          </cell>
          <cell r="C39">
            <v>0</v>
          </cell>
          <cell r="D39">
            <v>272859.94110595033</v>
          </cell>
          <cell r="E39">
            <v>0</v>
          </cell>
          <cell r="F39">
            <v>0</v>
          </cell>
          <cell r="G39">
            <v>0</v>
          </cell>
          <cell r="H39">
            <v>0</v>
          </cell>
          <cell r="I39">
            <v>0</v>
          </cell>
          <cell r="J39">
            <v>1065759.0576951939</v>
          </cell>
        </row>
        <row r="40">
          <cell r="A40">
            <v>23</v>
          </cell>
          <cell r="B40">
            <v>42339</v>
          </cell>
          <cell r="C40">
            <v>0</v>
          </cell>
          <cell r="D40">
            <v>272859.94110595033</v>
          </cell>
          <cell r="E40">
            <v>0</v>
          </cell>
          <cell r="F40">
            <v>0</v>
          </cell>
          <cell r="G40">
            <v>0</v>
          </cell>
          <cell r="H40">
            <v>0</v>
          </cell>
          <cell r="I40">
            <v>0</v>
          </cell>
          <cell r="J40">
            <v>1065759.0576951939</v>
          </cell>
        </row>
        <row r="41">
          <cell r="A41">
            <v>24</v>
          </cell>
          <cell r="B41">
            <v>42430</v>
          </cell>
          <cell r="C41">
            <v>0</v>
          </cell>
          <cell r="D41">
            <v>272859.94110595033</v>
          </cell>
          <cell r="E41">
            <v>0</v>
          </cell>
          <cell r="F41">
            <v>0</v>
          </cell>
          <cell r="G41">
            <v>0</v>
          </cell>
          <cell r="H41">
            <v>0</v>
          </cell>
          <cell r="I41">
            <v>0</v>
          </cell>
          <cell r="J41">
            <v>1065759.0576951939</v>
          </cell>
        </row>
        <row r="42">
          <cell r="A42">
            <v>25</v>
          </cell>
          <cell r="B42">
            <v>42522</v>
          </cell>
          <cell r="C42">
            <v>0</v>
          </cell>
          <cell r="D42">
            <v>272859.94110595033</v>
          </cell>
          <cell r="E42">
            <v>0</v>
          </cell>
          <cell r="F42">
            <v>0</v>
          </cell>
          <cell r="G42">
            <v>0</v>
          </cell>
          <cell r="H42">
            <v>0</v>
          </cell>
          <cell r="I42">
            <v>0</v>
          </cell>
          <cell r="J42">
            <v>1065759.0576951939</v>
          </cell>
        </row>
        <row r="43">
          <cell r="A43">
            <v>26</v>
          </cell>
          <cell r="B43">
            <v>42614</v>
          </cell>
          <cell r="C43">
            <v>0</v>
          </cell>
          <cell r="D43">
            <v>272859.94110595033</v>
          </cell>
          <cell r="E43">
            <v>0</v>
          </cell>
          <cell r="F43">
            <v>0</v>
          </cell>
          <cell r="G43">
            <v>0</v>
          </cell>
          <cell r="H43">
            <v>0</v>
          </cell>
          <cell r="I43">
            <v>0</v>
          </cell>
          <cell r="J43">
            <v>1065759.0576951939</v>
          </cell>
        </row>
        <row r="44">
          <cell r="A44">
            <v>27</v>
          </cell>
          <cell r="B44">
            <v>42705</v>
          </cell>
          <cell r="C44">
            <v>0</v>
          </cell>
          <cell r="D44">
            <v>272859.94110595033</v>
          </cell>
          <cell r="E44">
            <v>0</v>
          </cell>
          <cell r="F44">
            <v>0</v>
          </cell>
          <cell r="G44">
            <v>0</v>
          </cell>
          <cell r="H44">
            <v>0</v>
          </cell>
          <cell r="I44">
            <v>0</v>
          </cell>
          <cell r="J44">
            <v>1065759.0576951939</v>
          </cell>
        </row>
        <row r="45">
          <cell r="A45">
            <v>28</v>
          </cell>
          <cell r="B45">
            <v>42795</v>
          </cell>
          <cell r="C45">
            <v>0</v>
          </cell>
          <cell r="D45">
            <v>272859.94110595033</v>
          </cell>
          <cell r="E45">
            <v>0</v>
          </cell>
          <cell r="F45">
            <v>0</v>
          </cell>
          <cell r="G45">
            <v>0</v>
          </cell>
          <cell r="H45">
            <v>0</v>
          </cell>
          <cell r="I45">
            <v>0</v>
          </cell>
          <cell r="J45">
            <v>1065759.0576951939</v>
          </cell>
        </row>
        <row r="46">
          <cell r="A46">
            <v>29</v>
          </cell>
          <cell r="B46">
            <v>42887</v>
          </cell>
          <cell r="C46">
            <v>0</v>
          </cell>
          <cell r="D46">
            <v>272859.94110595033</v>
          </cell>
          <cell r="E46">
            <v>0</v>
          </cell>
          <cell r="F46">
            <v>0</v>
          </cell>
          <cell r="G46">
            <v>0</v>
          </cell>
          <cell r="H46">
            <v>0</v>
          </cell>
          <cell r="I46">
            <v>0</v>
          </cell>
          <cell r="J46">
            <v>1065759.0576951939</v>
          </cell>
        </row>
        <row r="47">
          <cell r="A47">
            <v>30</v>
          </cell>
          <cell r="B47">
            <v>42979</v>
          </cell>
          <cell r="C47">
            <v>0</v>
          </cell>
          <cell r="D47">
            <v>272859.94110595033</v>
          </cell>
          <cell r="E47">
            <v>0</v>
          </cell>
          <cell r="F47">
            <v>0</v>
          </cell>
          <cell r="G47">
            <v>0</v>
          </cell>
          <cell r="H47">
            <v>0</v>
          </cell>
          <cell r="I47">
            <v>0</v>
          </cell>
          <cell r="J47">
            <v>1065759.0576951939</v>
          </cell>
        </row>
        <row r="48">
          <cell r="A48">
            <v>31</v>
          </cell>
          <cell r="B48">
            <v>43070</v>
          </cell>
          <cell r="C48">
            <v>0</v>
          </cell>
          <cell r="D48">
            <v>272859.94110595033</v>
          </cell>
          <cell r="E48">
            <v>0</v>
          </cell>
          <cell r="F48">
            <v>0</v>
          </cell>
          <cell r="G48">
            <v>0</v>
          </cell>
          <cell r="H48">
            <v>0</v>
          </cell>
          <cell r="I48">
            <v>0</v>
          </cell>
          <cell r="J48">
            <v>1065759.0576951939</v>
          </cell>
        </row>
        <row r="49">
          <cell r="A49">
            <v>32</v>
          </cell>
          <cell r="B49">
            <v>43160</v>
          </cell>
          <cell r="C49">
            <v>0</v>
          </cell>
          <cell r="D49">
            <v>272859.94110595033</v>
          </cell>
          <cell r="E49">
            <v>0</v>
          </cell>
          <cell r="F49">
            <v>0</v>
          </cell>
          <cell r="G49">
            <v>0</v>
          </cell>
          <cell r="H49">
            <v>0</v>
          </cell>
          <cell r="I49">
            <v>0</v>
          </cell>
          <cell r="J49">
            <v>1065759.0576951939</v>
          </cell>
        </row>
        <row r="50">
          <cell r="A50">
            <v>33</v>
          </cell>
          <cell r="B50">
            <v>43252</v>
          </cell>
          <cell r="C50">
            <v>0</v>
          </cell>
          <cell r="D50">
            <v>272859.94110595033</v>
          </cell>
          <cell r="E50">
            <v>0</v>
          </cell>
          <cell r="F50">
            <v>0</v>
          </cell>
          <cell r="G50">
            <v>0</v>
          </cell>
          <cell r="H50">
            <v>0</v>
          </cell>
          <cell r="I50">
            <v>0</v>
          </cell>
          <cell r="J50">
            <v>1065759.0576951939</v>
          </cell>
        </row>
        <row r="51">
          <cell r="A51">
            <v>34</v>
          </cell>
          <cell r="B51">
            <v>43344</v>
          </cell>
          <cell r="C51">
            <v>0</v>
          </cell>
          <cell r="D51">
            <v>272859.94110595033</v>
          </cell>
          <cell r="E51">
            <v>0</v>
          </cell>
          <cell r="F51">
            <v>0</v>
          </cell>
          <cell r="G51">
            <v>0</v>
          </cell>
          <cell r="H51">
            <v>0</v>
          </cell>
          <cell r="I51">
            <v>0</v>
          </cell>
          <cell r="J51">
            <v>1065759.0576951939</v>
          </cell>
        </row>
        <row r="52">
          <cell r="A52">
            <v>35</v>
          </cell>
          <cell r="B52">
            <v>43435</v>
          </cell>
          <cell r="C52">
            <v>0</v>
          </cell>
          <cell r="D52">
            <v>272859.94110595033</v>
          </cell>
          <cell r="E52">
            <v>0</v>
          </cell>
          <cell r="F52">
            <v>0</v>
          </cell>
          <cell r="G52">
            <v>0</v>
          </cell>
          <cell r="H52">
            <v>0</v>
          </cell>
          <cell r="I52">
            <v>0</v>
          </cell>
          <cell r="J52">
            <v>1065759.0576951939</v>
          </cell>
        </row>
        <row r="53">
          <cell r="A53">
            <v>36</v>
          </cell>
          <cell r="B53">
            <v>43525</v>
          </cell>
          <cell r="C53">
            <v>0</v>
          </cell>
          <cell r="D53">
            <v>272859.94110595033</v>
          </cell>
          <cell r="E53">
            <v>0</v>
          </cell>
          <cell r="F53">
            <v>0</v>
          </cell>
          <cell r="G53">
            <v>0</v>
          </cell>
          <cell r="H53">
            <v>0</v>
          </cell>
          <cell r="I53">
            <v>0</v>
          </cell>
          <cell r="J53">
            <v>1065759.0576951939</v>
          </cell>
        </row>
        <row r="54">
          <cell r="A54">
            <v>37</v>
          </cell>
          <cell r="B54">
            <v>43617</v>
          </cell>
          <cell r="C54">
            <v>0</v>
          </cell>
          <cell r="D54">
            <v>272859.94110595033</v>
          </cell>
          <cell r="E54">
            <v>0</v>
          </cell>
          <cell r="F54">
            <v>0</v>
          </cell>
          <cell r="G54">
            <v>0</v>
          </cell>
          <cell r="H54">
            <v>0</v>
          </cell>
          <cell r="I54">
            <v>0</v>
          </cell>
          <cell r="J54">
            <v>1065759.0576951939</v>
          </cell>
        </row>
        <row r="55">
          <cell r="A55">
            <v>38</v>
          </cell>
          <cell r="B55">
            <v>43709</v>
          </cell>
          <cell r="C55">
            <v>0</v>
          </cell>
          <cell r="D55">
            <v>272859.94110595033</v>
          </cell>
          <cell r="E55">
            <v>0</v>
          </cell>
          <cell r="F55">
            <v>0</v>
          </cell>
          <cell r="G55">
            <v>0</v>
          </cell>
          <cell r="H55">
            <v>0</v>
          </cell>
          <cell r="I55">
            <v>0</v>
          </cell>
          <cell r="J55">
            <v>1065759.0576951939</v>
          </cell>
        </row>
        <row r="56">
          <cell r="A56">
            <v>39</v>
          </cell>
          <cell r="B56">
            <v>43800</v>
          </cell>
          <cell r="C56">
            <v>0</v>
          </cell>
          <cell r="D56">
            <v>272859.94110595033</v>
          </cell>
          <cell r="E56">
            <v>0</v>
          </cell>
          <cell r="F56">
            <v>0</v>
          </cell>
          <cell r="G56">
            <v>0</v>
          </cell>
          <cell r="H56">
            <v>0</v>
          </cell>
          <cell r="I56">
            <v>0</v>
          </cell>
          <cell r="J56">
            <v>1065759.0576951939</v>
          </cell>
        </row>
        <row r="57">
          <cell r="A57">
            <v>40</v>
          </cell>
          <cell r="B57">
            <v>43891</v>
          </cell>
          <cell r="C57">
            <v>0</v>
          </cell>
          <cell r="D57">
            <v>272859.94110595033</v>
          </cell>
          <cell r="E57">
            <v>0</v>
          </cell>
          <cell r="F57">
            <v>0</v>
          </cell>
          <cell r="G57">
            <v>0</v>
          </cell>
          <cell r="H57">
            <v>0</v>
          </cell>
          <cell r="I57">
            <v>0</v>
          </cell>
          <cell r="J57">
            <v>1065759.0576951939</v>
          </cell>
        </row>
        <row r="58">
          <cell r="A58">
            <v>41</v>
          </cell>
          <cell r="B58">
            <v>43983</v>
          </cell>
          <cell r="C58">
            <v>0</v>
          </cell>
          <cell r="D58">
            <v>272859.94110595033</v>
          </cell>
          <cell r="E58">
            <v>0</v>
          </cell>
          <cell r="F58">
            <v>0</v>
          </cell>
          <cell r="G58">
            <v>0</v>
          </cell>
          <cell r="H58">
            <v>0</v>
          </cell>
          <cell r="I58">
            <v>0</v>
          </cell>
          <cell r="J58">
            <v>1065759.0576951939</v>
          </cell>
        </row>
        <row r="59">
          <cell r="A59">
            <v>42</v>
          </cell>
          <cell r="B59">
            <v>44075</v>
          </cell>
          <cell r="C59">
            <v>0</v>
          </cell>
          <cell r="D59">
            <v>272859.94110595033</v>
          </cell>
          <cell r="E59">
            <v>0</v>
          </cell>
          <cell r="F59">
            <v>0</v>
          </cell>
          <cell r="G59">
            <v>0</v>
          </cell>
          <cell r="H59">
            <v>0</v>
          </cell>
          <cell r="I59">
            <v>0</v>
          </cell>
          <cell r="J59">
            <v>1065759.0576951939</v>
          </cell>
        </row>
        <row r="60">
          <cell r="A60">
            <v>43</v>
          </cell>
          <cell r="B60">
            <v>44166</v>
          </cell>
          <cell r="C60">
            <v>0</v>
          </cell>
          <cell r="D60">
            <v>272859.94110595033</v>
          </cell>
          <cell r="E60">
            <v>0</v>
          </cell>
          <cell r="F60">
            <v>0</v>
          </cell>
          <cell r="G60">
            <v>0</v>
          </cell>
          <cell r="H60">
            <v>0</v>
          </cell>
          <cell r="I60">
            <v>0</v>
          </cell>
          <cell r="J60">
            <v>1065759.0576951939</v>
          </cell>
        </row>
        <row r="61">
          <cell r="A61">
            <v>44</v>
          </cell>
          <cell r="B61">
            <v>44256</v>
          </cell>
          <cell r="C61">
            <v>0</v>
          </cell>
          <cell r="D61">
            <v>272859.94110595033</v>
          </cell>
          <cell r="E61">
            <v>0</v>
          </cell>
          <cell r="F61">
            <v>0</v>
          </cell>
          <cell r="G61">
            <v>0</v>
          </cell>
          <cell r="H61">
            <v>0</v>
          </cell>
          <cell r="I61">
            <v>0</v>
          </cell>
          <cell r="J61">
            <v>1065759.0576951939</v>
          </cell>
        </row>
        <row r="62">
          <cell r="A62">
            <v>45</v>
          </cell>
          <cell r="B62">
            <v>44348</v>
          </cell>
          <cell r="C62">
            <v>0</v>
          </cell>
          <cell r="D62">
            <v>272859.94110595033</v>
          </cell>
          <cell r="E62">
            <v>0</v>
          </cell>
          <cell r="F62">
            <v>0</v>
          </cell>
          <cell r="G62">
            <v>0</v>
          </cell>
          <cell r="H62">
            <v>0</v>
          </cell>
          <cell r="I62">
            <v>0</v>
          </cell>
          <cell r="J62">
            <v>1065759.0576951939</v>
          </cell>
        </row>
        <row r="63">
          <cell r="A63">
            <v>46</v>
          </cell>
          <cell r="B63">
            <v>44440</v>
          </cell>
          <cell r="C63">
            <v>0</v>
          </cell>
          <cell r="D63">
            <v>272859.94110595033</v>
          </cell>
          <cell r="E63">
            <v>0</v>
          </cell>
          <cell r="F63">
            <v>0</v>
          </cell>
          <cell r="G63">
            <v>0</v>
          </cell>
          <cell r="H63">
            <v>0</v>
          </cell>
          <cell r="I63">
            <v>0</v>
          </cell>
          <cell r="J63">
            <v>1065759.0576951939</v>
          </cell>
        </row>
        <row r="64">
          <cell r="A64">
            <v>47</v>
          </cell>
          <cell r="B64">
            <v>44531</v>
          </cell>
          <cell r="C64">
            <v>0</v>
          </cell>
          <cell r="D64">
            <v>272859.94110595033</v>
          </cell>
          <cell r="E64">
            <v>0</v>
          </cell>
          <cell r="F64">
            <v>0</v>
          </cell>
          <cell r="G64">
            <v>0</v>
          </cell>
          <cell r="H64">
            <v>0</v>
          </cell>
          <cell r="I64">
            <v>0</v>
          </cell>
          <cell r="J64">
            <v>1065759.0576951939</v>
          </cell>
        </row>
        <row r="65">
          <cell r="A65">
            <v>48</v>
          </cell>
          <cell r="B65">
            <v>44621</v>
          </cell>
          <cell r="C65">
            <v>0</v>
          </cell>
          <cell r="D65">
            <v>272859.94110595033</v>
          </cell>
          <cell r="E65">
            <v>0</v>
          </cell>
          <cell r="F65">
            <v>0</v>
          </cell>
          <cell r="G65">
            <v>0</v>
          </cell>
          <cell r="H65">
            <v>0</v>
          </cell>
          <cell r="I65">
            <v>0</v>
          </cell>
          <cell r="J65">
            <v>1065759.0576951939</v>
          </cell>
        </row>
        <row r="66">
          <cell r="A66">
            <v>49</v>
          </cell>
          <cell r="B66">
            <v>44713</v>
          </cell>
          <cell r="C66">
            <v>0</v>
          </cell>
          <cell r="D66">
            <v>272859.94110595033</v>
          </cell>
          <cell r="E66">
            <v>0</v>
          </cell>
          <cell r="F66">
            <v>0</v>
          </cell>
          <cell r="G66">
            <v>0</v>
          </cell>
          <cell r="H66">
            <v>0</v>
          </cell>
          <cell r="I66">
            <v>0</v>
          </cell>
          <cell r="J66">
            <v>1065759.0576951939</v>
          </cell>
        </row>
        <row r="67">
          <cell r="A67">
            <v>50</v>
          </cell>
          <cell r="B67">
            <v>44805</v>
          </cell>
          <cell r="C67">
            <v>0</v>
          </cell>
          <cell r="D67">
            <v>272859.94110595033</v>
          </cell>
          <cell r="E67">
            <v>0</v>
          </cell>
          <cell r="F67">
            <v>0</v>
          </cell>
          <cell r="G67">
            <v>0</v>
          </cell>
          <cell r="H67">
            <v>0</v>
          </cell>
          <cell r="I67">
            <v>0</v>
          </cell>
          <cell r="J67">
            <v>1065759.0576951939</v>
          </cell>
        </row>
        <row r="68">
          <cell r="A68">
            <v>51</v>
          </cell>
          <cell r="B68">
            <v>44896</v>
          </cell>
          <cell r="C68">
            <v>0</v>
          </cell>
          <cell r="D68">
            <v>272859.94110595033</v>
          </cell>
          <cell r="E68">
            <v>0</v>
          </cell>
          <cell r="F68">
            <v>0</v>
          </cell>
          <cell r="G68">
            <v>0</v>
          </cell>
          <cell r="H68">
            <v>0</v>
          </cell>
          <cell r="I68">
            <v>0</v>
          </cell>
          <cell r="J68">
            <v>1065759.0576951939</v>
          </cell>
        </row>
        <row r="69">
          <cell r="A69">
            <v>52</v>
          </cell>
          <cell r="B69">
            <v>44986</v>
          </cell>
          <cell r="C69">
            <v>0</v>
          </cell>
          <cell r="D69">
            <v>272859.94110595033</v>
          </cell>
          <cell r="E69">
            <v>0</v>
          </cell>
          <cell r="F69">
            <v>0</v>
          </cell>
          <cell r="G69">
            <v>0</v>
          </cell>
          <cell r="H69">
            <v>0</v>
          </cell>
          <cell r="I69">
            <v>0</v>
          </cell>
          <cell r="J69">
            <v>1065759.0576951939</v>
          </cell>
        </row>
        <row r="70">
          <cell r="A70">
            <v>53</v>
          </cell>
          <cell r="B70">
            <v>45078</v>
          </cell>
          <cell r="C70">
            <v>0</v>
          </cell>
          <cell r="D70">
            <v>272859.94110595033</v>
          </cell>
          <cell r="E70">
            <v>0</v>
          </cell>
          <cell r="F70">
            <v>0</v>
          </cell>
          <cell r="G70">
            <v>0</v>
          </cell>
          <cell r="H70">
            <v>0</v>
          </cell>
          <cell r="I70">
            <v>0</v>
          </cell>
          <cell r="J70">
            <v>1065759.0576951939</v>
          </cell>
        </row>
        <row r="71">
          <cell r="A71">
            <v>54</v>
          </cell>
          <cell r="B71">
            <v>45170</v>
          </cell>
          <cell r="C71">
            <v>0</v>
          </cell>
          <cell r="D71">
            <v>272859.94110595033</v>
          </cell>
          <cell r="E71">
            <v>0</v>
          </cell>
          <cell r="F71">
            <v>0</v>
          </cell>
          <cell r="G71">
            <v>0</v>
          </cell>
          <cell r="H71">
            <v>0</v>
          </cell>
          <cell r="I71">
            <v>0</v>
          </cell>
          <cell r="J71">
            <v>1065759.0576951939</v>
          </cell>
        </row>
        <row r="72">
          <cell r="A72">
            <v>55</v>
          </cell>
          <cell r="B72">
            <v>45261</v>
          </cell>
          <cell r="C72">
            <v>0</v>
          </cell>
          <cell r="D72">
            <v>272859.94110595033</v>
          </cell>
          <cell r="E72">
            <v>0</v>
          </cell>
          <cell r="F72">
            <v>0</v>
          </cell>
          <cell r="G72">
            <v>0</v>
          </cell>
          <cell r="H72">
            <v>0</v>
          </cell>
          <cell r="I72">
            <v>0</v>
          </cell>
          <cell r="J72">
            <v>1065759.0576951939</v>
          </cell>
        </row>
        <row r="73">
          <cell r="A73">
            <v>56</v>
          </cell>
          <cell r="B73">
            <v>45352</v>
          </cell>
          <cell r="C73">
            <v>0</v>
          </cell>
          <cell r="D73">
            <v>272859.94110595033</v>
          </cell>
          <cell r="E73">
            <v>0</v>
          </cell>
          <cell r="F73">
            <v>0</v>
          </cell>
          <cell r="G73">
            <v>0</v>
          </cell>
          <cell r="H73">
            <v>0</v>
          </cell>
          <cell r="I73">
            <v>0</v>
          </cell>
          <cell r="J73">
            <v>1065759.0576951939</v>
          </cell>
        </row>
        <row r="74">
          <cell r="A74">
            <v>57</v>
          </cell>
          <cell r="B74">
            <v>45444</v>
          </cell>
          <cell r="C74">
            <v>0</v>
          </cell>
          <cell r="D74">
            <v>272859.94110595033</v>
          </cell>
          <cell r="E74">
            <v>0</v>
          </cell>
          <cell r="F74">
            <v>0</v>
          </cell>
          <cell r="G74">
            <v>0</v>
          </cell>
          <cell r="H74">
            <v>0</v>
          </cell>
          <cell r="I74">
            <v>0</v>
          </cell>
          <cell r="J74">
            <v>1065759.0576951939</v>
          </cell>
        </row>
        <row r="75">
          <cell r="A75">
            <v>58</v>
          </cell>
          <cell r="B75">
            <v>45536</v>
          </cell>
          <cell r="C75">
            <v>0</v>
          </cell>
          <cell r="D75">
            <v>272859.94110595033</v>
          </cell>
          <cell r="E75">
            <v>0</v>
          </cell>
          <cell r="F75">
            <v>0</v>
          </cell>
          <cell r="G75">
            <v>0</v>
          </cell>
          <cell r="H75">
            <v>0</v>
          </cell>
          <cell r="I75">
            <v>0</v>
          </cell>
          <cell r="J75">
            <v>1065759.0576951939</v>
          </cell>
        </row>
        <row r="76">
          <cell r="A76">
            <v>59</v>
          </cell>
          <cell r="B76">
            <v>45627</v>
          </cell>
          <cell r="C76">
            <v>0</v>
          </cell>
          <cell r="D76">
            <v>272859.94110595033</v>
          </cell>
          <cell r="E76">
            <v>0</v>
          </cell>
          <cell r="F76">
            <v>0</v>
          </cell>
          <cell r="G76">
            <v>0</v>
          </cell>
          <cell r="H76">
            <v>0</v>
          </cell>
          <cell r="I76">
            <v>0</v>
          </cell>
          <cell r="J76">
            <v>1065759.0576951939</v>
          </cell>
        </row>
        <row r="77">
          <cell r="A77">
            <v>60</v>
          </cell>
          <cell r="B77">
            <v>45717</v>
          </cell>
          <cell r="C77">
            <v>0</v>
          </cell>
          <cell r="D77">
            <v>272859.94110595033</v>
          </cell>
          <cell r="E77">
            <v>0</v>
          </cell>
          <cell r="F77">
            <v>0</v>
          </cell>
          <cell r="G77">
            <v>0</v>
          </cell>
          <cell r="H77">
            <v>0</v>
          </cell>
          <cell r="I77">
            <v>0</v>
          </cell>
          <cell r="J77">
            <v>1065759.0576951939</v>
          </cell>
        </row>
        <row r="78">
          <cell r="A78">
            <v>61</v>
          </cell>
          <cell r="B78">
            <v>45809</v>
          </cell>
          <cell r="C78">
            <v>0</v>
          </cell>
          <cell r="D78">
            <v>272859.94110595033</v>
          </cell>
          <cell r="E78">
            <v>0</v>
          </cell>
          <cell r="F78">
            <v>0</v>
          </cell>
          <cell r="G78">
            <v>0</v>
          </cell>
          <cell r="H78">
            <v>0</v>
          </cell>
          <cell r="I78">
            <v>0</v>
          </cell>
          <cell r="J78">
            <v>1065759.0576951939</v>
          </cell>
        </row>
        <row r="79">
          <cell r="A79">
            <v>62</v>
          </cell>
          <cell r="B79">
            <v>45901</v>
          </cell>
          <cell r="C79">
            <v>0</v>
          </cell>
          <cell r="D79">
            <v>272859.94110595033</v>
          </cell>
          <cell r="E79">
            <v>0</v>
          </cell>
          <cell r="F79">
            <v>0</v>
          </cell>
          <cell r="G79">
            <v>0</v>
          </cell>
          <cell r="H79">
            <v>0</v>
          </cell>
          <cell r="I79">
            <v>0</v>
          </cell>
          <cell r="J79">
            <v>1065759.0576951939</v>
          </cell>
        </row>
        <row r="80">
          <cell r="A80">
            <v>63</v>
          </cell>
          <cell r="B80">
            <v>45992</v>
          </cell>
          <cell r="C80">
            <v>0</v>
          </cell>
          <cell r="D80">
            <v>272859.94110595033</v>
          </cell>
          <cell r="E80">
            <v>0</v>
          </cell>
          <cell r="F80">
            <v>0</v>
          </cell>
          <cell r="G80">
            <v>0</v>
          </cell>
          <cell r="H80">
            <v>0</v>
          </cell>
          <cell r="I80">
            <v>0</v>
          </cell>
          <cell r="J80">
            <v>1065759.0576951939</v>
          </cell>
        </row>
        <row r="81">
          <cell r="A81">
            <v>64</v>
          </cell>
          <cell r="B81">
            <v>46082</v>
          </cell>
          <cell r="C81">
            <v>0</v>
          </cell>
          <cell r="D81">
            <v>272859.94110595033</v>
          </cell>
          <cell r="E81">
            <v>0</v>
          </cell>
          <cell r="F81">
            <v>0</v>
          </cell>
          <cell r="G81">
            <v>0</v>
          </cell>
          <cell r="H81">
            <v>0</v>
          </cell>
          <cell r="I81">
            <v>0</v>
          </cell>
          <cell r="J81">
            <v>1065759.0576951939</v>
          </cell>
        </row>
        <row r="82">
          <cell r="A82">
            <v>65</v>
          </cell>
          <cell r="B82">
            <v>46174</v>
          </cell>
          <cell r="C82">
            <v>0</v>
          </cell>
          <cell r="D82">
            <v>272859.94110595033</v>
          </cell>
          <cell r="E82">
            <v>0</v>
          </cell>
          <cell r="F82">
            <v>0</v>
          </cell>
          <cell r="G82">
            <v>0</v>
          </cell>
          <cell r="H82">
            <v>0</v>
          </cell>
          <cell r="I82">
            <v>0</v>
          </cell>
          <cell r="J82">
            <v>1065759.0576951939</v>
          </cell>
        </row>
        <row r="83">
          <cell r="A83">
            <v>66</v>
          </cell>
          <cell r="B83">
            <v>46266</v>
          </cell>
          <cell r="C83">
            <v>0</v>
          </cell>
          <cell r="D83">
            <v>272859.94110595033</v>
          </cell>
          <cell r="E83">
            <v>0</v>
          </cell>
          <cell r="F83">
            <v>0</v>
          </cell>
          <cell r="G83">
            <v>0</v>
          </cell>
          <cell r="H83">
            <v>0</v>
          </cell>
          <cell r="I83">
            <v>0</v>
          </cell>
          <cell r="J83">
            <v>1065759.0576951939</v>
          </cell>
        </row>
        <row r="84">
          <cell r="A84">
            <v>67</v>
          </cell>
          <cell r="B84">
            <v>46357</v>
          </cell>
          <cell r="C84">
            <v>0</v>
          </cell>
          <cell r="D84">
            <v>272859.94110595033</v>
          </cell>
          <cell r="E84">
            <v>0</v>
          </cell>
          <cell r="F84">
            <v>0</v>
          </cell>
          <cell r="G84">
            <v>0</v>
          </cell>
          <cell r="H84">
            <v>0</v>
          </cell>
          <cell r="I84">
            <v>0</v>
          </cell>
          <cell r="J84">
            <v>1065759.0576951939</v>
          </cell>
        </row>
        <row r="85">
          <cell r="A85">
            <v>68</v>
          </cell>
          <cell r="B85">
            <v>46447</v>
          </cell>
          <cell r="C85">
            <v>0</v>
          </cell>
          <cell r="D85">
            <v>272859.94110595033</v>
          </cell>
          <cell r="E85">
            <v>0</v>
          </cell>
          <cell r="F85">
            <v>0</v>
          </cell>
          <cell r="G85">
            <v>0</v>
          </cell>
          <cell r="H85">
            <v>0</v>
          </cell>
          <cell r="I85">
            <v>0</v>
          </cell>
          <cell r="J85">
            <v>1065759.0576951939</v>
          </cell>
        </row>
        <row r="86">
          <cell r="A86">
            <v>69</v>
          </cell>
          <cell r="B86">
            <v>46539</v>
          </cell>
          <cell r="C86">
            <v>0</v>
          </cell>
          <cell r="D86">
            <v>272859.94110595033</v>
          </cell>
          <cell r="E86">
            <v>0</v>
          </cell>
          <cell r="F86">
            <v>0</v>
          </cell>
          <cell r="G86">
            <v>0</v>
          </cell>
          <cell r="H86">
            <v>0</v>
          </cell>
          <cell r="I86">
            <v>0</v>
          </cell>
          <cell r="J86">
            <v>1065759.0576951939</v>
          </cell>
        </row>
        <row r="87">
          <cell r="A87">
            <v>70</v>
          </cell>
          <cell r="B87">
            <v>46631</v>
          </cell>
          <cell r="C87">
            <v>0</v>
          </cell>
          <cell r="D87">
            <v>272859.94110595033</v>
          </cell>
          <cell r="E87">
            <v>0</v>
          </cell>
          <cell r="F87">
            <v>0</v>
          </cell>
          <cell r="G87">
            <v>0</v>
          </cell>
          <cell r="H87">
            <v>0</v>
          </cell>
          <cell r="I87">
            <v>0</v>
          </cell>
          <cell r="J87">
            <v>1065759.0576951939</v>
          </cell>
        </row>
        <row r="88">
          <cell r="A88">
            <v>71</v>
          </cell>
          <cell r="B88">
            <v>46722</v>
          </cell>
          <cell r="C88">
            <v>0</v>
          </cell>
          <cell r="D88">
            <v>272859.94110595033</v>
          </cell>
          <cell r="E88">
            <v>0</v>
          </cell>
          <cell r="F88">
            <v>0</v>
          </cell>
          <cell r="G88">
            <v>0</v>
          </cell>
          <cell r="H88">
            <v>0</v>
          </cell>
          <cell r="I88">
            <v>0</v>
          </cell>
          <cell r="J88">
            <v>1065759.0576951939</v>
          </cell>
        </row>
        <row r="89">
          <cell r="A89">
            <v>72</v>
          </cell>
          <cell r="B89">
            <v>46813</v>
          </cell>
          <cell r="C89">
            <v>0</v>
          </cell>
          <cell r="D89">
            <v>272859.94110595033</v>
          </cell>
          <cell r="E89">
            <v>0</v>
          </cell>
          <cell r="F89">
            <v>0</v>
          </cell>
          <cell r="G89">
            <v>0</v>
          </cell>
          <cell r="H89">
            <v>0</v>
          </cell>
          <cell r="I89">
            <v>0</v>
          </cell>
          <cell r="J89">
            <v>1065759.0576951939</v>
          </cell>
        </row>
        <row r="90">
          <cell r="A90">
            <v>73</v>
          </cell>
          <cell r="B90">
            <v>46905</v>
          </cell>
          <cell r="C90">
            <v>0</v>
          </cell>
          <cell r="D90">
            <v>272859.94110595033</v>
          </cell>
          <cell r="E90">
            <v>0</v>
          </cell>
          <cell r="F90">
            <v>0</v>
          </cell>
          <cell r="G90">
            <v>0</v>
          </cell>
          <cell r="H90">
            <v>0</v>
          </cell>
          <cell r="I90">
            <v>0</v>
          </cell>
          <cell r="J90">
            <v>1065759.0576951939</v>
          </cell>
        </row>
        <row r="91">
          <cell r="A91">
            <v>74</v>
          </cell>
          <cell r="B91">
            <v>46997</v>
          </cell>
          <cell r="C91">
            <v>0</v>
          </cell>
          <cell r="D91">
            <v>272859.94110595033</v>
          </cell>
          <cell r="E91">
            <v>0</v>
          </cell>
          <cell r="F91">
            <v>0</v>
          </cell>
          <cell r="G91">
            <v>0</v>
          </cell>
          <cell r="H91">
            <v>0</v>
          </cell>
          <cell r="I91">
            <v>0</v>
          </cell>
          <cell r="J91">
            <v>1065759.0576951939</v>
          </cell>
        </row>
        <row r="92">
          <cell r="A92">
            <v>75</v>
          </cell>
          <cell r="B92">
            <v>47088</v>
          </cell>
          <cell r="C92">
            <v>0</v>
          </cell>
          <cell r="D92">
            <v>272859.94110595033</v>
          </cell>
          <cell r="E92">
            <v>0</v>
          </cell>
          <cell r="F92">
            <v>0</v>
          </cell>
          <cell r="G92">
            <v>0</v>
          </cell>
          <cell r="H92">
            <v>0</v>
          </cell>
          <cell r="I92">
            <v>0</v>
          </cell>
          <cell r="J92">
            <v>1065759.0576951939</v>
          </cell>
        </row>
        <row r="93">
          <cell r="A93">
            <v>76</v>
          </cell>
          <cell r="B93">
            <v>47178</v>
          </cell>
          <cell r="C93">
            <v>0</v>
          </cell>
          <cell r="D93">
            <v>272859.94110595033</v>
          </cell>
          <cell r="E93">
            <v>0</v>
          </cell>
          <cell r="F93">
            <v>0</v>
          </cell>
          <cell r="G93">
            <v>0</v>
          </cell>
          <cell r="H93">
            <v>0</v>
          </cell>
          <cell r="I93">
            <v>0</v>
          </cell>
          <cell r="J93">
            <v>1065759.0576951939</v>
          </cell>
        </row>
        <row r="94">
          <cell r="A94">
            <v>77</v>
          </cell>
          <cell r="B94">
            <v>47270</v>
          </cell>
          <cell r="C94">
            <v>0</v>
          </cell>
          <cell r="D94">
            <v>272859.94110595033</v>
          </cell>
          <cell r="E94">
            <v>0</v>
          </cell>
          <cell r="F94">
            <v>0</v>
          </cell>
          <cell r="G94">
            <v>0</v>
          </cell>
          <cell r="H94">
            <v>0</v>
          </cell>
          <cell r="I94">
            <v>0</v>
          </cell>
          <cell r="J94">
            <v>1065759.0576951939</v>
          </cell>
        </row>
        <row r="95">
          <cell r="A95">
            <v>78</v>
          </cell>
          <cell r="B95">
            <v>47362</v>
          </cell>
          <cell r="C95">
            <v>0</v>
          </cell>
          <cell r="D95">
            <v>272859.94110595033</v>
          </cell>
          <cell r="E95">
            <v>0</v>
          </cell>
          <cell r="F95">
            <v>0</v>
          </cell>
          <cell r="G95">
            <v>0</v>
          </cell>
          <cell r="H95">
            <v>0</v>
          </cell>
          <cell r="I95">
            <v>0</v>
          </cell>
          <cell r="J95">
            <v>1065759.0576951939</v>
          </cell>
        </row>
        <row r="96">
          <cell r="A96">
            <v>79</v>
          </cell>
          <cell r="B96">
            <v>47453</v>
          </cell>
          <cell r="C96">
            <v>0</v>
          </cell>
          <cell r="D96">
            <v>272859.94110595033</v>
          </cell>
          <cell r="E96">
            <v>0</v>
          </cell>
          <cell r="F96">
            <v>0</v>
          </cell>
          <cell r="G96">
            <v>0</v>
          </cell>
          <cell r="H96">
            <v>0</v>
          </cell>
          <cell r="I96">
            <v>0</v>
          </cell>
          <cell r="J96">
            <v>1065759.0576951939</v>
          </cell>
        </row>
        <row r="97">
          <cell r="A97">
            <v>80</v>
          </cell>
          <cell r="B97">
            <v>47543</v>
          </cell>
          <cell r="C97">
            <v>0</v>
          </cell>
          <cell r="D97">
            <v>272859.94110595033</v>
          </cell>
          <cell r="E97">
            <v>0</v>
          </cell>
          <cell r="F97">
            <v>0</v>
          </cell>
          <cell r="G97">
            <v>0</v>
          </cell>
          <cell r="H97">
            <v>0</v>
          </cell>
          <cell r="I97">
            <v>0</v>
          </cell>
          <cell r="J97">
            <v>1065759.0576951939</v>
          </cell>
        </row>
        <row r="98">
          <cell r="A98">
            <v>81</v>
          </cell>
          <cell r="B98">
            <v>47635</v>
          </cell>
          <cell r="C98">
            <v>0</v>
          </cell>
          <cell r="D98">
            <v>272859.94110595033</v>
          </cell>
          <cell r="E98">
            <v>0</v>
          </cell>
          <cell r="F98">
            <v>0</v>
          </cell>
          <cell r="G98">
            <v>0</v>
          </cell>
          <cell r="H98">
            <v>0</v>
          </cell>
          <cell r="I98">
            <v>0</v>
          </cell>
          <cell r="J98">
            <v>1065759.0576951939</v>
          </cell>
        </row>
        <row r="99">
          <cell r="A99">
            <v>82</v>
          </cell>
          <cell r="B99">
            <v>47727</v>
          </cell>
          <cell r="C99">
            <v>0</v>
          </cell>
          <cell r="D99">
            <v>272859.94110595033</v>
          </cell>
          <cell r="E99">
            <v>0</v>
          </cell>
          <cell r="F99">
            <v>0</v>
          </cell>
          <cell r="G99">
            <v>0</v>
          </cell>
          <cell r="H99">
            <v>0</v>
          </cell>
          <cell r="I99">
            <v>0</v>
          </cell>
          <cell r="J99">
            <v>1065759.0576951939</v>
          </cell>
        </row>
        <row r="100">
          <cell r="A100">
            <v>83</v>
          </cell>
          <cell r="B100">
            <v>47818</v>
          </cell>
          <cell r="C100">
            <v>0</v>
          </cell>
          <cell r="D100">
            <v>272859.94110595033</v>
          </cell>
          <cell r="E100">
            <v>0</v>
          </cell>
          <cell r="F100">
            <v>0</v>
          </cell>
          <cell r="G100">
            <v>0</v>
          </cell>
          <cell r="H100">
            <v>0</v>
          </cell>
          <cell r="I100">
            <v>0</v>
          </cell>
          <cell r="J100">
            <v>1065759.0576951939</v>
          </cell>
        </row>
        <row r="101">
          <cell r="A101">
            <v>84</v>
          </cell>
          <cell r="B101">
            <v>47908</v>
          </cell>
          <cell r="C101">
            <v>0</v>
          </cell>
          <cell r="D101">
            <v>272859.94110595033</v>
          </cell>
          <cell r="E101">
            <v>0</v>
          </cell>
          <cell r="F101">
            <v>0</v>
          </cell>
          <cell r="G101">
            <v>0</v>
          </cell>
          <cell r="H101">
            <v>0</v>
          </cell>
          <cell r="I101">
            <v>0</v>
          </cell>
          <cell r="J101">
            <v>1065759.0576951939</v>
          </cell>
        </row>
        <row r="102">
          <cell r="A102">
            <v>85</v>
          </cell>
          <cell r="B102">
            <v>48000</v>
          </cell>
          <cell r="C102">
            <v>0</v>
          </cell>
          <cell r="D102">
            <v>272859.94110595033</v>
          </cell>
          <cell r="E102">
            <v>0</v>
          </cell>
          <cell r="F102">
            <v>0</v>
          </cell>
          <cell r="G102">
            <v>0</v>
          </cell>
          <cell r="H102">
            <v>0</v>
          </cell>
          <cell r="I102">
            <v>0</v>
          </cell>
          <cell r="J102">
            <v>1065759.0576951939</v>
          </cell>
        </row>
        <row r="103">
          <cell r="A103">
            <v>86</v>
          </cell>
          <cell r="B103">
            <v>48092</v>
          </cell>
          <cell r="C103">
            <v>0</v>
          </cell>
          <cell r="D103">
            <v>272859.94110595033</v>
          </cell>
          <cell r="E103">
            <v>0</v>
          </cell>
          <cell r="F103">
            <v>0</v>
          </cell>
          <cell r="G103">
            <v>0</v>
          </cell>
          <cell r="H103">
            <v>0</v>
          </cell>
          <cell r="I103">
            <v>0</v>
          </cell>
          <cell r="J103">
            <v>1065759.0576951939</v>
          </cell>
        </row>
        <row r="104">
          <cell r="A104">
            <v>87</v>
          </cell>
          <cell r="B104">
            <v>48183</v>
          </cell>
          <cell r="C104">
            <v>0</v>
          </cell>
          <cell r="D104">
            <v>272859.94110595033</v>
          </cell>
          <cell r="E104">
            <v>0</v>
          </cell>
          <cell r="F104">
            <v>0</v>
          </cell>
          <cell r="G104">
            <v>0</v>
          </cell>
          <cell r="H104">
            <v>0</v>
          </cell>
          <cell r="I104">
            <v>0</v>
          </cell>
          <cell r="J104">
            <v>1065759.0576951939</v>
          </cell>
        </row>
        <row r="105">
          <cell r="A105">
            <v>88</v>
          </cell>
          <cell r="B105">
            <v>48274</v>
          </cell>
          <cell r="C105">
            <v>0</v>
          </cell>
          <cell r="D105">
            <v>272859.94110595033</v>
          </cell>
          <cell r="E105">
            <v>0</v>
          </cell>
          <cell r="F105">
            <v>0</v>
          </cell>
          <cell r="G105">
            <v>0</v>
          </cell>
          <cell r="H105">
            <v>0</v>
          </cell>
          <cell r="I105">
            <v>0</v>
          </cell>
          <cell r="J105">
            <v>1065759.0576951939</v>
          </cell>
        </row>
        <row r="106">
          <cell r="A106">
            <v>89</v>
          </cell>
          <cell r="B106">
            <v>48366</v>
          </cell>
          <cell r="C106">
            <v>0</v>
          </cell>
          <cell r="D106">
            <v>272859.94110595033</v>
          </cell>
          <cell r="E106">
            <v>0</v>
          </cell>
          <cell r="F106">
            <v>0</v>
          </cell>
          <cell r="G106">
            <v>0</v>
          </cell>
          <cell r="H106">
            <v>0</v>
          </cell>
          <cell r="I106">
            <v>0</v>
          </cell>
          <cell r="J106">
            <v>1065759.0576951939</v>
          </cell>
        </row>
        <row r="107">
          <cell r="A107">
            <v>90</v>
          </cell>
          <cell r="B107">
            <v>48458</v>
          </cell>
          <cell r="C107">
            <v>0</v>
          </cell>
          <cell r="D107">
            <v>272859.94110595033</v>
          </cell>
          <cell r="E107">
            <v>0</v>
          </cell>
          <cell r="F107">
            <v>0</v>
          </cell>
          <cell r="G107">
            <v>0</v>
          </cell>
          <cell r="H107">
            <v>0</v>
          </cell>
          <cell r="I107">
            <v>0</v>
          </cell>
          <cell r="J107">
            <v>1065759.0576951939</v>
          </cell>
        </row>
        <row r="108">
          <cell r="A108">
            <v>91</v>
          </cell>
          <cell r="B108">
            <v>48549</v>
          </cell>
          <cell r="C108">
            <v>0</v>
          </cell>
          <cell r="D108">
            <v>272859.94110595033</v>
          </cell>
          <cell r="E108">
            <v>0</v>
          </cell>
          <cell r="F108">
            <v>0</v>
          </cell>
          <cell r="G108">
            <v>0</v>
          </cell>
          <cell r="H108">
            <v>0</v>
          </cell>
          <cell r="I108">
            <v>0</v>
          </cell>
          <cell r="J108">
            <v>1065759.0576951939</v>
          </cell>
        </row>
        <row r="109">
          <cell r="A109">
            <v>92</v>
          </cell>
          <cell r="B109">
            <v>48639</v>
          </cell>
          <cell r="C109">
            <v>0</v>
          </cell>
          <cell r="D109">
            <v>272859.94110595033</v>
          </cell>
          <cell r="E109">
            <v>0</v>
          </cell>
          <cell r="F109">
            <v>0</v>
          </cell>
          <cell r="G109">
            <v>0</v>
          </cell>
          <cell r="H109">
            <v>0</v>
          </cell>
          <cell r="I109">
            <v>0</v>
          </cell>
          <cell r="J109">
            <v>1065759.0576951939</v>
          </cell>
        </row>
        <row r="110">
          <cell r="A110">
            <v>93</v>
          </cell>
          <cell r="B110">
            <v>48731</v>
          </cell>
          <cell r="C110">
            <v>0</v>
          </cell>
          <cell r="D110">
            <v>272859.94110595033</v>
          </cell>
          <cell r="E110">
            <v>0</v>
          </cell>
          <cell r="F110">
            <v>0</v>
          </cell>
          <cell r="G110">
            <v>0</v>
          </cell>
          <cell r="H110">
            <v>0</v>
          </cell>
          <cell r="I110">
            <v>0</v>
          </cell>
          <cell r="J110">
            <v>1065759.0576951939</v>
          </cell>
        </row>
        <row r="111">
          <cell r="A111">
            <v>94</v>
          </cell>
          <cell r="B111">
            <v>48823</v>
          </cell>
          <cell r="C111">
            <v>0</v>
          </cell>
          <cell r="D111">
            <v>272859.94110595033</v>
          </cell>
          <cell r="E111">
            <v>0</v>
          </cell>
          <cell r="F111">
            <v>0</v>
          </cell>
          <cell r="G111">
            <v>0</v>
          </cell>
          <cell r="H111">
            <v>0</v>
          </cell>
          <cell r="I111">
            <v>0</v>
          </cell>
          <cell r="J111">
            <v>1065759.0576951939</v>
          </cell>
        </row>
        <row r="112">
          <cell r="A112">
            <v>95</v>
          </cell>
          <cell r="B112">
            <v>48914</v>
          </cell>
          <cell r="C112">
            <v>0</v>
          </cell>
          <cell r="D112">
            <v>272859.94110595033</v>
          </cell>
          <cell r="E112">
            <v>0</v>
          </cell>
          <cell r="F112">
            <v>0</v>
          </cell>
          <cell r="G112">
            <v>0</v>
          </cell>
          <cell r="H112">
            <v>0</v>
          </cell>
          <cell r="I112">
            <v>0</v>
          </cell>
          <cell r="J112">
            <v>1065759.0576951939</v>
          </cell>
        </row>
        <row r="113">
          <cell r="A113">
            <v>96</v>
          </cell>
          <cell r="B113">
            <v>49004</v>
          </cell>
          <cell r="C113">
            <v>0</v>
          </cell>
          <cell r="D113">
            <v>272859.94110595033</v>
          </cell>
          <cell r="E113">
            <v>0</v>
          </cell>
          <cell r="F113">
            <v>0</v>
          </cell>
          <cell r="G113">
            <v>0</v>
          </cell>
          <cell r="H113">
            <v>0</v>
          </cell>
          <cell r="I113">
            <v>0</v>
          </cell>
          <cell r="J113">
            <v>1065759.0576951939</v>
          </cell>
        </row>
        <row r="114">
          <cell r="A114">
            <v>97</v>
          </cell>
          <cell r="B114">
            <v>49096</v>
          </cell>
          <cell r="C114">
            <v>0</v>
          </cell>
          <cell r="D114">
            <v>272859.94110595033</v>
          </cell>
          <cell r="E114">
            <v>0</v>
          </cell>
          <cell r="F114">
            <v>0</v>
          </cell>
          <cell r="G114">
            <v>0</v>
          </cell>
          <cell r="H114">
            <v>0</v>
          </cell>
          <cell r="I114">
            <v>0</v>
          </cell>
          <cell r="J114">
            <v>1065759.0576951939</v>
          </cell>
        </row>
        <row r="115">
          <cell r="A115">
            <v>98</v>
          </cell>
          <cell r="B115">
            <v>49188</v>
          </cell>
          <cell r="C115">
            <v>0</v>
          </cell>
          <cell r="D115">
            <v>272859.94110595033</v>
          </cell>
          <cell r="E115">
            <v>0</v>
          </cell>
          <cell r="F115">
            <v>0</v>
          </cell>
          <cell r="G115">
            <v>0</v>
          </cell>
          <cell r="H115">
            <v>0</v>
          </cell>
          <cell r="I115">
            <v>0</v>
          </cell>
          <cell r="J115">
            <v>1065759.0576951939</v>
          </cell>
        </row>
        <row r="116">
          <cell r="A116">
            <v>99</v>
          </cell>
          <cell r="B116">
            <v>49279</v>
          </cell>
          <cell r="C116">
            <v>0</v>
          </cell>
          <cell r="D116">
            <v>272859.94110595033</v>
          </cell>
          <cell r="E116">
            <v>0</v>
          </cell>
          <cell r="F116">
            <v>0</v>
          </cell>
          <cell r="G116">
            <v>0</v>
          </cell>
          <cell r="H116">
            <v>0</v>
          </cell>
          <cell r="I116">
            <v>0</v>
          </cell>
          <cell r="J116">
            <v>1065759.0576951939</v>
          </cell>
        </row>
        <row r="117">
          <cell r="A117">
            <v>100</v>
          </cell>
          <cell r="B117">
            <v>49369</v>
          </cell>
          <cell r="C117">
            <v>0</v>
          </cell>
          <cell r="D117">
            <v>272859.94110595033</v>
          </cell>
          <cell r="E117">
            <v>0</v>
          </cell>
          <cell r="F117">
            <v>0</v>
          </cell>
          <cell r="G117">
            <v>0</v>
          </cell>
          <cell r="H117">
            <v>0</v>
          </cell>
          <cell r="I117">
            <v>0</v>
          </cell>
          <cell r="J117">
            <v>1065759.0576951939</v>
          </cell>
        </row>
        <row r="118">
          <cell r="A118">
            <v>101</v>
          </cell>
          <cell r="B118">
            <v>49461</v>
          </cell>
          <cell r="C118">
            <v>0</v>
          </cell>
          <cell r="D118">
            <v>272859.94110595033</v>
          </cell>
          <cell r="E118">
            <v>0</v>
          </cell>
          <cell r="F118">
            <v>0</v>
          </cell>
          <cell r="G118">
            <v>0</v>
          </cell>
          <cell r="H118">
            <v>0</v>
          </cell>
          <cell r="I118">
            <v>0</v>
          </cell>
          <cell r="J118">
            <v>1065759.0576951939</v>
          </cell>
        </row>
        <row r="119">
          <cell r="A119">
            <v>102</v>
          </cell>
          <cell r="B119">
            <v>49553</v>
          </cell>
          <cell r="C119">
            <v>0</v>
          </cell>
          <cell r="D119">
            <v>272859.94110595033</v>
          </cell>
          <cell r="E119">
            <v>0</v>
          </cell>
          <cell r="F119">
            <v>0</v>
          </cell>
          <cell r="G119">
            <v>0</v>
          </cell>
          <cell r="H119">
            <v>0</v>
          </cell>
          <cell r="I119">
            <v>0</v>
          </cell>
          <cell r="J119">
            <v>1065759.0576951939</v>
          </cell>
        </row>
        <row r="120">
          <cell r="A120">
            <v>103</v>
          </cell>
          <cell r="B120">
            <v>49644</v>
          </cell>
          <cell r="C120">
            <v>0</v>
          </cell>
          <cell r="D120">
            <v>272859.94110595033</v>
          </cell>
          <cell r="E120">
            <v>0</v>
          </cell>
          <cell r="F120">
            <v>0</v>
          </cell>
          <cell r="G120">
            <v>0</v>
          </cell>
          <cell r="H120">
            <v>0</v>
          </cell>
          <cell r="I120">
            <v>0</v>
          </cell>
          <cell r="J120">
            <v>1065759.0576951939</v>
          </cell>
        </row>
        <row r="121">
          <cell r="A121">
            <v>104</v>
          </cell>
          <cell r="B121">
            <v>49735</v>
          </cell>
          <cell r="C121">
            <v>0</v>
          </cell>
          <cell r="D121">
            <v>272859.94110595033</v>
          </cell>
          <cell r="E121">
            <v>0</v>
          </cell>
          <cell r="F121">
            <v>0</v>
          </cell>
          <cell r="G121">
            <v>0</v>
          </cell>
          <cell r="H121">
            <v>0</v>
          </cell>
          <cell r="I121">
            <v>0</v>
          </cell>
          <cell r="J121">
            <v>1065759.0576951939</v>
          </cell>
        </row>
        <row r="122">
          <cell r="A122">
            <v>105</v>
          </cell>
          <cell r="B122">
            <v>49827</v>
          </cell>
          <cell r="C122">
            <v>0</v>
          </cell>
          <cell r="D122">
            <v>272859.94110595033</v>
          </cell>
          <cell r="E122">
            <v>0</v>
          </cell>
          <cell r="F122">
            <v>0</v>
          </cell>
          <cell r="G122">
            <v>0</v>
          </cell>
          <cell r="H122">
            <v>0</v>
          </cell>
          <cell r="I122">
            <v>0</v>
          </cell>
          <cell r="J122">
            <v>1065759.0576951939</v>
          </cell>
        </row>
        <row r="123">
          <cell r="A123">
            <v>106</v>
          </cell>
          <cell r="B123">
            <v>49919</v>
          </cell>
          <cell r="C123">
            <v>0</v>
          </cell>
          <cell r="D123">
            <v>272859.94110595033</v>
          </cell>
          <cell r="E123">
            <v>0</v>
          </cell>
          <cell r="F123">
            <v>0</v>
          </cell>
          <cell r="G123">
            <v>0</v>
          </cell>
          <cell r="H123">
            <v>0</v>
          </cell>
          <cell r="I123">
            <v>0</v>
          </cell>
          <cell r="J123">
            <v>1065759.0576951939</v>
          </cell>
        </row>
        <row r="124">
          <cell r="A124">
            <v>107</v>
          </cell>
          <cell r="B124">
            <v>50010</v>
          </cell>
          <cell r="C124">
            <v>0</v>
          </cell>
          <cell r="D124">
            <v>272859.94110595033</v>
          </cell>
          <cell r="E124">
            <v>0</v>
          </cell>
          <cell r="F124">
            <v>0</v>
          </cell>
          <cell r="G124">
            <v>0</v>
          </cell>
          <cell r="H124">
            <v>0</v>
          </cell>
          <cell r="I124">
            <v>0</v>
          </cell>
          <cell r="J124">
            <v>1065759.0576951939</v>
          </cell>
        </row>
        <row r="125">
          <cell r="A125">
            <v>108</v>
          </cell>
          <cell r="B125">
            <v>50100</v>
          </cell>
          <cell r="C125">
            <v>0</v>
          </cell>
          <cell r="D125">
            <v>272859.94110595033</v>
          </cell>
          <cell r="E125">
            <v>0</v>
          </cell>
          <cell r="F125">
            <v>0</v>
          </cell>
          <cell r="G125">
            <v>0</v>
          </cell>
          <cell r="H125">
            <v>0</v>
          </cell>
          <cell r="I125">
            <v>0</v>
          </cell>
          <cell r="J125">
            <v>1065759.0576951939</v>
          </cell>
        </row>
        <row r="126">
          <cell r="A126">
            <v>109</v>
          </cell>
          <cell r="B126">
            <v>50192</v>
          </cell>
          <cell r="C126">
            <v>0</v>
          </cell>
          <cell r="D126">
            <v>272859.94110595033</v>
          </cell>
          <cell r="E126">
            <v>0</v>
          </cell>
          <cell r="F126">
            <v>0</v>
          </cell>
          <cell r="G126">
            <v>0</v>
          </cell>
          <cell r="H126">
            <v>0</v>
          </cell>
          <cell r="I126">
            <v>0</v>
          </cell>
          <cell r="J126">
            <v>1065759.0576951939</v>
          </cell>
        </row>
        <row r="127">
          <cell r="A127">
            <v>110</v>
          </cell>
          <cell r="B127">
            <v>50284</v>
          </cell>
          <cell r="C127">
            <v>0</v>
          </cell>
          <cell r="D127">
            <v>272859.94110595033</v>
          </cell>
          <cell r="E127">
            <v>0</v>
          </cell>
          <cell r="F127">
            <v>0</v>
          </cell>
          <cell r="G127">
            <v>0</v>
          </cell>
          <cell r="H127">
            <v>0</v>
          </cell>
          <cell r="I127">
            <v>0</v>
          </cell>
          <cell r="J127">
            <v>1065759.0576951939</v>
          </cell>
        </row>
        <row r="128">
          <cell r="A128">
            <v>111</v>
          </cell>
          <cell r="B128">
            <v>50375</v>
          </cell>
          <cell r="C128">
            <v>0</v>
          </cell>
          <cell r="D128">
            <v>272859.94110595033</v>
          </cell>
          <cell r="E128">
            <v>0</v>
          </cell>
          <cell r="F128">
            <v>0</v>
          </cell>
          <cell r="G128">
            <v>0</v>
          </cell>
          <cell r="H128">
            <v>0</v>
          </cell>
          <cell r="I128">
            <v>0</v>
          </cell>
          <cell r="J128">
            <v>1065759.0576951939</v>
          </cell>
        </row>
        <row r="129">
          <cell r="A129">
            <v>112</v>
          </cell>
          <cell r="B129">
            <v>50465</v>
          </cell>
          <cell r="C129">
            <v>0</v>
          </cell>
          <cell r="D129">
            <v>272859.94110595033</v>
          </cell>
          <cell r="E129">
            <v>0</v>
          </cell>
          <cell r="F129">
            <v>0</v>
          </cell>
          <cell r="G129">
            <v>0</v>
          </cell>
          <cell r="H129">
            <v>0</v>
          </cell>
          <cell r="I129">
            <v>0</v>
          </cell>
          <cell r="J129">
            <v>1065759.0576951939</v>
          </cell>
        </row>
        <row r="130">
          <cell r="A130">
            <v>113</v>
          </cell>
          <cell r="B130">
            <v>50557</v>
          </cell>
          <cell r="C130">
            <v>0</v>
          </cell>
          <cell r="D130">
            <v>272859.94110595033</v>
          </cell>
          <cell r="E130">
            <v>0</v>
          </cell>
          <cell r="F130">
            <v>0</v>
          </cell>
          <cell r="G130">
            <v>0</v>
          </cell>
          <cell r="H130">
            <v>0</v>
          </cell>
          <cell r="I130">
            <v>0</v>
          </cell>
          <cell r="J130">
            <v>1065759.0576951939</v>
          </cell>
        </row>
        <row r="131">
          <cell r="A131">
            <v>114</v>
          </cell>
          <cell r="B131">
            <v>50649</v>
          </cell>
          <cell r="C131">
            <v>0</v>
          </cell>
          <cell r="D131">
            <v>272859.94110595033</v>
          </cell>
          <cell r="E131">
            <v>0</v>
          </cell>
          <cell r="F131">
            <v>0</v>
          </cell>
          <cell r="G131">
            <v>0</v>
          </cell>
          <cell r="H131">
            <v>0</v>
          </cell>
          <cell r="I131">
            <v>0</v>
          </cell>
          <cell r="J131">
            <v>1065759.0576951939</v>
          </cell>
        </row>
        <row r="132">
          <cell r="A132">
            <v>115</v>
          </cell>
          <cell r="B132">
            <v>50740</v>
          </cell>
          <cell r="C132">
            <v>0</v>
          </cell>
          <cell r="D132">
            <v>272859.94110595033</v>
          </cell>
          <cell r="E132">
            <v>0</v>
          </cell>
          <cell r="F132">
            <v>0</v>
          </cell>
          <cell r="G132">
            <v>0</v>
          </cell>
          <cell r="H132">
            <v>0</v>
          </cell>
          <cell r="I132">
            <v>0</v>
          </cell>
          <cell r="J132">
            <v>1065759.0576951939</v>
          </cell>
        </row>
        <row r="133">
          <cell r="A133">
            <v>116</v>
          </cell>
          <cell r="B133">
            <v>50830</v>
          </cell>
          <cell r="C133">
            <v>0</v>
          </cell>
          <cell r="D133">
            <v>272859.94110595033</v>
          </cell>
          <cell r="E133">
            <v>0</v>
          </cell>
          <cell r="F133">
            <v>0</v>
          </cell>
          <cell r="G133">
            <v>0</v>
          </cell>
          <cell r="H133">
            <v>0</v>
          </cell>
          <cell r="I133">
            <v>0</v>
          </cell>
          <cell r="J133">
            <v>1065759.0576951939</v>
          </cell>
        </row>
        <row r="134">
          <cell r="A134">
            <v>117</v>
          </cell>
          <cell r="B134">
            <v>50922</v>
          </cell>
          <cell r="C134">
            <v>0</v>
          </cell>
          <cell r="D134">
            <v>272859.94110595033</v>
          </cell>
          <cell r="E134">
            <v>0</v>
          </cell>
          <cell r="F134">
            <v>0</v>
          </cell>
          <cell r="G134">
            <v>0</v>
          </cell>
          <cell r="H134">
            <v>0</v>
          </cell>
          <cell r="I134">
            <v>0</v>
          </cell>
          <cell r="J134">
            <v>1065759.0576951939</v>
          </cell>
        </row>
        <row r="135">
          <cell r="A135">
            <v>118</v>
          </cell>
          <cell r="B135">
            <v>51014</v>
          </cell>
          <cell r="C135">
            <v>0</v>
          </cell>
          <cell r="D135">
            <v>272859.94110595033</v>
          </cell>
          <cell r="E135">
            <v>0</v>
          </cell>
          <cell r="F135">
            <v>0</v>
          </cell>
          <cell r="G135">
            <v>0</v>
          </cell>
          <cell r="H135">
            <v>0</v>
          </cell>
          <cell r="I135">
            <v>0</v>
          </cell>
          <cell r="J135">
            <v>1065759.0576951939</v>
          </cell>
        </row>
        <row r="136">
          <cell r="A136">
            <v>119</v>
          </cell>
          <cell r="B136">
            <v>51105</v>
          </cell>
          <cell r="C136">
            <v>0</v>
          </cell>
          <cell r="D136">
            <v>272859.94110595033</v>
          </cell>
          <cell r="E136">
            <v>0</v>
          </cell>
          <cell r="F136">
            <v>0</v>
          </cell>
          <cell r="G136">
            <v>0</v>
          </cell>
          <cell r="H136">
            <v>0</v>
          </cell>
          <cell r="I136">
            <v>0</v>
          </cell>
          <cell r="J136">
            <v>1065759.0576951939</v>
          </cell>
        </row>
        <row r="137">
          <cell r="A137">
            <v>120</v>
          </cell>
          <cell r="B137">
            <v>51196</v>
          </cell>
          <cell r="C137">
            <v>0</v>
          </cell>
          <cell r="D137">
            <v>272859.94110595033</v>
          </cell>
          <cell r="E137">
            <v>0</v>
          </cell>
          <cell r="F137">
            <v>0</v>
          </cell>
          <cell r="G137">
            <v>0</v>
          </cell>
          <cell r="H137">
            <v>0</v>
          </cell>
          <cell r="I137">
            <v>0</v>
          </cell>
          <cell r="J137">
            <v>1065759.0576951939</v>
          </cell>
        </row>
        <row r="138">
          <cell r="A138">
            <v>121</v>
          </cell>
          <cell r="B138">
            <v>51288</v>
          </cell>
          <cell r="C138">
            <v>0</v>
          </cell>
          <cell r="D138">
            <v>272859.94110595033</v>
          </cell>
          <cell r="E138">
            <v>0</v>
          </cell>
          <cell r="F138">
            <v>0</v>
          </cell>
          <cell r="G138">
            <v>0</v>
          </cell>
          <cell r="H138">
            <v>0</v>
          </cell>
          <cell r="I138">
            <v>0</v>
          </cell>
          <cell r="J138">
            <v>1065759.0576951939</v>
          </cell>
        </row>
        <row r="139">
          <cell r="A139">
            <v>122</v>
          </cell>
          <cell r="B139">
            <v>51380</v>
          </cell>
          <cell r="C139">
            <v>0</v>
          </cell>
          <cell r="D139">
            <v>272859.94110595033</v>
          </cell>
          <cell r="E139">
            <v>0</v>
          </cell>
          <cell r="F139">
            <v>0</v>
          </cell>
          <cell r="G139">
            <v>0</v>
          </cell>
          <cell r="H139">
            <v>0</v>
          </cell>
          <cell r="I139">
            <v>0</v>
          </cell>
          <cell r="J139">
            <v>1065759.0576951939</v>
          </cell>
        </row>
        <row r="140">
          <cell r="A140">
            <v>123</v>
          </cell>
          <cell r="B140">
            <v>51471</v>
          </cell>
          <cell r="C140">
            <v>0</v>
          </cell>
          <cell r="D140">
            <v>272859.94110595033</v>
          </cell>
          <cell r="E140">
            <v>0</v>
          </cell>
          <cell r="F140">
            <v>0</v>
          </cell>
          <cell r="G140">
            <v>0</v>
          </cell>
          <cell r="H140">
            <v>0</v>
          </cell>
          <cell r="I140">
            <v>0</v>
          </cell>
          <cell r="J140">
            <v>1065759.0576951939</v>
          </cell>
        </row>
        <row r="141">
          <cell r="A141">
            <v>124</v>
          </cell>
          <cell r="B141">
            <v>51561</v>
          </cell>
          <cell r="C141">
            <v>0</v>
          </cell>
          <cell r="D141">
            <v>272859.94110595033</v>
          </cell>
          <cell r="E141">
            <v>0</v>
          </cell>
          <cell r="F141">
            <v>0</v>
          </cell>
          <cell r="G141">
            <v>0</v>
          </cell>
          <cell r="H141">
            <v>0</v>
          </cell>
          <cell r="I141">
            <v>0</v>
          </cell>
          <cell r="J141">
            <v>1065759.0576951939</v>
          </cell>
        </row>
        <row r="142">
          <cell r="A142">
            <v>125</v>
          </cell>
          <cell r="B142">
            <v>51653</v>
          </cell>
          <cell r="C142">
            <v>0</v>
          </cell>
          <cell r="D142">
            <v>272859.94110595033</v>
          </cell>
          <cell r="E142">
            <v>0</v>
          </cell>
          <cell r="F142">
            <v>0</v>
          </cell>
          <cell r="G142">
            <v>0</v>
          </cell>
          <cell r="H142">
            <v>0</v>
          </cell>
          <cell r="I142">
            <v>0</v>
          </cell>
          <cell r="J142">
            <v>1065759.0576951939</v>
          </cell>
        </row>
        <row r="143">
          <cell r="A143">
            <v>126</v>
          </cell>
          <cell r="B143">
            <v>51745</v>
          </cell>
          <cell r="C143">
            <v>0</v>
          </cell>
          <cell r="D143">
            <v>272859.94110595033</v>
          </cell>
          <cell r="E143">
            <v>0</v>
          </cell>
          <cell r="F143">
            <v>0</v>
          </cell>
          <cell r="G143">
            <v>0</v>
          </cell>
          <cell r="H143">
            <v>0</v>
          </cell>
          <cell r="I143">
            <v>0</v>
          </cell>
          <cell r="J143">
            <v>1065759.0576951939</v>
          </cell>
        </row>
        <row r="144">
          <cell r="A144">
            <v>127</v>
          </cell>
          <cell r="B144">
            <v>51836</v>
          </cell>
          <cell r="C144">
            <v>0</v>
          </cell>
          <cell r="D144">
            <v>272859.94110595033</v>
          </cell>
          <cell r="E144">
            <v>0</v>
          </cell>
          <cell r="F144">
            <v>0</v>
          </cell>
          <cell r="G144">
            <v>0</v>
          </cell>
          <cell r="H144">
            <v>0</v>
          </cell>
          <cell r="I144">
            <v>0</v>
          </cell>
          <cell r="J144">
            <v>1065759.0576951939</v>
          </cell>
        </row>
        <row r="145">
          <cell r="A145">
            <v>128</v>
          </cell>
          <cell r="B145">
            <v>51926</v>
          </cell>
          <cell r="C145">
            <v>0</v>
          </cell>
          <cell r="D145">
            <v>272859.94110595033</v>
          </cell>
          <cell r="E145">
            <v>0</v>
          </cell>
          <cell r="F145">
            <v>0</v>
          </cell>
          <cell r="G145">
            <v>0</v>
          </cell>
          <cell r="H145">
            <v>0</v>
          </cell>
          <cell r="I145">
            <v>0</v>
          </cell>
          <cell r="J145">
            <v>1065759.0576951939</v>
          </cell>
        </row>
        <row r="146">
          <cell r="A146">
            <v>129</v>
          </cell>
          <cell r="B146">
            <v>52018</v>
          </cell>
          <cell r="C146">
            <v>0</v>
          </cell>
          <cell r="D146">
            <v>272859.94110595033</v>
          </cell>
          <cell r="E146">
            <v>0</v>
          </cell>
          <cell r="F146">
            <v>0</v>
          </cell>
          <cell r="G146">
            <v>0</v>
          </cell>
          <cell r="H146">
            <v>0</v>
          </cell>
          <cell r="I146">
            <v>0</v>
          </cell>
          <cell r="J146">
            <v>1065759.0576951939</v>
          </cell>
        </row>
        <row r="147">
          <cell r="A147">
            <v>130</v>
          </cell>
          <cell r="B147">
            <v>52110</v>
          </cell>
          <cell r="C147">
            <v>0</v>
          </cell>
          <cell r="D147">
            <v>272859.94110595033</v>
          </cell>
          <cell r="E147">
            <v>0</v>
          </cell>
          <cell r="F147">
            <v>0</v>
          </cell>
          <cell r="G147">
            <v>0</v>
          </cell>
          <cell r="H147">
            <v>0</v>
          </cell>
          <cell r="I147">
            <v>0</v>
          </cell>
          <cell r="J147">
            <v>1065759.0576951939</v>
          </cell>
        </row>
        <row r="148">
          <cell r="A148">
            <v>131</v>
          </cell>
          <cell r="B148">
            <v>52201</v>
          </cell>
          <cell r="C148">
            <v>0</v>
          </cell>
          <cell r="D148">
            <v>272859.94110595033</v>
          </cell>
          <cell r="E148">
            <v>0</v>
          </cell>
          <cell r="F148">
            <v>0</v>
          </cell>
          <cell r="G148">
            <v>0</v>
          </cell>
          <cell r="H148">
            <v>0</v>
          </cell>
          <cell r="I148">
            <v>0</v>
          </cell>
          <cell r="J148">
            <v>1065759.0576951939</v>
          </cell>
        </row>
        <row r="149">
          <cell r="A149">
            <v>132</v>
          </cell>
          <cell r="B149">
            <v>52291</v>
          </cell>
          <cell r="C149">
            <v>0</v>
          </cell>
          <cell r="D149">
            <v>272859.94110595033</v>
          </cell>
          <cell r="E149">
            <v>0</v>
          </cell>
          <cell r="F149">
            <v>0</v>
          </cell>
          <cell r="G149">
            <v>0</v>
          </cell>
          <cell r="H149">
            <v>0</v>
          </cell>
          <cell r="I149">
            <v>0</v>
          </cell>
          <cell r="J149">
            <v>1065759.0576951939</v>
          </cell>
        </row>
        <row r="150">
          <cell r="A150">
            <v>133</v>
          </cell>
          <cell r="B150">
            <v>52383</v>
          </cell>
          <cell r="C150">
            <v>0</v>
          </cell>
          <cell r="D150">
            <v>272859.94110595033</v>
          </cell>
          <cell r="E150">
            <v>0</v>
          </cell>
          <cell r="F150">
            <v>0</v>
          </cell>
          <cell r="G150">
            <v>0</v>
          </cell>
          <cell r="H150">
            <v>0</v>
          </cell>
          <cell r="I150">
            <v>0</v>
          </cell>
          <cell r="J150">
            <v>1065759.0576951939</v>
          </cell>
        </row>
        <row r="151">
          <cell r="A151">
            <v>134</v>
          </cell>
          <cell r="B151">
            <v>52475</v>
          </cell>
          <cell r="C151">
            <v>0</v>
          </cell>
          <cell r="D151">
            <v>272859.94110595033</v>
          </cell>
          <cell r="E151">
            <v>0</v>
          </cell>
          <cell r="F151">
            <v>0</v>
          </cell>
          <cell r="G151">
            <v>0</v>
          </cell>
          <cell r="H151">
            <v>0</v>
          </cell>
          <cell r="I151">
            <v>0</v>
          </cell>
          <cell r="J151">
            <v>1065759.0576951939</v>
          </cell>
        </row>
        <row r="152">
          <cell r="A152">
            <v>135</v>
          </cell>
          <cell r="B152">
            <v>52566</v>
          </cell>
          <cell r="C152">
            <v>0</v>
          </cell>
          <cell r="D152">
            <v>272859.94110595033</v>
          </cell>
          <cell r="E152">
            <v>0</v>
          </cell>
          <cell r="F152">
            <v>0</v>
          </cell>
          <cell r="G152">
            <v>0</v>
          </cell>
          <cell r="H152">
            <v>0</v>
          </cell>
          <cell r="I152">
            <v>0</v>
          </cell>
          <cell r="J152">
            <v>1065759.0576951939</v>
          </cell>
        </row>
        <row r="153">
          <cell r="A153">
            <v>136</v>
          </cell>
          <cell r="B153">
            <v>52657</v>
          </cell>
          <cell r="C153">
            <v>0</v>
          </cell>
          <cell r="D153">
            <v>272859.94110595033</v>
          </cell>
          <cell r="E153">
            <v>0</v>
          </cell>
          <cell r="F153">
            <v>0</v>
          </cell>
          <cell r="G153">
            <v>0</v>
          </cell>
          <cell r="H153">
            <v>0</v>
          </cell>
          <cell r="I153">
            <v>0</v>
          </cell>
          <cell r="J153">
            <v>1065759.0576951939</v>
          </cell>
        </row>
        <row r="154">
          <cell r="A154">
            <v>137</v>
          </cell>
          <cell r="B154">
            <v>52749</v>
          </cell>
          <cell r="C154">
            <v>0</v>
          </cell>
          <cell r="D154">
            <v>272859.94110595033</v>
          </cell>
          <cell r="E154">
            <v>0</v>
          </cell>
          <cell r="F154">
            <v>0</v>
          </cell>
          <cell r="G154">
            <v>0</v>
          </cell>
          <cell r="H154">
            <v>0</v>
          </cell>
          <cell r="I154">
            <v>0</v>
          </cell>
          <cell r="J154">
            <v>1065759.0576951939</v>
          </cell>
        </row>
        <row r="155">
          <cell r="A155">
            <v>138</v>
          </cell>
          <cell r="B155">
            <v>52841</v>
          </cell>
          <cell r="C155">
            <v>0</v>
          </cell>
          <cell r="D155">
            <v>272859.94110595033</v>
          </cell>
          <cell r="E155">
            <v>0</v>
          </cell>
          <cell r="F155">
            <v>0</v>
          </cell>
          <cell r="G155">
            <v>0</v>
          </cell>
          <cell r="H155">
            <v>0</v>
          </cell>
          <cell r="I155">
            <v>0</v>
          </cell>
          <cell r="J155">
            <v>1065759.0576951939</v>
          </cell>
        </row>
        <row r="156">
          <cell r="A156">
            <v>139</v>
          </cell>
          <cell r="B156">
            <v>52932</v>
          </cell>
          <cell r="C156">
            <v>0</v>
          </cell>
          <cell r="D156">
            <v>272859.94110595033</v>
          </cell>
          <cell r="E156">
            <v>0</v>
          </cell>
          <cell r="F156">
            <v>0</v>
          </cell>
          <cell r="G156">
            <v>0</v>
          </cell>
          <cell r="H156">
            <v>0</v>
          </cell>
          <cell r="I156">
            <v>0</v>
          </cell>
          <cell r="J156">
            <v>1065759.0576951939</v>
          </cell>
        </row>
        <row r="157">
          <cell r="A157">
            <v>140</v>
          </cell>
          <cell r="B157">
            <v>53022</v>
          </cell>
          <cell r="C157">
            <v>0</v>
          </cell>
          <cell r="D157">
            <v>272859.94110595033</v>
          </cell>
          <cell r="E157">
            <v>0</v>
          </cell>
          <cell r="F157">
            <v>0</v>
          </cell>
          <cell r="G157">
            <v>0</v>
          </cell>
          <cell r="H157">
            <v>0</v>
          </cell>
          <cell r="I157">
            <v>0</v>
          </cell>
          <cell r="J157">
            <v>1065759.0576951939</v>
          </cell>
        </row>
        <row r="158">
          <cell r="A158">
            <v>141</v>
          </cell>
          <cell r="B158">
            <v>53114</v>
          </cell>
          <cell r="C158">
            <v>0</v>
          </cell>
          <cell r="D158">
            <v>272859.94110595033</v>
          </cell>
          <cell r="E158">
            <v>0</v>
          </cell>
          <cell r="F158">
            <v>0</v>
          </cell>
          <cell r="G158">
            <v>0</v>
          </cell>
          <cell r="H158">
            <v>0</v>
          </cell>
          <cell r="I158">
            <v>0</v>
          </cell>
          <cell r="J158">
            <v>1065759.0576951939</v>
          </cell>
        </row>
        <row r="159">
          <cell r="A159">
            <v>142</v>
          </cell>
          <cell r="B159">
            <v>53206</v>
          </cell>
          <cell r="C159">
            <v>0</v>
          </cell>
          <cell r="D159">
            <v>272859.94110595033</v>
          </cell>
          <cell r="E159">
            <v>0</v>
          </cell>
          <cell r="F159">
            <v>0</v>
          </cell>
          <cell r="G159">
            <v>0</v>
          </cell>
          <cell r="H159">
            <v>0</v>
          </cell>
          <cell r="I159">
            <v>0</v>
          </cell>
          <cell r="J159">
            <v>1065759.0576951939</v>
          </cell>
        </row>
        <row r="160">
          <cell r="A160">
            <v>143</v>
          </cell>
          <cell r="B160">
            <v>53297</v>
          </cell>
          <cell r="C160">
            <v>0</v>
          </cell>
          <cell r="D160">
            <v>272859.94110595033</v>
          </cell>
          <cell r="E160">
            <v>0</v>
          </cell>
          <cell r="F160">
            <v>0</v>
          </cell>
          <cell r="G160">
            <v>0</v>
          </cell>
          <cell r="H160">
            <v>0</v>
          </cell>
          <cell r="I160">
            <v>0</v>
          </cell>
          <cell r="J160">
            <v>1065759.0576951939</v>
          </cell>
        </row>
        <row r="161">
          <cell r="A161">
            <v>144</v>
          </cell>
          <cell r="B161">
            <v>53387</v>
          </cell>
          <cell r="C161">
            <v>0</v>
          </cell>
          <cell r="D161">
            <v>272859.94110595033</v>
          </cell>
          <cell r="E161">
            <v>0</v>
          </cell>
          <cell r="F161">
            <v>0</v>
          </cell>
          <cell r="G161">
            <v>0</v>
          </cell>
          <cell r="H161">
            <v>0</v>
          </cell>
          <cell r="I161">
            <v>0</v>
          </cell>
          <cell r="J161">
            <v>1065759.0576951939</v>
          </cell>
        </row>
        <row r="162">
          <cell r="A162">
            <v>145</v>
          </cell>
          <cell r="B162">
            <v>53479</v>
          </cell>
          <cell r="C162">
            <v>0</v>
          </cell>
          <cell r="D162">
            <v>272859.94110595033</v>
          </cell>
          <cell r="E162">
            <v>0</v>
          </cell>
          <cell r="F162">
            <v>0</v>
          </cell>
          <cell r="G162">
            <v>0</v>
          </cell>
          <cell r="H162">
            <v>0</v>
          </cell>
          <cell r="I162">
            <v>0</v>
          </cell>
          <cell r="J162">
            <v>1065759.0576951939</v>
          </cell>
        </row>
        <row r="163">
          <cell r="A163">
            <v>146</v>
          </cell>
          <cell r="B163">
            <v>53571</v>
          </cell>
          <cell r="C163">
            <v>0</v>
          </cell>
          <cell r="D163">
            <v>272859.94110595033</v>
          </cell>
          <cell r="E163">
            <v>0</v>
          </cell>
          <cell r="F163">
            <v>0</v>
          </cell>
          <cell r="G163">
            <v>0</v>
          </cell>
          <cell r="H163">
            <v>0</v>
          </cell>
          <cell r="I163">
            <v>0</v>
          </cell>
          <cell r="J163">
            <v>1065759.0576951939</v>
          </cell>
        </row>
        <row r="164">
          <cell r="A164">
            <v>147</v>
          </cell>
          <cell r="B164">
            <v>53662</v>
          </cell>
          <cell r="C164">
            <v>0</v>
          </cell>
          <cell r="D164">
            <v>272859.94110595033</v>
          </cell>
          <cell r="E164">
            <v>0</v>
          </cell>
          <cell r="F164">
            <v>0</v>
          </cell>
          <cell r="G164">
            <v>0</v>
          </cell>
          <cell r="H164">
            <v>0</v>
          </cell>
          <cell r="I164">
            <v>0</v>
          </cell>
          <cell r="J164">
            <v>1065759.0576951939</v>
          </cell>
        </row>
        <row r="165">
          <cell r="A165">
            <v>148</v>
          </cell>
          <cell r="B165">
            <v>53752</v>
          </cell>
          <cell r="C165">
            <v>0</v>
          </cell>
          <cell r="D165">
            <v>272859.94110595033</v>
          </cell>
          <cell r="E165">
            <v>0</v>
          </cell>
          <cell r="F165">
            <v>0</v>
          </cell>
          <cell r="G165">
            <v>0</v>
          </cell>
          <cell r="H165">
            <v>0</v>
          </cell>
          <cell r="I165">
            <v>0</v>
          </cell>
          <cell r="J165">
            <v>1065759.0576951939</v>
          </cell>
        </row>
        <row r="166">
          <cell r="A166">
            <v>149</v>
          </cell>
          <cell r="B166">
            <v>53844</v>
          </cell>
          <cell r="C166">
            <v>0</v>
          </cell>
          <cell r="D166">
            <v>272859.94110595033</v>
          </cell>
          <cell r="E166">
            <v>0</v>
          </cell>
          <cell r="F166">
            <v>0</v>
          </cell>
          <cell r="G166">
            <v>0</v>
          </cell>
          <cell r="H166">
            <v>0</v>
          </cell>
          <cell r="I166">
            <v>0</v>
          </cell>
          <cell r="J166">
            <v>1065759.0576951939</v>
          </cell>
        </row>
        <row r="167">
          <cell r="A167">
            <v>150</v>
          </cell>
          <cell r="B167">
            <v>53936</v>
          </cell>
          <cell r="C167">
            <v>0</v>
          </cell>
          <cell r="D167">
            <v>272859.94110595033</v>
          </cell>
          <cell r="E167">
            <v>0</v>
          </cell>
          <cell r="F167">
            <v>0</v>
          </cell>
          <cell r="G167">
            <v>0</v>
          </cell>
          <cell r="H167">
            <v>0</v>
          </cell>
          <cell r="I167">
            <v>0</v>
          </cell>
          <cell r="J167">
            <v>1065759.0576951939</v>
          </cell>
        </row>
        <row r="168">
          <cell r="A168">
            <v>151</v>
          </cell>
          <cell r="B168">
            <v>54027</v>
          </cell>
          <cell r="C168">
            <v>0</v>
          </cell>
          <cell r="D168">
            <v>272859.94110595033</v>
          </cell>
          <cell r="E168">
            <v>0</v>
          </cell>
          <cell r="F168">
            <v>0</v>
          </cell>
          <cell r="G168">
            <v>0</v>
          </cell>
          <cell r="H168">
            <v>0</v>
          </cell>
          <cell r="I168">
            <v>0</v>
          </cell>
          <cell r="J168">
            <v>1065759.0576951939</v>
          </cell>
        </row>
        <row r="169">
          <cell r="A169">
            <v>152</v>
          </cell>
          <cell r="B169">
            <v>54118</v>
          </cell>
          <cell r="C169">
            <v>0</v>
          </cell>
          <cell r="D169">
            <v>272859.94110595033</v>
          </cell>
          <cell r="E169">
            <v>0</v>
          </cell>
          <cell r="F169">
            <v>0</v>
          </cell>
          <cell r="G169">
            <v>0</v>
          </cell>
          <cell r="H169">
            <v>0</v>
          </cell>
          <cell r="I169">
            <v>0</v>
          </cell>
          <cell r="J169">
            <v>1065759.0576951939</v>
          </cell>
        </row>
        <row r="170">
          <cell r="A170">
            <v>153</v>
          </cell>
          <cell r="B170">
            <v>54210</v>
          </cell>
          <cell r="C170">
            <v>0</v>
          </cell>
          <cell r="D170">
            <v>272859.94110595033</v>
          </cell>
          <cell r="E170">
            <v>0</v>
          </cell>
          <cell r="F170">
            <v>0</v>
          </cell>
          <cell r="G170">
            <v>0</v>
          </cell>
          <cell r="H170">
            <v>0</v>
          </cell>
          <cell r="I170">
            <v>0</v>
          </cell>
          <cell r="J170">
            <v>1065759.0576951939</v>
          </cell>
        </row>
        <row r="171">
          <cell r="A171">
            <v>154</v>
          </cell>
          <cell r="B171">
            <v>54302</v>
          </cell>
          <cell r="C171">
            <v>0</v>
          </cell>
          <cell r="D171">
            <v>272859.94110595033</v>
          </cell>
          <cell r="E171">
            <v>0</v>
          </cell>
          <cell r="F171">
            <v>0</v>
          </cell>
          <cell r="G171">
            <v>0</v>
          </cell>
          <cell r="H171">
            <v>0</v>
          </cell>
          <cell r="I171">
            <v>0</v>
          </cell>
          <cell r="J171">
            <v>1065759.0576951939</v>
          </cell>
        </row>
        <row r="172">
          <cell r="A172">
            <v>155</v>
          </cell>
          <cell r="B172">
            <v>54393</v>
          </cell>
          <cell r="C172">
            <v>0</v>
          </cell>
          <cell r="D172">
            <v>272859.94110595033</v>
          </cell>
          <cell r="E172">
            <v>0</v>
          </cell>
          <cell r="F172">
            <v>0</v>
          </cell>
          <cell r="G172">
            <v>0</v>
          </cell>
          <cell r="H172">
            <v>0</v>
          </cell>
          <cell r="I172">
            <v>0</v>
          </cell>
          <cell r="J172">
            <v>1065759.0576951939</v>
          </cell>
        </row>
        <row r="173">
          <cell r="A173">
            <v>156</v>
          </cell>
          <cell r="B173">
            <v>54483</v>
          </cell>
          <cell r="C173">
            <v>0</v>
          </cell>
          <cell r="D173">
            <v>272859.94110595033</v>
          </cell>
          <cell r="E173">
            <v>0</v>
          </cell>
          <cell r="F173">
            <v>0</v>
          </cell>
          <cell r="G173">
            <v>0</v>
          </cell>
          <cell r="H173">
            <v>0</v>
          </cell>
          <cell r="I173">
            <v>0</v>
          </cell>
          <cell r="J173">
            <v>1065759.0576951939</v>
          </cell>
        </row>
        <row r="174">
          <cell r="A174">
            <v>157</v>
          </cell>
          <cell r="B174">
            <v>54575</v>
          </cell>
          <cell r="C174">
            <v>0</v>
          </cell>
          <cell r="D174">
            <v>272859.94110595033</v>
          </cell>
          <cell r="E174">
            <v>0</v>
          </cell>
          <cell r="F174">
            <v>0</v>
          </cell>
          <cell r="G174">
            <v>0</v>
          </cell>
          <cell r="H174">
            <v>0</v>
          </cell>
          <cell r="I174">
            <v>0</v>
          </cell>
          <cell r="J174">
            <v>1065759.0576951939</v>
          </cell>
        </row>
        <row r="175">
          <cell r="A175">
            <v>158</v>
          </cell>
          <cell r="B175">
            <v>54667</v>
          </cell>
          <cell r="C175">
            <v>0</v>
          </cell>
          <cell r="D175">
            <v>272859.94110595033</v>
          </cell>
          <cell r="E175">
            <v>0</v>
          </cell>
          <cell r="F175">
            <v>0</v>
          </cell>
          <cell r="G175">
            <v>0</v>
          </cell>
          <cell r="H175">
            <v>0</v>
          </cell>
          <cell r="I175">
            <v>0</v>
          </cell>
          <cell r="J175">
            <v>1065759.0576951939</v>
          </cell>
        </row>
        <row r="176">
          <cell r="A176">
            <v>159</v>
          </cell>
          <cell r="B176">
            <v>54758</v>
          </cell>
          <cell r="C176">
            <v>0</v>
          </cell>
          <cell r="D176">
            <v>272859.94110595033</v>
          </cell>
          <cell r="E176">
            <v>0</v>
          </cell>
          <cell r="F176">
            <v>0</v>
          </cell>
          <cell r="G176">
            <v>0</v>
          </cell>
          <cell r="H176">
            <v>0</v>
          </cell>
          <cell r="I176">
            <v>0</v>
          </cell>
          <cell r="J176">
            <v>1065759.0576951939</v>
          </cell>
        </row>
        <row r="177">
          <cell r="A177">
            <v>160</v>
          </cell>
          <cell r="B177">
            <v>54848</v>
          </cell>
          <cell r="C177">
            <v>0</v>
          </cell>
          <cell r="D177">
            <v>272859.94110595033</v>
          </cell>
          <cell r="E177">
            <v>0</v>
          </cell>
          <cell r="F177">
            <v>0</v>
          </cell>
          <cell r="G177">
            <v>0</v>
          </cell>
          <cell r="H177">
            <v>0</v>
          </cell>
          <cell r="I177">
            <v>0</v>
          </cell>
          <cell r="J177">
            <v>1065759.0576951939</v>
          </cell>
        </row>
        <row r="178">
          <cell r="A178">
            <v>161</v>
          </cell>
          <cell r="B178">
            <v>54940</v>
          </cell>
          <cell r="C178">
            <v>0</v>
          </cell>
          <cell r="D178">
            <v>272859.94110595033</v>
          </cell>
          <cell r="E178">
            <v>0</v>
          </cell>
          <cell r="F178">
            <v>0</v>
          </cell>
          <cell r="G178">
            <v>0</v>
          </cell>
          <cell r="H178">
            <v>0</v>
          </cell>
          <cell r="I178">
            <v>0</v>
          </cell>
          <cell r="J178">
            <v>1065759.0576951939</v>
          </cell>
        </row>
        <row r="179">
          <cell r="A179">
            <v>162</v>
          </cell>
          <cell r="B179">
            <v>55032</v>
          </cell>
          <cell r="C179">
            <v>0</v>
          </cell>
          <cell r="D179">
            <v>272859.94110595033</v>
          </cell>
          <cell r="E179">
            <v>0</v>
          </cell>
          <cell r="F179">
            <v>0</v>
          </cell>
          <cell r="G179">
            <v>0</v>
          </cell>
          <cell r="H179">
            <v>0</v>
          </cell>
          <cell r="I179">
            <v>0</v>
          </cell>
          <cell r="J179">
            <v>1065759.0576951939</v>
          </cell>
        </row>
        <row r="180">
          <cell r="A180">
            <v>163</v>
          </cell>
          <cell r="B180">
            <v>55123</v>
          </cell>
          <cell r="C180">
            <v>0</v>
          </cell>
          <cell r="D180">
            <v>272859.94110595033</v>
          </cell>
          <cell r="E180">
            <v>0</v>
          </cell>
          <cell r="F180">
            <v>0</v>
          </cell>
          <cell r="G180">
            <v>0</v>
          </cell>
          <cell r="H180">
            <v>0</v>
          </cell>
          <cell r="I180">
            <v>0</v>
          </cell>
          <cell r="J180">
            <v>1065759.0576951939</v>
          </cell>
        </row>
        <row r="181">
          <cell r="A181">
            <v>164</v>
          </cell>
          <cell r="B181">
            <v>55213</v>
          </cell>
          <cell r="C181">
            <v>0</v>
          </cell>
          <cell r="D181">
            <v>272859.94110595033</v>
          </cell>
          <cell r="E181">
            <v>0</v>
          </cell>
          <cell r="F181">
            <v>0</v>
          </cell>
          <cell r="G181">
            <v>0</v>
          </cell>
          <cell r="H181">
            <v>0</v>
          </cell>
          <cell r="I181">
            <v>0</v>
          </cell>
          <cell r="J181">
            <v>1065759.0576951939</v>
          </cell>
        </row>
        <row r="182">
          <cell r="A182">
            <v>165</v>
          </cell>
          <cell r="B182">
            <v>55305</v>
          </cell>
          <cell r="C182">
            <v>0</v>
          </cell>
          <cell r="D182">
            <v>272859.94110595033</v>
          </cell>
          <cell r="E182">
            <v>0</v>
          </cell>
          <cell r="F182">
            <v>0</v>
          </cell>
          <cell r="G182">
            <v>0</v>
          </cell>
          <cell r="H182">
            <v>0</v>
          </cell>
          <cell r="I182">
            <v>0</v>
          </cell>
          <cell r="J182">
            <v>1065759.0576951939</v>
          </cell>
        </row>
        <row r="183">
          <cell r="A183">
            <v>166</v>
          </cell>
          <cell r="B183">
            <v>55397</v>
          </cell>
          <cell r="C183">
            <v>0</v>
          </cell>
          <cell r="D183">
            <v>272859.94110595033</v>
          </cell>
          <cell r="E183">
            <v>0</v>
          </cell>
          <cell r="F183">
            <v>0</v>
          </cell>
          <cell r="G183">
            <v>0</v>
          </cell>
          <cell r="H183">
            <v>0</v>
          </cell>
          <cell r="I183">
            <v>0</v>
          </cell>
          <cell r="J183">
            <v>1065759.0576951939</v>
          </cell>
        </row>
        <row r="184">
          <cell r="A184">
            <v>167</v>
          </cell>
          <cell r="B184">
            <v>55488</v>
          </cell>
          <cell r="C184">
            <v>0</v>
          </cell>
          <cell r="D184">
            <v>272859.94110595033</v>
          </cell>
          <cell r="E184">
            <v>0</v>
          </cell>
          <cell r="F184">
            <v>0</v>
          </cell>
          <cell r="G184">
            <v>0</v>
          </cell>
          <cell r="H184">
            <v>0</v>
          </cell>
          <cell r="I184">
            <v>0</v>
          </cell>
          <cell r="J184">
            <v>1065759.0576951939</v>
          </cell>
        </row>
        <row r="185">
          <cell r="A185">
            <v>168</v>
          </cell>
          <cell r="B185">
            <v>55579</v>
          </cell>
          <cell r="C185">
            <v>0</v>
          </cell>
          <cell r="D185">
            <v>272859.94110595033</v>
          </cell>
          <cell r="E185">
            <v>0</v>
          </cell>
          <cell r="F185">
            <v>0</v>
          </cell>
          <cell r="G185">
            <v>0</v>
          </cell>
          <cell r="H185">
            <v>0</v>
          </cell>
          <cell r="I185">
            <v>0</v>
          </cell>
          <cell r="J185">
            <v>1065759.0576951939</v>
          </cell>
        </row>
        <row r="186">
          <cell r="A186">
            <v>169</v>
          </cell>
          <cell r="B186">
            <v>55671</v>
          </cell>
          <cell r="C186">
            <v>0</v>
          </cell>
          <cell r="D186">
            <v>272859.94110595033</v>
          </cell>
          <cell r="E186">
            <v>0</v>
          </cell>
          <cell r="F186">
            <v>0</v>
          </cell>
          <cell r="G186">
            <v>0</v>
          </cell>
          <cell r="H186">
            <v>0</v>
          </cell>
          <cell r="I186">
            <v>0</v>
          </cell>
          <cell r="J186">
            <v>1065759.0576951939</v>
          </cell>
        </row>
        <row r="187">
          <cell r="A187">
            <v>170</v>
          </cell>
          <cell r="B187">
            <v>55763</v>
          </cell>
          <cell r="C187">
            <v>0</v>
          </cell>
          <cell r="D187">
            <v>272859.94110595033</v>
          </cell>
          <cell r="E187">
            <v>0</v>
          </cell>
          <cell r="F187">
            <v>0</v>
          </cell>
          <cell r="G187">
            <v>0</v>
          </cell>
          <cell r="H187">
            <v>0</v>
          </cell>
          <cell r="I187">
            <v>0</v>
          </cell>
          <cell r="J187">
            <v>1065759.0576951939</v>
          </cell>
        </row>
        <row r="188">
          <cell r="A188">
            <v>171</v>
          </cell>
          <cell r="B188">
            <v>55854</v>
          </cell>
          <cell r="C188">
            <v>0</v>
          </cell>
          <cell r="D188">
            <v>272859.94110595033</v>
          </cell>
          <cell r="E188">
            <v>0</v>
          </cell>
          <cell r="F188">
            <v>0</v>
          </cell>
          <cell r="G188">
            <v>0</v>
          </cell>
          <cell r="H188">
            <v>0</v>
          </cell>
          <cell r="I188">
            <v>0</v>
          </cell>
          <cell r="J188">
            <v>1065759.0576951939</v>
          </cell>
        </row>
        <row r="189">
          <cell r="A189">
            <v>172</v>
          </cell>
          <cell r="B189">
            <v>55944</v>
          </cell>
          <cell r="C189">
            <v>0</v>
          </cell>
          <cell r="D189">
            <v>272859.94110595033</v>
          </cell>
          <cell r="E189">
            <v>0</v>
          </cell>
          <cell r="F189">
            <v>0</v>
          </cell>
          <cell r="G189">
            <v>0</v>
          </cell>
          <cell r="H189">
            <v>0</v>
          </cell>
          <cell r="I189">
            <v>0</v>
          </cell>
          <cell r="J189">
            <v>1065759.0576951939</v>
          </cell>
        </row>
        <row r="190">
          <cell r="A190">
            <v>173</v>
          </cell>
          <cell r="B190">
            <v>56036</v>
          </cell>
          <cell r="C190">
            <v>0</v>
          </cell>
          <cell r="D190">
            <v>272859.94110595033</v>
          </cell>
          <cell r="E190">
            <v>0</v>
          </cell>
          <cell r="F190">
            <v>0</v>
          </cell>
          <cell r="G190">
            <v>0</v>
          </cell>
          <cell r="H190">
            <v>0</v>
          </cell>
          <cell r="I190">
            <v>0</v>
          </cell>
          <cell r="J190">
            <v>1065759.0576951939</v>
          </cell>
        </row>
        <row r="191">
          <cell r="A191">
            <v>174</v>
          </cell>
          <cell r="B191">
            <v>56128</v>
          </cell>
          <cell r="C191">
            <v>0</v>
          </cell>
          <cell r="D191">
            <v>272859.94110595033</v>
          </cell>
          <cell r="E191">
            <v>0</v>
          </cell>
          <cell r="F191">
            <v>0</v>
          </cell>
          <cell r="G191">
            <v>0</v>
          </cell>
          <cell r="H191">
            <v>0</v>
          </cell>
          <cell r="I191">
            <v>0</v>
          </cell>
          <cell r="J191">
            <v>1065759.0576951939</v>
          </cell>
        </row>
        <row r="192">
          <cell r="A192">
            <v>175</v>
          </cell>
          <cell r="B192">
            <v>56219</v>
          </cell>
          <cell r="C192">
            <v>0</v>
          </cell>
          <cell r="D192">
            <v>272859.94110595033</v>
          </cell>
          <cell r="E192">
            <v>0</v>
          </cell>
          <cell r="F192">
            <v>0</v>
          </cell>
          <cell r="G192">
            <v>0</v>
          </cell>
          <cell r="H192">
            <v>0</v>
          </cell>
          <cell r="I192">
            <v>0</v>
          </cell>
          <cell r="J192">
            <v>1065759.0576951939</v>
          </cell>
        </row>
        <row r="193">
          <cell r="A193">
            <v>176</v>
          </cell>
          <cell r="B193">
            <v>56309</v>
          </cell>
          <cell r="C193">
            <v>0</v>
          </cell>
          <cell r="D193">
            <v>272859.94110595033</v>
          </cell>
          <cell r="E193">
            <v>0</v>
          </cell>
          <cell r="F193">
            <v>0</v>
          </cell>
          <cell r="G193">
            <v>0</v>
          </cell>
          <cell r="H193">
            <v>0</v>
          </cell>
          <cell r="I193">
            <v>0</v>
          </cell>
          <cell r="J193">
            <v>1065759.0576951939</v>
          </cell>
        </row>
        <row r="194">
          <cell r="A194">
            <v>177</v>
          </cell>
          <cell r="B194">
            <v>56401</v>
          </cell>
          <cell r="C194">
            <v>0</v>
          </cell>
          <cell r="D194">
            <v>272859.94110595033</v>
          </cell>
          <cell r="E194">
            <v>0</v>
          </cell>
          <cell r="F194">
            <v>0</v>
          </cell>
          <cell r="G194">
            <v>0</v>
          </cell>
          <cell r="H194">
            <v>0</v>
          </cell>
          <cell r="I194">
            <v>0</v>
          </cell>
          <cell r="J194">
            <v>1065759.0576951939</v>
          </cell>
        </row>
        <row r="195">
          <cell r="A195">
            <v>178</v>
          </cell>
          <cell r="B195">
            <v>56493</v>
          </cell>
          <cell r="C195">
            <v>0</v>
          </cell>
          <cell r="D195">
            <v>272859.94110595033</v>
          </cell>
          <cell r="E195">
            <v>0</v>
          </cell>
          <cell r="F195">
            <v>0</v>
          </cell>
          <cell r="G195">
            <v>0</v>
          </cell>
          <cell r="H195">
            <v>0</v>
          </cell>
          <cell r="I195">
            <v>0</v>
          </cell>
          <cell r="J195">
            <v>1065759.0576951939</v>
          </cell>
        </row>
        <row r="196">
          <cell r="A196">
            <v>179</v>
          </cell>
          <cell r="B196">
            <v>56584</v>
          </cell>
          <cell r="C196">
            <v>0</v>
          </cell>
          <cell r="D196">
            <v>272859.94110595033</v>
          </cell>
          <cell r="E196">
            <v>0</v>
          </cell>
          <cell r="F196">
            <v>0</v>
          </cell>
          <cell r="G196">
            <v>0</v>
          </cell>
          <cell r="H196">
            <v>0</v>
          </cell>
          <cell r="I196">
            <v>0</v>
          </cell>
          <cell r="J196">
            <v>1065759.0576951939</v>
          </cell>
        </row>
        <row r="197">
          <cell r="A197">
            <v>180</v>
          </cell>
          <cell r="B197">
            <v>56674</v>
          </cell>
          <cell r="C197">
            <v>0</v>
          </cell>
          <cell r="D197">
            <v>272859.94110595033</v>
          </cell>
          <cell r="E197">
            <v>0</v>
          </cell>
          <cell r="F197">
            <v>0</v>
          </cell>
          <cell r="G197">
            <v>0</v>
          </cell>
          <cell r="H197">
            <v>0</v>
          </cell>
          <cell r="I197">
            <v>0</v>
          </cell>
          <cell r="J197">
            <v>1065759.0576951939</v>
          </cell>
        </row>
        <row r="198">
          <cell r="A198">
            <v>181</v>
          </cell>
          <cell r="B198">
            <v>56766</v>
          </cell>
          <cell r="C198">
            <v>0</v>
          </cell>
          <cell r="D198">
            <v>272859.94110595033</v>
          </cell>
          <cell r="E198">
            <v>0</v>
          </cell>
          <cell r="F198">
            <v>0</v>
          </cell>
          <cell r="G198">
            <v>0</v>
          </cell>
          <cell r="H198">
            <v>0</v>
          </cell>
          <cell r="I198">
            <v>0</v>
          </cell>
          <cell r="J198">
            <v>1065759.0576951939</v>
          </cell>
        </row>
        <row r="199">
          <cell r="A199">
            <v>182</v>
          </cell>
          <cell r="B199">
            <v>56858</v>
          </cell>
          <cell r="C199">
            <v>0</v>
          </cell>
          <cell r="D199">
            <v>272859.94110595033</v>
          </cell>
          <cell r="E199">
            <v>0</v>
          </cell>
          <cell r="F199">
            <v>0</v>
          </cell>
          <cell r="G199">
            <v>0</v>
          </cell>
          <cell r="H199">
            <v>0</v>
          </cell>
          <cell r="I199">
            <v>0</v>
          </cell>
          <cell r="J199">
            <v>1065759.0576951939</v>
          </cell>
        </row>
        <row r="200">
          <cell r="A200">
            <v>183</v>
          </cell>
          <cell r="B200">
            <v>56949</v>
          </cell>
          <cell r="C200">
            <v>0</v>
          </cell>
          <cell r="D200">
            <v>272859.94110595033</v>
          </cell>
          <cell r="E200">
            <v>0</v>
          </cell>
          <cell r="F200">
            <v>0</v>
          </cell>
          <cell r="G200">
            <v>0</v>
          </cell>
          <cell r="H200">
            <v>0</v>
          </cell>
          <cell r="I200">
            <v>0</v>
          </cell>
          <cell r="J200">
            <v>1065759.0576951939</v>
          </cell>
        </row>
        <row r="201">
          <cell r="A201">
            <v>184</v>
          </cell>
          <cell r="B201">
            <v>57040</v>
          </cell>
          <cell r="C201">
            <v>0</v>
          </cell>
          <cell r="D201">
            <v>272859.94110595033</v>
          </cell>
          <cell r="E201">
            <v>0</v>
          </cell>
          <cell r="F201">
            <v>0</v>
          </cell>
          <cell r="G201">
            <v>0</v>
          </cell>
          <cell r="H201">
            <v>0</v>
          </cell>
          <cell r="I201">
            <v>0</v>
          </cell>
          <cell r="J201">
            <v>1065759.0576951939</v>
          </cell>
        </row>
        <row r="202">
          <cell r="A202">
            <v>185</v>
          </cell>
          <cell r="B202">
            <v>57132</v>
          </cell>
          <cell r="C202">
            <v>0</v>
          </cell>
          <cell r="D202">
            <v>272859.94110595033</v>
          </cell>
          <cell r="E202">
            <v>0</v>
          </cell>
          <cell r="F202">
            <v>0</v>
          </cell>
          <cell r="G202">
            <v>0</v>
          </cell>
          <cell r="H202">
            <v>0</v>
          </cell>
          <cell r="I202">
            <v>0</v>
          </cell>
          <cell r="J202">
            <v>1065759.0576951939</v>
          </cell>
        </row>
        <row r="203">
          <cell r="A203">
            <v>186</v>
          </cell>
          <cell r="B203">
            <v>57224</v>
          </cell>
          <cell r="C203">
            <v>0</v>
          </cell>
          <cell r="D203">
            <v>272859.94110595033</v>
          </cell>
          <cell r="E203">
            <v>0</v>
          </cell>
          <cell r="F203">
            <v>0</v>
          </cell>
          <cell r="G203">
            <v>0</v>
          </cell>
          <cell r="H203">
            <v>0</v>
          </cell>
          <cell r="I203">
            <v>0</v>
          </cell>
          <cell r="J203">
            <v>1065759.0576951939</v>
          </cell>
        </row>
        <row r="204">
          <cell r="A204">
            <v>187</v>
          </cell>
          <cell r="B204">
            <v>57315</v>
          </cell>
          <cell r="C204">
            <v>0</v>
          </cell>
          <cell r="D204">
            <v>272859.94110595033</v>
          </cell>
          <cell r="E204">
            <v>0</v>
          </cell>
          <cell r="F204">
            <v>0</v>
          </cell>
          <cell r="G204">
            <v>0</v>
          </cell>
          <cell r="H204">
            <v>0</v>
          </cell>
          <cell r="I204">
            <v>0</v>
          </cell>
          <cell r="J204">
            <v>1065759.0576951939</v>
          </cell>
        </row>
        <row r="205">
          <cell r="A205">
            <v>188</v>
          </cell>
          <cell r="B205">
            <v>57405</v>
          </cell>
          <cell r="C205">
            <v>0</v>
          </cell>
          <cell r="D205">
            <v>272859.94110595033</v>
          </cell>
          <cell r="E205">
            <v>0</v>
          </cell>
          <cell r="F205">
            <v>0</v>
          </cell>
          <cell r="G205">
            <v>0</v>
          </cell>
          <cell r="H205">
            <v>0</v>
          </cell>
          <cell r="I205">
            <v>0</v>
          </cell>
          <cell r="J205">
            <v>1065759.0576951939</v>
          </cell>
        </row>
        <row r="206">
          <cell r="A206">
            <v>189</v>
          </cell>
          <cell r="B206">
            <v>57497</v>
          </cell>
          <cell r="C206">
            <v>0</v>
          </cell>
          <cell r="D206">
            <v>272859.94110595033</v>
          </cell>
          <cell r="E206">
            <v>0</v>
          </cell>
          <cell r="F206">
            <v>0</v>
          </cell>
          <cell r="G206">
            <v>0</v>
          </cell>
          <cell r="H206">
            <v>0</v>
          </cell>
          <cell r="I206">
            <v>0</v>
          </cell>
          <cell r="J206">
            <v>1065759.0576951939</v>
          </cell>
        </row>
        <row r="207">
          <cell r="A207">
            <v>190</v>
          </cell>
          <cell r="B207">
            <v>57589</v>
          </cell>
          <cell r="C207">
            <v>0</v>
          </cell>
          <cell r="D207">
            <v>272859.94110595033</v>
          </cell>
          <cell r="E207">
            <v>0</v>
          </cell>
          <cell r="F207">
            <v>0</v>
          </cell>
          <cell r="G207">
            <v>0</v>
          </cell>
          <cell r="H207">
            <v>0</v>
          </cell>
          <cell r="I207">
            <v>0</v>
          </cell>
          <cell r="J207">
            <v>1065759.0576951939</v>
          </cell>
        </row>
        <row r="208">
          <cell r="A208">
            <v>191</v>
          </cell>
          <cell r="B208">
            <v>57680</v>
          </cell>
          <cell r="C208">
            <v>0</v>
          </cell>
          <cell r="D208">
            <v>272859.94110595033</v>
          </cell>
          <cell r="E208">
            <v>0</v>
          </cell>
          <cell r="F208">
            <v>0</v>
          </cell>
          <cell r="G208">
            <v>0</v>
          </cell>
          <cell r="H208">
            <v>0</v>
          </cell>
          <cell r="I208">
            <v>0</v>
          </cell>
          <cell r="J208">
            <v>1065759.0576951939</v>
          </cell>
        </row>
        <row r="209">
          <cell r="A209">
            <v>192</v>
          </cell>
          <cell r="B209">
            <v>57770</v>
          </cell>
          <cell r="C209">
            <v>0</v>
          </cell>
          <cell r="D209">
            <v>272859.94110595033</v>
          </cell>
          <cell r="E209">
            <v>0</v>
          </cell>
          <cell r="F209">
            <v>0</v>
          </cell>
          <cell r="G209">
            <v>0</v>
          </cell>
          <cell r="H209">
            <v>0</v>
          </cell>
          <cell r="I209">
            <v>0</v>
          </cell>
          <cell r="J209">
            <v>1065759.0576951939</v>
          </cell>
        </row>
        <row r="210">
          <cell r="A210">
            <v>193</v>
          </cell>
          <cell r="B210">
            <v>57862</v>
          </cell>
          <cell r="C210">
            <v>0</v>
          </cell>
          <cell r="D210">
            <v>272859.94110595033</v>
          </cell>
          <cell r="E210">
            <v>0</v>
          </cell>
          <cell r="F210">
            <v>0</v>
          </cell>
          <cell r="G210">
            <v>0</v>
          </cell>
          <cell r="H210">
            <v>0</v>
          </cell>
          <cell r="I210">
            <v>0</v>
          </cell>
          <cell r="J210">
            <v>1065759.0576951939</v>
          </cell>
        </row>
        <row r="211">
          <cell r="A211">
            <v>194</v>
          </cell>
          <cell r="B211">
            <v>57954</v>
          </cell>
          <cell r="C211">
            <v>0</v>
          </cell>
          <cell r="D211">
            <v>272859.94110595033</v>
          </cell>
          <cell r="E211">
            <v>0</v>
          </cell>
          <cell r="F211">
            <v>0</v>
          </cell>
          <cell r="G211">
            <v>0</v>
          </cell>
          <cell r="H211">
            <v>0</v>
          </cell>
          <cell r="I211">
            <v>0</v>
          </cell>
          <cell r="J211">
            <v>1065759.0576951939</v>
          </cell>
        </row>
        <row r="212">
          <cell r="A212">
            <v>195</v>
          </cell>
          <cell r="B212">
            <v>58045</v>
          </cell>
          <cell r="C212">
            <v>0</v>
          </cell>
          <cell r="D212">
            <v>272859.94110595033</v>
          </cell>
          <cell r="E212">
            <v>0</v>
          </cell>
          <cell r="F212">
            <v>0</v>
          </cell>
          <cell r="G212">
            <v>0</v>
          </cell>
          <cell r="H212">
            <v>0</v>
          </cell>
          <cell r="I212">
            <v>0</v>
          </cell>
          <cell r="J212">
            <v>1065759.0576951939</v>
          </cell>
        </row>
        <row r="213">
          <cell r="A213">
            <v>196</v>
          </cell>
          <cell r="B213">
            <v>58135</v>
          </cell>
          <cell r="C213">
            <v>0</v>
          </cell>
          <cell r="D213">
            <v>272859.94110595033</v>
          </cell>
          <cell r="E213">
            <v>0</v>
          </cell>
          <cell r="F213">
            <v>0</v>
          </cell>
          <cell r="G213">
            <v>0</v>
          </cell>
          <cell r="H213">
            <v>0</v>
          </cell>
          <cell r="I213">
            <v>0</v>
          </cell>
          <cell r="J213">
            <v>1065759.0576951939</v>
          </cell>
        </row>
        <row r="214">
          <cell r="A214">
            <v>197</v>
          </cell>
          <cell r="B214">
            <v>58227</v>
          </cell>
          <cell r="C214">
            <v>0</v>
          </cell>
          <cell r="D214">
            <v>272859.94110595033</v>
          </cell>
          <cell r="E214">
            <v>0</v>
          </cell>
          <cell r="F214">
            <v>0</v>
          </cell>
          <cell r="G214">
            <v>0</v>
          </cell>
          <cell r="H214">
            <v>0</v>
          </cell>
          <cell r="I214">
            <v>0</v>
          </cell>
          <cell r="J214">
            <v>1065759.0576951939</v>
          </cell>
        </row>
        <row r="215">
          <cell r="A215">
            <v>198</v>
          </cell>
          <cell r="B215">
            <v>58319</v>
          </cell>
          <cell r="C215">
            <v>0</v>
          </cell>
          <cell r="D215">
            <v>272859.94110595033</v>
          </cell>
          <cell r="E215">
            <v>0</v>
          </cell>
          <cell r="F215">
            <v>0</v>
          </cell>
          <cell r="G215">
            <v>0</v>
          </cell>
          <cell r="H215">
            <v>0</v>
          </cell>
          <cell r="I215">
            <v>0</v>
          </cell>
          <cell r="J215">
            <v>1065759.0576951939</v>
          </cell>
        </row>
        <row r="216">
          <cell r="A216">
            <v>199</v>
          </cell>
          <cell r="B216">
            <v>58410</v>
          </cell>
          <cell r="C216">
            <v>0</v>
          </cell>
          <cell r="D216">
            <v>272859.94110595033</v>
          </cell>
          <cell r="E216">
            <v>0</v>
          </cell>
          <cell r="F216">
            <v>0</v>
          </cell>
          <cell r="G216">
            <v>0</v>
          </cell>
          <cell r="H216">
            <v>0</v>
          </cell>
          <cell r="I216">
            <v>0</v>
          </cell>
          <cell r="J216">
            <v>1065759.0576951939</v>
          </cell>
        </row>
        <row r="217">
          <cell r="A217">
            <v>200</v>
          </cell>
          <cell r="B217">
            <v>58501</v>
          </cell>
          <cell r="C217">
            <v>0</v>
          </cell>
          <cell r="D217">
            <v>272859.94110595033</v>
          </cell>
          <cell r="E217">
            <v>0</v>
          </cell>
          <cell r="F217">
            <v>0</v>
          </cell>
          <cell r="G217">
            <v>0</v>
          </cell>
          <cell r="H217">
            <v>0</v>
          </cell>
          <cell r="I217">
            <v>0</v>
          </cell>
          <cell r="J217">
            <v>1065759.0576951939</v>
          </cell>
        </row>
        <row r="218">
          <cell r="A218">
            <v>201</v>
          </cell>
          <cell r="B218">
            <v>58593</v>
          </cell>
          <cell r="C218">
            <v>0</v>
          </cell>
          <cell r="D218">
            <v>272859.94110595033</v>
          </cell>
          <cell r="E218">
            <v>0</v>
          </cell>
          <cell r="F218">
            <v>0</v>
          </cell>
          <cell r="G218">
            <v>0</v>
          </cell>
          <cell r="H218">
            <v>0</v>
          </cell>
          <cell r="I218">
            <v>0</v>
          </cell>
          <cell r="J218">
            <v>1065759.0576951939</v>
          </cell>
        </row>
        <row r="219">
          <cell r="A219">
            <v>202</v>
          </cell>
          <cell r="B219">
            <v>58685</v>
          </cell>
          <cell r="C219">
            <v>0</v>
          </cell>
          <cell r="D219">
            <v>272859.94110595033</v>
          </cell>
          <cell r="E219">
            <v>0</v>
          </cell>
          <cell r="F219">
            <v>0</v>
          </cell>
          <cell r="G219">
            <v>0</v>
          </cell>
          <cell r="H219">
            <v>0</v>
          </cell>
          <cell r="I219">
            <v>0</v>
          </cell>
          <cell r="J219">
            <v>1065759.0576951939</v>
          </cell>
        </row>
        <row r="220">
          <cell r="A220">
            <v>203</v>
          </cell>
          <cell r="B220">
            <v>58776</v>
          </cell>
          <cell r="C220">
            <v>0</v>
          </cell>
          <cell r="D220">
            <v>272859.94110595033</v>
          </cell>
          <cell r="E220">
            <v>0</v>
          </cell>
          <cell r="F220">
            <v>0</v>
          </cell>
          <cell r="G220">
            <v>0</v>
          </cell>
          <cell r="H220">
            <v>0</v>
          </cell>
          <cell r="I220">
            <v>0</v>
          </cell>
          <cell r="J220">
            <v>1065759.0576951939</v>
          </cell>
        </row>
        <row r="221">
          <cell r="A221">
            <v>204</v>
          </cell>
          <cell r="B221">
            <v>58866</v>
          </cell>
          <cell r="C221">
            <v>0</v>
          </cell>
          <cell r="D221">
            <v>272859.94110595033</v>
          </cell>
          <cell r="E221">
            <v>0</v>
          </cell>
          <cell r="F221">
            <v>0</v>
          </cell>
          <cell r="G221">
            <v>0</v>
          </cell>
          <cell r="H221">
            <v>0</v>
          </cell>
          <cell r="I221">
            <v>0</v>
          </cell>
          <cell r="J221">
            <v>1065759.0576951939</v>
          </cell>
        </row>
        <row r="222">
          <cell r="A222">
            <v>205</v>
          </cell>
          <cell r="B222">
            <v>58958</v>
          </cell>
          <cell r="C222">
            <v>0</v>
          </cell>
          <cell r="D222">
            <v>272859.94110595033</v>
          </cell>
          <cell r="E222">
            <v>0</v>
          </cell>
          <cell r="F222">
            <v>0</v>
          </cell>
          <cell r="G222">
            <v>0</v>
          </cell>
          <cell r="H222">
            <v>0</v>
          </cell>
          <cell r="I222">
            <v>0</v>
          </cell>
          <cell r="J222">
            <v>1065759.0576951939</v>
          </cell>
        </row>
        <row r="223">
          <cell r="A223">
            <v>206</v>
          </cell>
          <cell r="B223">
            <v>59050</v>
          </cell>
          <cell r="C223">
            <v>0</v>
          </cell>
          <cell r="D223">
            <v>272859.94110595033</v>
          </cell>
          <cell r="E223">
            <v>0</v>
          </cell>
          <cell r="F223">
            <v>0</v>
          </cell>
          <cell r="G223">
            <v>0</v>
          </cell>
          <cell r="H223">
            <v>0</v>
          </cell>
          <cell r="I223">
            <v>0</v>
          </cell>
          <cell r="J223">
            <v>1065759.0576951939</v>
          </cell>
        </row>
        <row r="224">
          <cell r="A224">
            <v>207</v>
          </cell>
          <cell r="B224">
            <v>59141</v>
          </cell>
          <cell r="C224">
            <v>0</v>
          </cell>
          <cell r="D224">
            <v>272859.94110595033</v>
          </cell>
          <cell r="E224">
            <v>0</v>
          </cell>
          <cell r="F224">
            <v>0</v>
          </cell>
          <cell r="G224">
            <v>0</v>
          </cell>
          <cell r="H224">
            <v>0</v>
          </cell>
          <cell r="I224">
            <v>0</v>
          </cell>
          <cell r="J224">
            <v>1065759.0576951939</v>
          </cell>
        </row>
        <row r="225">
          <cell r="A225">
            <v>208</v>
          </cell>
          <cell r="B225">
            <v>59231</v>
          </cell>
          <cell r="C225">
            <v>0</v>
          </cell>
          <cell r="D225">
            <v>272859.94110595033</v>
          </cell>
          <cell r="E225">
            <v>0</v>
          </cell>
          <cell r="F225">
            <v>0</v>
          </cell>
          <cell r="G225">
            <v>0</v>
          </cell>
          <cell r="H225">
            <v>0</v>
          </cell>
          <cell r="I225">
            <v>0</v>
          </cell>
          <cell r="J225">
            <v>1065759.0576951939</v>
          </cell>
        </row>
        <row r="226">
          <cell r="A226">
            <v>209</v>
          </cell>
          <cell r="B226">
            <v>59323</v>
          </cell>
          <cell r="C226">
            <v>0</v>
          </cell>
          <cell r="D226">
            <v>272859.94110595033</v>
          </cell>
          <cell r="E226">
            <v>0</v>
          </cell>
          <cell r="F226">
            <v>0</v>
          </cell>
          <cell r="G226">
            <v>0</v>
          </cell>
          <cell r="H226">
            <v>0</v>
          </cell>
          <cell r="I226">
            <v>0</v>
          </cell>
          <cell r="J226">
            <v>1065759.0576951939</v>
          </cell>
        </row>
        <row r="227">
          <cell r="A227">
            <v>210</v>
          </cell>
          <cell r="B227">
            <v>59415</v>
          </cell>
          <cell r="C227">
            <v>0</v>
          </cell>
          <cell r="D227">
            <v>272859.94110595033</v>
          </cell>
          <cell r="E227">
            <v>0</v>
          </cell>
          <cell r="F227">
            <v>0</v>
          </cell>
          <cell r="G227">
            <v>0</v>
          </cell>
          <cell r="H227">
            <v>0</v>
          </cell>
          <cell r="I227">
            <v>0</v>
          </cell>
          <cell r="J227">
            <v>1065759.0576951939</v>
          </cell>
        </row>
        <row r="228">
          <cell r="A228">
            <v>211</v>
          </cell>
          <cell r="B228">
            <v>59506</v>
          </cell>
          <cell r="C228">
            <v>0</v>
          </cell>
          <cell r="D228">
            <v>272859.94110595033</v>
          </cell>
          <cell r="E228">
            <v>0</v>
          </cell>
          <cell r="F228">
            <v>0</v>
          </cell>
          <cell r="G228">
            <v>0</v>
          </cell>
          <cell r="H228">
            <v>0</v>
          </cell>
          <cell r="I228">
            <v>0</v>
          </cell>
          <cell r="J228">
            <v>1065759.0576951939</v>
          </cell>
        </row>
        <row r="229">
          <cell r="A229">
            <v>212</v>
          </cell>
          <cell r="B229">
            <v>59596</v>
          </cell>
          <cell r="C229">
            <v>0</v>
          </cell>
          <cell r="D229">
            <v>272859.94110595033</v>
          </cell>
          <cell r="E229">
            <v>0</v>
          </cell>
          <cell r="F229">
            <v>0</v>
          </cell>
          <cell r="G229">
            <v>0</v>
          </cell>
          <cell r="H229">
            <v>0</v>
          </cell>
          <cell r="I229">
            <v>0</v>
          </cell>
          <cell r="J229">
            <v>1065759.0576951939</v>
          </cell>
        </row>
        <row r="230">
          <cell r="A230">
            <v>213</v>
          </cell>
          <cell r="B230">
            <v>59688</v>
          </cell>
          <cell r="C230">
            <v>0</v>
          </cell>
          <cell r="D230">
            <v>272859.94110595033</v>
          </cell>
          <cell r="E230">
            <v>0</v>
          </cell>
          <cell r="F230">
            <v>0</v>
          </cell>
          <cell r="G230">
            <v>0</v>
          </cell>
          <cell r="H230">
            <v>0</v>
          </cell>
          <cell r="I230">
            <v>0</v>
          </cell>
          <cell r="J230">
            <v>1065759.0576951939</v>
          </cell>
        </row>
        <row r="231">
          <cell r="A231">
            <v>214</v>
          </cell>
          <cell r="B231">
            <v>59780</v>
          </cell>
          <cell r="C231">
            <v>0</v>
          </cell>
          <cell r="D231">
            <v>272859.94110595033</v>
          </cell>
          <cell r="E231">
            <v>0</v>
          </cell>
          <cell r="F231">
            <v>0</v>
          </cell>
          <cell r="G231">
            <v>0</v>
          </cell>
          <cell r="H231">
            <v>0</v>
          </cell>
          <cell r="I231">
            <v>0</v>
          </cell>
          <cell r="J231">
            <v>1065759.0576951939</v>
          </cell>
        </row>
        <row r="232">
          <cell r="A232">
            <v>215</v>
          </cell>
          <cell r="B232">
            <v>59871</v>
          </cell>
          <cell r="C232">
            <v>0</v>
          </cell>
          <cell r="D232">
            <v>272859.94110595033</v>
          </cell>
          <cell r="E232">
            <v>0</v>
          </cell>
          <cell r="F232">
            <v>0</v>
          </cell>
          <cell r="G232">
            <v>0</v>
          </cell>
          <cell r="H232">
            <v>0</v>
          </cell>
          <cell r="I232">
            <v>0</v>
          </cell>
          <cell r="J232">
            <v>1065759.0576951939</v>
          </cell>
        </row>
        <row r="233">
          <cell r="A233">
            <v>216</v>
          </cell>
          <cell r="B233">
            <v>59962</v>
          </cell>
          <cell r="C233">
            <v>0</v>
          </cell>
          <cell r="D233">
            <v>272859.94110595033</v>
          </cell>
          <cell r="E233">
            <v>0</v>
          </cell>
          <cell r="F233">
            <v>0</v>
          </cell>
          <cell r="G233">
            <v>0</v>
          </cell>
          <cell r="H233">
            <v>0</v>
          </cell>
          <cell r="I233">
            <v>0</v>
          </cell>
          <cell r="J233">
            <v>1065759.0576951939</v>
          </cell>
        </row>
        <row r="234">
          <cell r="A234">
            <v>217</v>
          </cell>
          <cell r="B234">
            <v>60054</v>
          </cell>
          <cell r="C234">
            <v>0</v>
          </cell>
          <cell r="D234">
            <v>272859.94110595033</v>
          </cell>
          <cell r="E234">
            <v>0</v>
          </cell>
          <cell r="F234">
            <v>0</v>
          </cell>
          <cell r="G234">
            <v>0</v>
          </cell>
          <cell r="H234">
            <v>0</v>
          </cell>
          <cell r="I234">
            <v>0</v>
          </cell>
          <cell r="J234">
            <v>1065759.0576951939</v>
          </cell>
        </row>
        <row r="235">
          <cell r="A235">
            <v>218</v>
          </cell>
          <cell r="B235">
            <v>60146</v>
          </cell>
          <cell r="C235">
            <v>0</v>
          </cell>
          <cell r="D235">
            <v>272859.94110595033</v>
          </cell>
          <cell r="E235">
            <v>0</v>
          </cell>
          <cell r="F235">
            <v>0</v>
          </cell>
          <cell r="G235">
            <v>0</v>
          </cell>
          <cell r="H235">
            <v>0</v>
          </cell>
          <cell r="I235">
            <v>0</v>
          </cell>
          <cell r="J235">
            <v>1065759.0576951939</v>
          </cell>
        </row>
        <row r="236">
          <cell r="A236">
            <v>219</v>
          </cell>
          <cell r="B236">
            <v>60237</v>
          </cell>
          <cell r="C236">
            <v>0</v>
          </cell>
          <cell r="D236">
            <v>272859.94110595033</v>
          </cell>
          <cell r="E236">
            <v>0</v>
          </cell>
          <cell r="F236">
            <v>0</v>
          </cell>
          <cell r="G236">
            <v>0</v>
          </cell>
          <cell r="H236">
            <v>0</v>
          </cell>
          <cell r="I236">
            <v>0</v>
          </cell>
          <cell r="J236">
            <v>1065759.0576951939</v>
          </cell>
        </row>
        <row r="237">
          <cell r="A237">
            <v>220</v>
          </cell>
          <cell r="B237">
            <v>60327</v>
          </cell>
          <cell r="C237">
            <v>0</v>
          </cell>
          <cell r="D237">
            <v>272859.94110595033</v>
          </cell>
          <cell r="E237">
            <v>0</v>
          </cell>
          <cell r="F237">
            <v>0</v>
          </cell>
          <cell r="G237">
            <v>0</v>
          </cell>
          <cell r="H237">
            <v>0</v>
          </cell>
          <cell r="I237">
            <v>0</v>
          </cell>
          <cell r="J237">
            <v>1065759.0576951939</v>
          </cell>
        </row>
        <row r="238">
          <cell r="A238">
            <v>221</v>
          </cell>
          <cell r="B238">
            <v>60419</v>
          </cell>
          <cell r="C238">
            <v>0</v>
          </cell>
          <cell r="D238">
            <v>272859.94110595033</v>
          </cell>
          <cell r="E238">
            <v>0</v>
          </cell>
          <cell r="F238">
            <v>0</v>
          </cell>
          <cell r="G238">
            <v>0</v>
          </cell>
          <cell r="H238">
            <v>0</v>
          </cell>
          <cell r="I238">
            <v>0</v>
          </cell>
          <cell r="J238">
            <v>1065759.0576951939</v>
          </cell>
        </row>
        <row r="239">
          <cell r="A239">
            <v>222</v>
          </cell>
          <cell r="B239">
            <v>60511</v>
          </cell>
          <cell r="C239">
            <v>0</v>
          </cell>
          <cell r="D239">
            <v>272859.94110595033</v>
          </cell>
          <cell r="E239">
            <v>0</v>
          </cell>
          <cell r="F239">
            <v>0</v>
          </cell>
          <cell r="G239">
            <v>0</v>
          </cell>
          <cell r="H239">
            <v>0</v>
          </cell>
          <cell r="I239">
            <v>0</v>
          </cell>
          <cell r="J239">
            <v>1065759.0576951939</v>
          </cell>
        </row>
        <row r="240">
          <cell r="A240">
            <v>223</v>
          </cell>
          <cell r="B240">
            <v>60602</v>
          </cell>
          <cell r="C240">
            <v>0</v>
          </cell>
          <cell r="D240">
            <v>272859.94110595033</v>
          </cell>
          <cell r="E240">
            <v>0</v>
          </cell>
          <cell r="F240">
            <v>0</v>
          </cell>
          <cell r="G240">
            <v>0</v>
          </cell>
          <cell r="H240">
            <v>0</v>
          </cell>
          <cell r="I240">
            <v>0</v>
          </cell>
          <cell r="J240">
            <v>1065759.0576951939</v>
          </cell>
        </row>
        <row r="241">
          <cell r="A241">
            <v>224</v>
          </cell>
          <cell r="B241">
            <v>60692</v>
          </cell>
          <cell r="C241">
            <v>0</v>
          </cell>
          <cell r="D241">
            <v>272859.94110595033</v>
          </cell>
          <cell r="E241">
            <v>0</v>
          </cell>
          <cell r="F241">
            <v>0</v>
          </cell>
          <cell r="G241">
            <v>0</v>
          </cell>
          <cell r="H241">
            <v>0</v>
          </cell>
          <cell r="I241">
            <v>0</v>
          </cell>
          <cell r="J241">
            <v>1065759.0576951939</v>
          </cell>
        </row>
        <row r="242">
          <cell r="A242">
            <v>225</v>
          </cell>
          <cell r="B242">
            <v>60784</v>
          </cell>
          <cell r="C242">
            <v>0</v>
          </cell>
          <cell r="D242">
            <v>272859.94110595033</v>
          </cell>
          <cell r="E242">
            <v>0</v>
          </cell>
          <cell r="F242">
            <v>0</v>
          </cell>
          <cell r="G242">
            <v>0</v>
          </cell>
          <cell r="H242">
            <v>0</v>
          </cell>
          <cell r="I242">
            <v>0</v>
          </cell>
          <cell r="J242">
            <v>1065759.0576951939</v>
          </cell>
        </row>
        <row r="243">
          <cell r="A243">
            <v>226</v>
          </cell>
          <cell r="B243">
            <v>60876</v>
          </cell>
          <cell r="C243">
            <v>0</v>
          </cell>
          <cell r="D243">
            <v>272859.94110595033</v>
          </cell>
          <cell r="E243">
            <v>0</v>
          </cell>
          <cell r="F243">
            <v>0</v>
          </cell>
          <cell r="G243">
            <v>0</v>
          </cell>
          <cell r="H243">
            <v>0</v>
          </cell>
          <cell r="I243">
            <v>0</v>
          </cell>
          <cell r="J243">
            <v>1065759.0576951939</v>
          </cell>
        </row>
        <row r="244">
          <cell r="A244">
            <v>227</v>
          </cell>
          <cell r="B244">
            <v>60967</v>
          </cell>
          <cell r="C244">
            <v>0</v>
          </cell>
          <cell r="D244">
            <v>272859.94110595033</v>
          </cell>
          <cell r="E244">
            <v>0</v>
          </cell>
          <cell r="F244">
            <v>0</v>
          </cell>
          <cell r="G244">
            <v>0</v>
          </cell>
          <cell r="H244">
            <v>0</v>
          </cell>
          <cell r="I244">
            <v>0</v>
          </cell>
          <cell r="J244">
            <v>1065759.0576951939</v>
          </cell>
        </row>
        <row r="245">
          <cell r="A245">
            <v>228</v>
          </cell>
          <cell r="B245">
            <v>61057</v>
          </cell>
          <cell r="C245">
            <v>0</v>
          </cell>
          <cell r="D245">
            <v>272859.94110595033</v>
          </cell>
          <cell r="E245">
            <v>0</v>
          </cell>
          <cell r="F245">
            <v>0</v>
          </cell>
          <cell r="G245">
            <v>0</v>
          </cell>
          <cell r="H245">
            <v>0</v>
          </cell>
          <cell r="I245">
            <v>0</v>
          </cell>
          <cell r="J245">
            <v>1065759.0576951939</v>
          </cell>
        </row>
        <row r="246">
          <cell r="A246">
            <v>229</v>
          </cell>
          <cell r="B246">
            <v>61149</v>
          </cell>
          <cell r="C246">
            <v>0</v>
          </cell>
          <cell r="D246">
            <v>272859.94110595033</v>
          </cell>
          <cell r="E246">
            <v>0</v>
          </cell>
          <cell r="F246">
            <v>0</v>
          </cell>
          <cell r="G246">
            <v>0</v>
          </cell>
          <cell r="H246">
            <v>0</v>
          </cell>
          <cell r="I246">
            <v>0</v>
          </cell>
          <cell r="J246">
            <v>1065759.0576951939</v>
          </cell>
        </row>
        <row r="247">
          <cell r="A247">
            <v>230</v>
          </cell>
          <cell r="B247">
            <v>61241</v>
          </cell>
          <cell r="C247">
            <v>0</v>
          </cell>
          <cell r="D247">
            <v>272859.94110595033</v>
          </cell>
          <cell r="E247">
            <v>0</v>
          </cell>
          <cell r="F247">
            <v>0</v>
          </cell>
          <cell r="G247">
            <v>0</v>
          </cell>
          <cell r="H247">
            <v>0</v>
          </cell>
          <cell r="I247">
            <v>0</v>
          </cell>
          <cell r="J247">
            <v>1065759.0576951939</v>
          </cell>
        </row>
        <row r="248">
          <cell r="A248">
            <v>231</v>
          </cell>
          <cell r="B248">
            <v>61332</v>
          </cell>
          <cell r="C248">
            <v>0</v>
          </cell>
          <cell r="D248">
            <v>272859.94110595033</v>
          </cell>
          <cell r="E248">
            <v>0</v>
          </cell>
          <cell r="F248">
            <v>0</v>
          </cell>
          <cell r="G248">
            <v>0</v>
          </cell>
          <cell r="H248">
            <v>0</v>
          </cell>
          <cell r="I248">
            <v>0</v>
          </cell>
          <cell r="J248">
            <v>1065759.0576951939</v>
          </cell>
        </row>
        <row r="249">
          <cell r="A249">
            <v>232</v>
          </cell>
          <cell r="B249">
            <v>61423</v>
          </cell>
          <cell r="C249">
            <v>0</v>
          </cell>
          <cell r="D249">
            <v>272859.94110595033</v>
          </cell>
          <cell r="E249">
            <v>0</v>
          </cell>
          <cell r="F249">
            <v>0</v>
          </cell>
          <cell r="G249">
            <v>0</v>
          </cell>
          <cell r="H249">
            <v>0</v>
          </cell>
          <cell r="I249">
            <v>0</v>
          </cell>
          <cell r="J249">
            <v>1065759.0576951939</v>
          </cell>
        </row>
        <row r="250">
          <cell r="A250">
            <v>233</v>
          </cell>
          <cell r="B250">
            <v>61515</v>
          </cell>
          <cell r="C250">
            <v>0</v>
          </cell>
          <cell r="D250">
            <v>272859.94110595033</v>
          </cell>
          <cell r="E250">
            <v>0</v>
          </cell>
          <cell r="F250">
            <v>0</v>
          </cell>
          <cell r="G250">
            <v>0</v>
          </cell>
          <cell r="H250">
            <v>0</v>
          </cell>
          <cell r="I250">
            <v>0</v>
          </cell>
          <cell r="J250">
            <v>1065759.0576951939</v>
          </cell>
        </row>
        <row r="251">
          <cell r="A251">
            <v>234</v>
          </cell>
          <cell r="B251">
            <v>61607</v>
          </cell>
          <cell r="C251">
            <v>0</v>
          </cell>
          <cell r="D251">
            <v>272859.94110595033</v>
          </cell>
          <cell r="E251">
            <v>0</v>
          </cell>
          <cell r="F251">
            <v>0</v>
          </cell>
          <cell r="G251">
            <v>0</v>
          </cell>
          <cell r="H251">
            <v>0</v>
          </cell>
          <cell r="I251">
            <v>0</v>
          </cell>
          <cell r="J251">
            <v>1065759.0576951939</v>
          </cell>
        </row>
        <row r="252">
          <cell r="A252">
            <v>235</v>
          </cell>
          <cell r="B252">
            <v>61698</v>
          </cell>
          <cell r="C252">
            <v>0</v>
          </cell>
          <cell r="D252">
            <v>272859.94110595033</v>
          </cell>
          <cell r="E252">
            <v>0</v>
          </cell>
          <cell r="F252">
            <v>0</v>
          </cell>
          <cell r="G252">
            <v>0</v>
          </cell>
          <cell r="H252">
            <v>0</v>
          </cell>
          <cell r="I252">
            <v>0</v>
          </cell>
          <cell r="J252">
            <v>1065759.0576951939</v>
          </cell>
        </row>
        <row r="253">
          <cell r="A253">
            <v>236</v>
          </cell>
          <cell r="B253">
            <v>61788</v>
          </cell>
          <cell r="C253">
            <v>0</v>
          </cell>
          <cell r="D253">
            <v>272859.94110595033</v>
          </cell>
          <cell r="E253">
            <v>0</v>
          </cell>
          <cell r="F253">
            <v>0</v>
          </cell>
          <cell r="G253">
            <v>0</v>
          </cell>
          <cell r="H253">
            <v>0</v>
          </cell>
          <cell r="I253">
            <v>0</v>
          </cell>
          <cell r="J253">
            <v>1065759.0576951939</v>
          </cell>
        </row>
        <row r="254">
          <cell r="A254">
            <v>237</v>
          </cell>
          <cell r="B254">
            <v>61880</v>
          </cell>
          <cell r="C254">
            <v>0</v>
          </cell>
          <cell r="D254">
            <v>272859.94110595033</v>
          </cell>
          <cell r="E254">
            <v>0</v>
          </cell>
          <cell r="F254">
            <v>0</v>
          </cell>
          <cell r="G254">
            <v>0</v>
          </cell>
          <cell r="H254">
            <v>0</v>
          </cell>
          <cell r="I254">
            <v>0</v>
          </cell>
          <cell r="J254">
            <v>1065759.0576951939</v>
          </cell>
        </row>
        <row r="255">
          <cell r="A255">
            <v>238</v>
          </cell>
          <cell r="B255">
            <v>61972</v>
          </cell>
          <cell r="C255">
            <v>0</v>
          </cell>
          <cell r="D255">
            <v>272859.94110595033</v>
          </cell>
          <cell r="E255">
            <v>0</v>
          </cell>
          <cell r="F255">
            <v>0</v>
          </cell>
          <cell r="G255">
            <v>0</v>
          </cell>
          <cell r="H255">
            <v>0</v>
          </cell>
          <cell r="I255">
            <v>0</v>
          </cell>
          <cell r="J255">
            <v>1065759.0576951939</v>
          </cell>
        </row>
        <row r="256">
          <cell r="A256">
            <v>239</v>
          </cell>
          <cell r="B256">
            <v>62063</v>
          </cell>
          <cell r="C256">
            <v>0</v>
          </cell>
          <cell r="D256">
            <v>272859.94110595033</v>
          </cell>
          <cell r="E256">
            <v>0</v>
          </cell>
          <cell r="F256">
            <v>0</v>
          </cell>
          <cell r="G256">
            <v>0</v>
          </cell>
          <cell r="H256">
            <v>0</v>
          </cell>
          <cell r="I256">
            <v>0</v>
          </cell>
          <cell r="J256">
            <v>1065759.0576951939</v>
          </cell>
        </row>
        <row r="257">
          <cell r="A257">
            <v>240</v>
          </cell>
          <cell r="B257">
            <v>62153</v>
          </cell>
          <cell r="C257">
            <v>0</v>
          </cell>
          <cell r="D257">
            <v>272859.94110595033</v>
          </cell>
          <cell r="E257">
            <v>0</v>
          </cell>
          <cell r="F257">
            <v>0</v>
          </cell>
          <cell r="G257">
            <v>0</v>
          </cell>
          <cell r="H257">
            <v>0</v>
          </cell>
          <cell r="I257">
            <v>0</v>
          </cell>
          <cell r="J257">
            <v>1065759.0576951939</v>
          </cell>
        </row>
        <row r="258">
          <cell r="A258">
            <v>241</v>
          </cell>
          <cell r="B258">
            <v>62245</v>
          </cell>
          <cell r="C258">
            <v>0</v>
          </cell>
          <cell r="D258">
            <v>272859.94110595033</v>
          </cell>
          <cell r="E258">
            <v>0</v>
          </cell>
          <cell r="F258">
            <v>0</v>
          </cell>
          <cell r="G258">
            <v>0</v>
          </cell>
          <cell r="H258">
            <v>0</v>
          </cell>
          <cell r="I258">
            <v>0</v>
          </cell>
          <cell r="J258">
            <v>1065759.0576951939</v>
          </cell>
        </row>
        <row r="259">
          <cell r="A259">
            <v>242</v>
          </cell>
          <cell r="B259">
            <v>62337</v>
          </cell>
          <cell r="C259">
            <v>0</v>
          </cell>
          <cell r="D259">
            <v>272859.94110595033</v>
          </cell>
          <cell r="E259">
            <v>0</v>
          </cell>
          <cell r="F259">
            <v>0</v>
          </cell>
          <cell r="G259">
            <v>0</v>
          </cell>
          <cell r="H259">
            <v>0</v>
          </cell>
          <cell r="I259">
            <v>0</v>
          </cell>
          <cell r="J259">
            <v>1065759.0576951939</v>
          </cell>
        </row>
        <row r="260">
          <cell r="A260">
            <v>243</v>
          </cell>
          <cell r="B260">
            <v>62428</v>
          </cell>
          <cell r="C260">
            <v>0</v>
          </cell>
          <cell r="D260">
            <v>272859.94110595033</v>
          </cell>
          <cell r="E260">
            <v>0</v>
          </cell>
          <cell r="F260">
            <v>0</v>
          </cell>
          <cell r="G260">
            <v>0</v>
          </cell>
          <cell r="H260">
            <v>0</v>
          </cell>
          <cell r="I260">
            <v>0</v>
          </cell>
          <cell r="J260">
            <v>1065759.0576951939</v>
          </cell>
        </row>
        <row r="261">
          <cell r="A261">
            <v>244</v>
          </cell>
          <cell r="B261">
            <v>62518</v>
          </cell>
          <cell r="C261">
            <v>0</v>
          </cell>
          <cell r="D261">
            <v>272859.94110595033</v>
          </cell>
          <cell r="E261">
            <v>0</v>
          </cell>
          <cell r="F261">
            <v>0</v>
          </cell>
          <cell r="G261">
            <v>0</v>
          </cell>
          <cell r="H261">
            <v>0</v>
          </cell>
          <cell r="I261">
            <v>0</v>
          </cell>
          <cell r="J261">
            <v>1065759.0576951939</v>
          </cell>
        </row>
        <row r="262">
          <cell r="A262">
            <v>245</v>
          </cell>
          <cell r="B262">
            <v>62610</v>
          </cell>
          <cell r="C262">
            <v>0</v>
          </cell>
          <cell r="D262">
            <v>272859.94110595033</v>
          </cell>
          <cell r="E262">
            <v>0</v>
          </cell>
          <cell r="F262">
            <v>0</v>
          </cell>
          <cell r="G262">
            <v>0</v>
          </cell>
          <cell r="H262">
            <v>0</v>
          </cell>
          <cell r="I262">
            <v>0</v>
          </cell>
          <cell r="J262">
            <v>1065759.0576951939</v>
          </cell>
        </row>
        <row r="263">
          <cell r="A263">
            <v>246</v>
          </cell>
          <cell r="B263">
            <v>62702</v>
          </cell>
          <cell r="C263">
            <v>0</v>
          </cell>
          <cell r="D263">
            <v>272859.94110595033</v>
          </cell>
          <cell r="E263">
            <v>0</v>
          </cell>
          <cell r="F263">
            <v>0</v>
          </cell>
          <cell r="G263">
            <v>0</v>
          </cell>
          <cell r="H263">
            <v>0</v>
          </cell>
          <cell r="I263">
            <v>0</v>
          </cell>
          <cell r="J263">
            <v>1065759.0576951939</v>
          </cell>
        </row>
        <row r="264">
          <cell r="A264">
            <v>247</v>
          </cell>
          <cell r="B264">
            <v>62793</v>
          </cell>
          <cell r="C264">
            <v>0</v>
          </cell>
          <cell r="D264">
            <v>272859.94110595033</v>
          </cell>
          <cell r="E264">
            <v>0</v>
          </cell>
          <cell r="F264">
            <v>0</v>
          </cell>
          <cell r="G264">
            <v>0</v>
          </cell>
          <cell r="H264">
            <v>0</v>
          </cell>
          <cell r="I264">
            <v>0</v>
          </cell>
          <cell r="J264">
            <v>1065759.0576951939</v>
          </cell>
        </row>
        <row r="265">
          <cell r="A265">
            <v>248</v>
          </cell>
          <cell r="B265">
            <v>62884</v>
          </cell>
          <cell r="C265">
            <v>0</v>
          </cell>
          <cell r="D265">
            <v>272859.94110595033</v>
          </cell>
          <cell r="E265">
            <v>0</v>
          </cell>
          <cell r="F265">
            <v>0</v>
          </cell>
          <cell r="G265">
            <v>0</v>
          </cell>
          <cell r="H265">
            <v>0</v>
          </cell>
          <cell r="I265">
            <v>0</v>
          </cell>
          <cell r="J265">
            <v>1065759.0576951939</v>
          </cell>
        </row>
        <row r="266">
          <cell r="A266">
            <v>249</v>
          </cell>
          <cell r="B266">
            <v>62976</v>
          </cell>
          <cell r="C266">
            <v>0</v>
          </cell>
          <cell r="D266">
            <v>272859.94110595033</v>
          </cell>
          <cell r="E266">
            <v>0</v>
          </cell>
          <cell r="F266">
            <v>0</v>
          </cell>
          <cell r="G266">
            <v>0</v>
          </cell>
          <cell r="H266">
            <v>0</v>
          </cell>
          <cell r="I266">
            <v>0</v>
          </cell>
          <cell r="J266">
            <v>1065759.0576951939</v>
          </cell>
        </row>
        <row r="267">
          <cell r="A267">
            <v>250</v>
          </cell>
          <cell r="B267">
            <v>63068</v>
          </cell>
          <cell r="C267">
            <v>0</v>
          </cell>
          <cell r="D267">
            <v>272859.94110595033</v>
          </cell>
          <cell r="E267">
            <v>0</v>
          </cell>
          <cell r="F267">
            <v>0</v>
          </cell>
          <cell r="G267">
            <v>0</v>
          </cell>
          <cell r="H267">
            <v>0</v>
          </cell>
          <cell r="I267">
            <v>0</v>
          </cell>
          <cell r="J267">
            <v>1065759.0576951939</v>
          </cell>
        </row>
        <row r="268">
          <cell r="A268">
            <v>251</v>
          </cell>
          <cell r="B268">
            <v>63159</v>
          </cell>
          <cell r="C268">
            <v>0</v>
          </cell>
          <cell r="D268">
            <v>272859.94110595033</v>
          </cell>
          <cell r="E268">
            <v>0</v>
          </cell>
          <cell r="F268">
            <v>0</v>
          </cell>
          <cell r="G268">
            <v>0</v>
          </cell>
          <cell r="H268">
            <v>0</v>
          </cell>
          <cell r="I268">
            <v>0</v>
          </cell>
          <cell r="J268">
            <v>1065759.0576951939</v>
          </cell>
        </row>
        <row r="269">
          <cell r="A269">
            <v>252</v>
          </cell>
          <cell r="B269">
            <v>63249</v>
          </cell>
          <cell r="C269">
            <v>0</v>
          </cell>
          <cell r="D269">
            <v>272859.94110595033</v>
          </cell>
          <cell r="E269">
            <v>0</v>
          </cell>
          <cell r="F269">
            <v>0</v>
          </cell>
          <cell r="G269">
            <v>0</v>
          </cell>
          <cell r="H269">
            <v>0</v>
          </cell>
          <cell r="I269">
            <v>0</v>
          </cell>
          <cell r="J269">
            <v>1065759.0576951939</v>
          </cell>
        </row>
        <row r="270">
          <cell r="A270">
            <v>253</v>
          </cell>
          <cell r="B270">
            <v>63341</v>
          </cell>
          <cell r="C270">
            <v>0</v>
          </cell>
          <cell r="D270">
            <v>272859.94110595033</v>
          </cell>
          <cell r="E270">
            <v>0</v>
          </cell>
          <cell r="F270">
            <v>0</v>
          </cell>
          <cell r="G270">
            <v>0</v>
          </cell>
          <cell r="H270">
            <v>0</v>
          </cell>
          <cell r="I270">
            <v>0</v>
          </cell>
          <cell r="J270">
            <v>1065759.0576951939</v>
          </cell>
        </row>
        <row r="271">
          <cell r="A271">
            <v>254</v>
          </cell>
          <cell r="B271">
            <v>63433</v>
          </cell>
          <cell r="C271">
            <v>0</v>
          </cell>
          <cell r="D271">
            <v>272859.94110595033</v>
          </cell>
          <cell r="E271">
            <v>0</v>
          </cell>
          <cell r="F271">
            <v>0</v>
          </cell>
          <cell r="G271">
            <v>0</v>
          </cell>
          <cell r="H271">
            <v>0</v>
          </cell>
          <cell r="I271">
            <v>0</v>
          </cell>
          <cell r="J271">
            <v>1065759.0576951939</v>
          </cell>
        </row>
        <row r="272">
          <cell r="A272">
            <v>255</v>
          </cell>
          <cell r="B272">
            <v>63524</v>
          </cell>
          <cell r="C272">
            <v>0</v>
          </cell>
          <cell r="D272">
            <v>272859.94110595033</v>
          </cell>
          <cell r="E272">
            <v>0</v>
          </cell>
          <cell r="F272">
            <v>0</v>
          </cell>
          <cell r="G272">
            <v>0</v>
          </cell>
          <cell r="H272">
            <v>0</v>
          </cell>
          <cell r="I272">
            <v>0</v>
          </cell>
          <cell r="J272">
            <v>1065759.0576951939</v>
          </cell>
        </row>
        <row r="273">
          <cell r="A273">
            <v>256</v>
          </cell>
          <cell r="B273">
            <v>63614</v>
          </cell>
          <cell r="C273">
            <v>0</v>
          </cell>
          <cell r="D273">
            <v>272859.94110595033</v>
          </cell>
          <cell r="E273">
            <v>0</v>
          </cell>
          <cell r="F273">
            <v>0</v>
          </cell>
          <cell r="G273">
            <v>0</v>
          </cell>
          <cell r="H273">
            <v>0</v>
          </cell>
          <cell r="I273">
            <v>0</v>
          </cell>
          <cell r="J273">
            <v>1065759.0576951939</v>
          </cell>
        </row>
        <row r="274">
          <cell r="A274">
            <v>257</v>
          </cell>
          <cell r="B274">
            <v>63706</v>
          </cell>
          <cell r="C274">
            <v>0</v>
          </cell>
          <cell r="D274">
            <v>272859.94110595033</v>
          </cell>
          <cell r="E274">
            <v>0</v>
          </cell>
          <cell r="F274">
            <v>0</v>
          </cell>
          <cell r="G274">
            <v>0</v>
          </cell>
          <cell r="H274">
            <v>0</v>
          </cell>
          <cell r="I274">
            <v>0</v>
          </cell>
          <cell r="J274">
            <v>1065759.0576951939</v>
          </cell>
        </row>
        <row r="275">
          <cell r="A275">
            <v>258</v>
          </cell>
          <cell r="B275">
            <v>63798</v>
          </cell>
          <cell r="C275">
            <v>0</v>
          </cell>
          <cell r="D275">
            <v>272859.94110595033</v>
          </cell>
          <cell r="E275">
            <v>0</v>
          </cell>
          <cell r="F275">
            <v>0</v>
          </cell>
          <cell r="G275">
            <v>0</v>
          </cell>
          <cell r="H275">
            <v>0</v>
          </cell>
          <cell r="I275">
            <v>0</v>
          </cell>
          <cell r="J275">
            <v>1065759.0576951939</v>
          </cell>
        </row>
        <row r="276">
          <cell r="A276">
            <v>259</v>
          </cell>
          <cell r="B276">
            <v>63889</v>
          </cell>
          <cell r="C276">
            <v>0</v>
          </cell>
          <cell r="D276">
            <v>272859.94110595033</v>
          </cell>
          <cell r="E276">
            <v>0</v>
          </cell>
          <cell r="F276">
            <v>0</v>
          </cell>
          <cell r="G276">
            <v>0</v>
          </cell>
          <cell r="H276">
            <v>0</v>
          </cell>
          <cell r="I276">
            <v>0</v>
          </cell>
          <cell r="J276">
            <v>1065759.0576951939</v>
          </cell>
        </row>
        <row r="277">
          <cell r="A277">
            <v>260</v>
          </cell>
          <cell r="B277">
            <v>63979</v>
          </cell>
          <cell r="C277">
            <v>0</v>
          </cell>
          <cell r="D277">
            <v>272859.94110595033</v>
          </cell>
          <cell r="E277">
            <v>0</v>
          </cell>
          <cell r="F277">
            <v>0</v>
          </cell>
          <cell r="G277">
            <v>0</v>
          </cell>
          <cell r="H277">
            <v>0</v>
          </cell>
          <cell r="I277">
            <v>0</v>
          </cell>
          <cell r="J277">
            <v>1065759.0576951939</v>
          </cell>
        </row>
        <row r="278">
          <cell r="A278">
            <v>261</v>
          </cell>
          <cell r="B278">
            <v>64071</v>
          </cell>
          <cell r="C278">
            <v>0</v>
          </cell>
          <cell r="D278">
            <v>272859.94110595033</v>
          </cell>
          <cell r="E278">
            <v>0</v>
          </cell>
          <cell r="F278">
            <v>0</v>
          </cell>
          <cell r="G278">
            <v>0</v>
          </cell>
          <cell r="H278">
            <v>0</v>
          </cell>
          <cell r="I278">
            <v>0</v>
          </cell>
          <cell r="J278">
            <v>1065759.0576951939</v>
          </cell>
        </row>
        <row r="279">
          <cell r="A279">
            <v>262</v>
          </cell>
          <cell r="B279">
            <v>64163</v>
          </cell>
          <cell r="C279">
            <v>0</v>
          </cell>
          <cell r="D279">
            <v>272859.94110595033</v>
          </cell>
          <cell r="E279">
            <v>0</v>
          </cell>
          <cell r="F279">
            <v>0</v>
          </cell>
          <cell r="G279">
            <v>0</v>
          </cell>
          <cell r="H279">
            <v>0</v>
          </cell>
          <cell r="I279">
            <v>0</v>
          </cell>
          <cell r="J279">
            <v>1065759.0576951939</v>
          </cell>
        </row>
        <row r="280">
          <cell r="A280">
            <v>263</v>
          </cell>
          <cell r="B280">
            <v>64254</v>
          </cell>
          <cell r="C280">
            <v>0</v>
          </cell>
          <cell r="D280">
            <v>272859.94110595033</v>
          </cell>
          <cell r="E280">
            <v>0</v>
          </cell>
          <cell r="F280">
            <v>0</v>
          </cell>
          <cell r="G280">
            <v>0</v>
          </cell>
          <cell r="H280">
            <v>0</v>
          </cell>
          <cell r="I280">
            <v>0</v>
          </cell>
          <cell r="J280">
            <v>1065759.0576951939</v>
          </cell>
        </row>
        <row r="281">
          <cell r="A281">
            <v>264</v>
          </cell>
          <cell r="B281">
            <v>64345</v>
          </cell>
          <cell r="C281">
            <v>0</v>
          </cell>
          <cell r="D281">
            <v>272859.94110595033</v>
          </cell>
          <cell r="E281">
            <v>0</v>
          </cell>
          <cell r="F281">
            <v>0</v>
          </cell>
          <cell r="G281">
            <v>0</v>
          </cell>
          <cell r="H281">
            <v>0</v>
          </cell>
          <cell r="I281">
            <v>0</v>
          </cell>
          <cell r="J281">
            <v>1065759.0576951939</v>
          </cell>
        </row>
        <row r="282">
          <cell r="A282">
            <v>265</v>
          </cell>
          <cell r="B282">
            <v>64437</v>
          </cell>
          <cell r="C282">
            <v>0</v>
          </cell>
          <cell r="D282">
            <v>272859.94110595033</v>
          </cell>
          <cell r="E282">
            <v>0</v>
          </cell>
          <cell r="F282">
            <v>0</v>
          </cell>
          <cell r="G282">
            <v>0</v>
          </cell>
          <cell r="H282">
            <v>0</v>
          </cell>
          <cell r="I282">
            <v>0</v>
          </cell>
          <cell r="J282">
            <v>1065759.0576951939</v>
          </cell>
        </row>
        <row r="283">
          <cell r="A283">
            <v>266</v>
          </cell>
          <cell r="B283">
            <v>64529</v>
          </cell>
          <cell r="C283">
            <v>0</v>
          </cell>
          <cell r="D283">
            <v>272859.94110595033</v>
          </cell>
          <cell r="E283">
            <v>0</v>
          </cell>
          <cell r="F283">
            <v>0</v>
          </cell>
          <cell r="G283">
            <v>0</v>
          </cell>
          <cell r="H283">
            <v>0</v>
          </cell>
          <cell r="I283">
            <v>0</v>
          </cell>
          <cell r="J283">
            <v>1065759.0576951939</v>
          </cell>
        </row>
        <row r="284">
          <cell r="A284">
            <v>267</v>
          </cell>
          <cell r="B284">
            <v>64620</v>
          </cell>
          <cell r="C284">
            <v>0</v>
          </cell>
          <cell r="D284">
            <v>272859.94110595033</v>
          </cell>
          <cell r="E284">
            <v>0</v>
          </cell>
          <cell r="F284">
            <v>0</v>
          </cell>
          <cell r="G284">
            <v>0</v>
          </cell>
          <cell r="H284">
            <v>0</v>
          </cell>
          <cell r="I284">
            <v>0</v>
          </cell>
          <cell r="J284">
            <v>1065759.0576951939</v>
          </cell>
        </row>
        <row r="285">
          <cell r="A285">
            <v>268</v>
          </cell>
          <cell r="B285">
            <v>64710</v>
          </cell>
          <cell r="C285">
            <v>0</v>
          </cell>
          <cell r="D285">
            <v>272859.94110595033</v>
          </cell>
          <cell r="E285">
            <v>0</v>
          </cell>
          <cell r="F285">
            <v>0</v>
          </cell>
          <cell r="G285">
            <v>0</v>
          </cell>
          <cell r="H285">
            <v>0</v>
          </cell>
          <cell r="I285">
            <v>0</v>
          </cell>
          <cell r="J285">
            <v>1065759.0576951939</v>
          </cell>
        </row>
        <row r="286">
          <cell r="A286">
            <v>269</v>
          </cell>
          <cell r="B286">
            <v>64802</v>
          </cell>
          <cell r="C286">
            <v>0</v>
          </cell>
          <cell r="D286">
            <v>272859.94110595033</v>
          </cell>
          <cell r="E286">
            <v>0</v>
          </cell>
          <cell r="F286">
            <v>0</v>
          </cell>
          <cell r="G286">
            <v>0</v>
          </cell>
          <cell r="H286">
            <v>0</v>
          </cell>
          <cell r="I286">
            <v>0</v>
          </cell>
          <cell r="J286">
            <v>1065759.0576951939</v>
          </cell>
        </row>
        <row r="287">
          <cell r="A287">
            <v>270</v>
          </cell>
          <cell r="B287">
            <v>64894</v>
          </cell>
          <cell r="C287">
            <v>0</v>
          </cell>
          <cell r="D287">
            <v>272859.94110595033</v>
          </cell>
          <cell r="E287">
            <v>0</v>
          </cell>
          <cell r="F287">
            <v>0</v>
          </cell>
          <cell r="G287">
            <v>0</v>
          </cell>
          <cell r="H287">
            <v>0</v>
          </cell>
          <cell r="I287">
            <v>0</v>
          </cell>
          <cell r="J287">
            <v>1065759.0576951939</v>
          </cell>
        </row>
        <row r="288">
          <cell r="A288">
            <v>271</v>
          </cell>
          <cell r="B288">
            <v>64985</v>
          </cell>
          <cell r="C288">
            <v>0</v>
          </cell>
          <cell r="D288">
            <v>272859.94110595033</v>
          </cell>
          <cell r="E288">
            <v>0</v>
          </cell>
          <cell r="F288">
            <v>0</v>
          </cell>
          <cell r="G288">
            <v>0</v>
          </cell>
          <cell r="H288">
            <v>0</v>
          </cell>
          <cell r="I288">
            <v>0</v>
          </cell>
          <cell r="J288">
            <v>1065759.0576951939</v>
          </cell>
        </row>
        <row r="289">
          <cell r="A289">
            <v>272</v>
          </cell>
          <cell r="B289">
            <v>65075</v>
          </cell>
          <cell r="C289">
            <v>0</v>
          </cell>
          <cell r="D289">
            <v>272859.94110595033</v>
          </cell>
          <cell r="E289">
            <v>0</v>
          </cell>
          <cell r="F289">
            <v>0</v>
          </cell>
          <cell r="G289">
            <v>0</v>
          </cell>
          <cell r="H289">
            <v>0</v>
          </cell>
          <cell r="I289">
            <v>0</v>
          </cell>
          <cell r="J289">
            <v>1065759.0576951939</v>
          </cell>
        </row>
        <row r="290">
          <cell r="A290">
            <v>273</v>
          </cell>
          <cell r="B290">
            <v>65167</v>
          </cell>
          <cell r="C290">
            <v>0</v>
          </cell>
          <cell r="D290">
            <v>272859.94110595033</v>
          </cell>
          <cell r="E290">
            <v>0</v>
          </cell>
          <cell r="F290">
            <v>0</v>
          </cell>
          <cell r="G290">
            <v>0</v>
          </cell>
          <cell r="H290">
            <v>0</v>
          </cell>
          <cell r="I290">
            <v>0</v>
          </cell>
          <cell r="J290">
            <v>1065759.0576951939</v>
          </cell>
        </row>
        <row r="291">
          <cell r="A291">
            <v>274</v>
          </cell>
          <cell r="B291">
            <v>65259</v>
          </cell>
          <cell r="C291">
            <v>0</v>
          </cell>
          <cell r="D291">
            <v>272859.94110595033</v>
          </cell>
          <cell r="E291">
            <v>0</v>
          </cell>
          <cell r="F291">
            <v>0</v>
          </cell>
          <cell r="G291">
            <v>0</v>
          </cell>
          <cell r="H291">
            <v>0</v>
          </cell>
          <cell r="I291">
            <v>0</v>
          </cell>
          <cell r="J291">
            <v>1065759.0576951939</v>
          </cell>
        </row>
        <row r="292">
          <cell r="A292">
            <v>275</v>
          </cell>
          <cell r="B292">
            <v>65350</v>
          </cell>
          <cell r="C292">
            <v>0</v>
          </cell>
          <cell r="D292">
            <v>272859.94110595033</v>
          </cell>
          <cell r="E292">
            <v>0</v>
          </cell>
          <cell r="F292">
            <v>0</v>
          </cell>
          <cell r="G292">
            <v>0</v>
          </cell>
          <cell r="H292">
            <v>0</v>
          </cell>
          <cell r="I292">
            <v>0</v>
          </cell>
          <cell r="J292">
            <v>1065759.0576951939</v>
          </cell>
        </row>
        <row r="293">
          <cell r="A293">
            <v>276</v>
          </cell>
          <cell r="B293">
            <v>65440</v>
          </cell>
          <cell r="C293">
            <v>0</v>
          </cell>
          <cell r="D293">
            <v>272859.94110595033</v>
          </cell>
          <cell r="E293">
            <v>0</v>
          </cell>
          <cell r="F293">
            <v>0</v>
          </cell>
          <cell r="G293">
            <v>0</v>
          </cell>
          <cell r="H293">
            <v>0</v>
          </cell>
          <cell r="I293">
            <v>0</v>
          </cell>
          <cell r="J293">
            <v>1065759.0576951939</v>
          </cell>
        </row>
        <row r="294">
          <cell r="A294">
            <v>277</v>
          </cell>
          <cell r="B294">
            <v>65532</v>
          </cell>
          <cell r="C294">
            <v>0</v>
          </cell>
          <cell r="D294">
            <v>272859.94110595033</v>
          </cell>
          <cell r="E294">
            <v>0</v>
          </cell>
          <cell r="F294">
            <v>0</v>
          </cell>
          <cell r="G294">
            <v>0</v>
          </cell>
          <cell r="H294">
            <v>0</v>
          </cell>
          <cell r="I294">
            <v>0</v>
          </cell>
          <cell r="J294">
            <v>1065759.0576951939</v>
          </cell>
        </row>
        <row r="295">
          <cell r="A295">
            <v>278</v>
          </cell>
          <cell r="B295">
            <v>65624</v>
          </cell>
          <cell r="C295">
            <v>0</v>
          </cell>
          <cell r="D295">
            <v>272859.94110595033</v>
          </cell>
          <cell r="E295">
            <v>0</v>
          </cell>
          <cell r="F295">
            <v>0</v>
          </cell>
          <cell r="G295">
            <v>0</v>
          </cell>
          <cell r="H295">
            <v>0</v>
          </cell>
          <cell r="I295">
            <v>0</v>
          </cell>
          <cell r="J295">
            <v>1065759.0576951939</v>
          </cell>
        </row>
        <row r="296">
          <cell r="A296">
            <v>279</v>
          </cell>
          <cell r="B296">
            <v>65715</v>
          </cell>
          <cell r="C296">
            <v>0</v>
          </cell>
          <cell r="D296">
            <v>272859.94110595033</v>
          </cell>
          <cell r="E296">
            <v>0</v>
          </cell>
          <cell r="F296">
            <v>0</v>
          </cell>
          <cell r="G296">
            <v>0</v>
          </cell>
          <cell r="H296">
            <v>0</v>
          </cell>
          <cell r="I296">
            <v>0</v>
          </cell>
          <cell r="J296">
            <v>1065759.0576951939</v>
          </cell>
        </row>
        <row r="297">
          <cell r="A297">
            <v>280</v>
          </cell>
          <cell r="B297">
            <v>65806</v>
          </cell>
          <cell r="C297">
            <v>0</v>
          </cell>
          <cell r="D297">
            <v>272859.94110595033</v>
          </cell>
          <cell r="E297">
            <v>0</v>
          </cell>
          <cell r="F297">
            <v>0</v>
          </cell>
          <cell r="G297">
            <v>0</v>
          </cell>
          <cell r="H297">
            <v>0</v>
          </cell>
          <cell r="I297">
            <v>0</v>
          </cell>
          <cell r="J297">
            <v>1065759.0576951939</v>
          </cell>
        </row>
        <row r="298">
          <cell r="A298">
            <v>281</v>
          </cell>
          <cell r="B298">
            <v>65898</v>
          </cell>
          <cell r="C298">
            <v>0</v>
          </cell>
          <cell r="D298">
            <v>272859.94110595033</v>
          </cell>
          <cell r="E298">
            <v>0</v>
          </cell>
          <cell r="F298">
            <v>0</v>
          </cell>
          <cell r="G298">
            <v>0</v>
          </cell>
          <cell r="H298">
            <v>0</v>
          </cell>
          <cell r="I298">
            <v>0</v>
          </cell>
          <cell r="J298">
            <v>1065759.0576951939</v>
          </cell>
        </row>
        <row r="299">
          <cell r="A299">
            <v>282</v>
          </cell>
          <cell r="B299">
            <v>65990</v>
          </cell>
          <cell r="C299">
            <v>0</v>
          </cell>
          <cell r="D299">
            <v>272859.94110595033</v>
          </cell>
          <cell r="E299">
            <v>0</v>
          </cell>
          <cell r="F299">
            <v>0</v>
          </cell>
          <cell r="G299">
            <v>0</v>
          </cell>
          <cell r="H299">
            <v>0</v>
          </cell>
          <cell r="I299">
            <v>0</v>
          </cell>
          <cell r="J299">
            <v>1065759.0576951939</v>
          </cell>
        </row>
        <row r="300">
          <cell r="A300">
            <v>283</v>
          </cell>
          <cell r="B300">
            <v>66081</v>
          </cell>
          <cell r="C300">
            <v>0</v>
          </cell>
          <cell r="D300">
            <v>272859.94110595033</v>
          </cell>
          <cell r="E300">
            <v>0</v>
          </cell>
          <cell r="F300">
            <v>0</v>
          </cell>
          <cell r="G300">
            <v>0</v>
          </cell>
          <cell r="H300">
            <v>0</v>
          </cell>
          <cell r="I300">
            <v>0</v>
          </cell>
          <cell r="J300">
            <v>1065759.0576951939</v>
          </cell>
        </row>
        <row r="301">
          <cell r="A301">
            <v>284</v>
          </cell>
          <cell r="B301">
            <v>66171</v>
          </cell>
          <cell r="C301">
            <v>0</v>
          </cell>
          <cell r="D301">
            <v>272859.94110595033</v>
          </cell>
          <cell r="E301">
            <v>0</v>
          </cell>
          <cell r="F301">
            <v>0</v>
          </cell>
          <cell r="G301">
            <v>0</v>
          </cell>
          <cell r="H301">
            <v>0</v>
          </cell>
          <cell r="I301">
            <v>0</v>
          </cell>
          <cell r="J301">
            <v>1065759.0576951939</v>
          </cell>
        </row>
        <row r="302">
          <cell r="A302">
            <v>285</v>
          </cell>
          <cell r="B302">
            <v>66263</v>
          </cell>
          <cell r="C302">
            <v>0</v>
          </cell>
          <cell r="D302">
            <v>272859.94110595033</v>
          </cell>
          <cell r="E302">
            <v>0</v>
          </cell>
          <cell r="F302">
            <v>0</v>
          </cell>
          <cell r="G302">
            <v>0</v>
          </cell>
          <cell r="H302">
            <v>0</v>
          </cell>
          <cell r="I302">
            <v>0</v>
          </cell>
          <cell r="J302">
            <v>1065759.0576951939</v>
          </cell>
        </row>
        <row r="303">
          <cell r="A303">
            <v>286</v>
          </cell>
          <cell r="B303">
            <v>66355</v>
          </cell>
          <cell r="C303">
            <v>0</v>
          </cell>
          <cell r="D303">
            <v>272859.94110595033</v>
          </cell>
          <cell r="E303">
            <v>0</v>
          </cell>
          <cell r="F303">
            <v>0</v>
          </cell>
          <cell r="G303">
            <v>0</v>
          </cell>
          <cell r="H303">
            <v>0</v>
          </cell>
          <cell r="I303">
            <v>0</v>
          </cell>
          <cell r="J303">
            <v>1065759.0576951939</v>
          </cell>
        </row>
        <row r="304">
          <cell r="A304">
            <v>287</v>
          </cell>
          <cell r="B304">
            <v>66446</v>
          </cell>
          <cell r="C304">
            <v>0</v>
          </cell>
          <cell r="D304">
            <v>272859.94110595033</v>
          </cell>
          <cell r="E304">
            <v>0</v>
          </cell>
          <cell r="F304">
            <v>0</v>
          </cell>
          <cell r="G304">
            <v>0</v>
          </cell>
          <cell r="H304">
            <v>0</v>
          </cell>
          <cell r="I304">
            <v>0</v>
          </cell>
          <cell r="J304">
            <v>1065759.0576951939</v>
          </cell>
        </row>
        <row r="305">
          <cell r="A305">
            <v>288</v>
          </cell>
          <cell r="B305">
            <v>66536</v>
          </cell>
          <cell r="C305">
            <v>0</v>
          </cell>
          <cell r="D305">
            <v>272859.94110595033</v>
          </cell>
          <cell r="E305">
            <v>0</v>
          </cell>
          <cell r="F305">
            <v>0</v>
          </cell>
          <cell r="G305">
            <v>0</v>
          </cell>
          <cell r="H305">
            <v>0</v>
          </cell>
          <cell r="I305">
            <v>0</v>
          </cell>
          <cell r="J305">
            <v>1065759.0576951939</v>
          </cell>
        </row>
        <row r="306">
          <cell r="A306">
            <v>289</v>
          </cell>
          <cell r="B306">
            <v>66628</v>
          </cell>
          <cell r="C306">
            <v>0</v>
          </cell>
          <cell r="D306">
            <v>272859.94110595033</v>
          </cell>
          <cell r="E306">
            <v>0</v>
          </cell>
          <cell r="F306">
            <v>0</v>
          </cell>
          <cell r="G306">
            <v>0</v>
          </cell>
          <cell r="H306">
            <v>0</v>
          </cell>
          <cell r="I306">
            <v>0</v>
          </cell>
          <cell r="J306">
            <v>1065759.0576951939</v>
          </cell>
        </row>
        <row r="307">
          <cell r="A307">
            <v>290</v>
          </cell>
          <cell r="B307">
            <v>66720</v>
          </cell>
          <cell r="C307">
            <v>0</v>
          </cell>
          <cell r="D307">
            <v>272859.94110595033</v>
          </cell>
          <cell r="E307">
            <v>0</v>
          </cell>
          <cell r="F307">
            <v>0</v>
          </cell>
          <cell r="G307">
            <v>0</v>
          </cell>
          <cell r="H307">
            <v>0</v>
          </cell>
          <cell r="I307">
            <v>0</v>
          </cell>
          <cell r="J307">
            <v>1065759.0576951939</v>
          </cell>
        </row>
        <row r="308">
          <cell r="A308">
            <v>291</v>
          </cell>
          <cell r="B308">
            <v>66811</v>
          </cell>
          <cell r="C308">
            <v>0</v>
          </cell>
          <cell r="D308">
            <v>272859.94110595033</v>
          </cell>
          <cell r="E308">
            <v>0</v>
          </cell>
          <cell r="F308">
            <v>0</v>
          </cell>
          <cell r="G308">
            <v>0</v>
          </cell>
          <cell r="H308">
            <v>0</v>
          </cell>
          <cell r="I308">
            <v>0</v>
          </cell>
          <cell r="J308">
            <v>1065759.0576951939</v>
          </cell>
        </row>
        <row r="309">
          <cell r="A309">
            <v>292</v>
          </cell>
          <cell r="B309">
            <v>66901</v>
          </cell>
          <cell r="C309">
            <v>0</v>
          </cell>
          <cell r="D309">
            <v>272859.94110595033</v>
          </cell>
          <cell r="E309">
            <v>0</v>
          </cell>
          <cell r="F309">
            <v>0</v>
          </cell>
          <cell r="G309">
            <v>0</v>
          </cell>
          <cell r="H309">
            <v>0</v>
          </cell>
          <cell r="I309">
            <v>0</v>
          </cell>
          <cell r="J309">
            <v>1065759.0576951939</v>
          </cell>
        </row>
        <row r="310">
          <cell r="A310">
            <v>293</v>
          </cell>
          <cell r="B310">
            <v>66993</v>
          </cell>
          <cell r="C310">
            <v>0</v>
          </cell>
          <cell r="D310">
            <v>272859.94110595033</v>
          </cell>
          <cell r="E310">
            <v>0</v>
          </cell>
          <cell r="F310">
            <v>0</v>
          </cell>
          <cell r="G310">
            <v>0</v>
          </cell>
          <cell r="H310">
            <v>0</v>
          </cell>
          <cell r="I310">
            <v>0</v>
          </cell>
          <cell r="J310">
            <v>1065759.0576951939</v>
          </cell>
        </row>
        <row r="311">
          <cell r="A311">
            <v>294</v>
          </cell>
          <cell r="B311">
            <v>67085</v>
          </cell>
          <cell r="C311">
            <v>0</v>
          </cell>
          <cell r="D311">
            <v>272859.94110595033</v>
          </cell>
          <cell r="E311">
            <v>0</v>
          </cell>
          <cell r="F311">
            <v>0</v>
          </cell>
          <cell r="G311">
            <v>0</v>
          </cell>
          <cell r="H311">
            <v>0</v>
          </cell>
          <cell r="I311">
            <v>0</v>
          </cell>
          <cell r="J311">
            <v>1065759.0576951939</v>
          </cell>
        </row>
        <row r="312">
          <cell r="A312">
            <v>295</v>
          </cell>
          <cell r="B312">
            <v>67176</v>
          </cell>
          <cell r="C312">
            <v>0</v>
          </cell>
          <cell r="D312">
            <v>272859.94110595033</v>
          </cell>
          <cell r="E312">
            <v>0</v>
          </cell>
          <cell r="F312">
            <v>0</v>
          </cell>
          <cell r="G312">
            <v>0</v>
          </cell>
          <cell r="H312">
            <v>0</v>
          </cell>
          <cell r="I312">
            <v>0</v>
          </cell>
          <cell r="J312">
            <v>1065759.0576951939</v>
          </cell>
        </row>
        <row r="313">
          <cell r="A313">
            <v>296</v>
          </cell>
          <cell r="B313">
            <v>67267</v>
          </cell>
          <cell r="C313">
            <v>0</v>
          </cell>
          <cell r="D313">
            <v>272859.94110595033</v>
          </cell>
          <cell r="E313">
            <v>0</v>
          </cell>
          <cell r="F313">
            <v>0</v>
          </cell>
          <cell r="G313">
            <v>0</v>
          </cell>
          <cell r="H313">
            <v>0</v>
          </cell>
          <cell r="I313">
            <v>0</v>
          </cell>
          <cell r="J313">
            <v>1065759.0576951939</v>
          </cell>
        </row>
        <row r="314">
          <cell r="A314">
            <v>297</v>
          </cell>
          <cell r="B314">
            <v>67359</v>
          </cell>
          <cell r="C314">
            <v>0</v>
          </cell>
          <cell r="D314">
            <v>272859.94110595033</v>
          </cell>
          <cell r="E314">
            <v>0</v>
          </cell>
          <cell r="F314">
            <v>0</v>
          </cell>
          <cell r="G314">
            <v>0</v>
          </cell>
          <cell r="H314">
            <v>0</v>
          </cell>
          <cell r="I314">
            <v>0</v>
          </cell>
          <cell r="J314">
            <v>1065759.0576951939</v>
          </cell>
        </row>
        <row r="315">
          <cell r="A315">
            <v>298</v>
          </cell>
          <cell r="B315">
            <v>67451</v>
          </cell>
          <cell r="C315">
            <v>0</v>
          </cell>
          <cell r="D315">
            <v>272859.94110595033</v>
          </cell>
          <cell r="E315">
            <v>0</v>
          </cell>
          <cell r="F315">
            <v>0</v>
          </cell>
          <cell r="G315">
            <v>0</v>
          </cell>
          <cell r="H315">
            <v>0</v>
          </cell>
          <cell r="I315">
            <v>0</v>
          </cell>
          <cell r="J315">
            <v>1065759.0576951939</v>
          </cell>
        </row>
        <row r="316">
          <cell r="A316">
            <v>299</v>
          </cell>
          <cell r="B316">
            <v>67542</v>
          </cell>
          <cell r="C316">
            <v>0</v>
          </cell>
          <cell r="D316">
            <v>272859.94110595033</v>
          </cell>
          <cell r="E316">
            <v>0</v>
          </cell>
          <cell r="F316">
            <v>0</v>
          </cell>
          <cell r="G316">
            <v>0</v>
          </cell>
          <cell r="H316">
            <v>0</v>
          </cell>
          <cell r="I316">
            <v>0</v>
          </cell>
          <cell r="J316">
            <v>1065759.0576951939</v>
          </cell>
        </row>
        <row r="317">
          <cell r="A317">
            <v>300</v>
          </cell>
          <cell r="B317">
            <v>67632</v>
          </cell>
          <cell r="C317">
            <v>0</v>
          </cell>
          <cell r="D317">
            <v>272859.94110595033</v>
          </cell>
          <cell r="E317">
            <v>0</v>
          </cell>
          <cell r="F317">
            <v>0</v>
          </cell>
          <cell r="G317">
            <v>0</v>
          </cell>
          <cell r="H317">
            <v>0</v>
          </cell>
          <cell r="I317">
            <v>0</v>
          </cell>
          <cell r="J317">
            <v>1065759.0576951939</v>
          </cell>
        </row>
        <row r="318">
          <cell r="A318">
            <v>301</v>
          </cell>
          <cell r="B318">
            <v>67724</v>
          </cell>
          <cell r="C318">
            <v>0</v>
          </cell>
          <cell r="D318">
            <v>272859.94110595033</v>
          </cell>
          <cell r="E318">
            <v>0</v>
          </cell>
          <cell r="F318">
            <v>0</v>
          </cell>
          <cell r="G318">
            <v>0</v>
          </cell>
          <cell r="H318">
            <v>0</v>
          </cell>
          <cell r="I318">
            <v>0</v>
          </cell>
          <cell r="J318">
            <v>1065759.0576951939</v>
          </cell>
        </row>
        <row r="319">
          <cell r="A319">
            <v>302</v>
          </cell>
          <cell r="B319">
            <v>67816</v>
          </cell>
          <cell r="C319">
            <v>0</v>
          </cell>
          <cell r="D319">
            <v>272859.94110595033</v>
          </cell>
          <cell r="E319">
            <v>0</v>
          </cell>
          <cell r="F319">
            <v>0</v>
          </cell>
          <cell r="G319">
            <v>0</v>
          </cell>
          <cell r="H319">
            <v>0</v>
          </cell>
          <cell r="I319">
            <v>0</v>
          </cell>
          <cell r="J319">
            <v>1065759.0576951939</v>
          </cell>
        </row>
        <row r="320">
          <cell r="A320">
            <v>303</v>
          </cell>
          <cell r="B320">
            <v>67907</v>
          </cell>
          <cell r="C320">
            <v>0</v>
          </cell>
          <cell r="D320">
            <v>272859.94110595033</v>
          </cell>
          <cell r="E320">
            <v>0</v>
          </cell>
          <cell r="F320">
            <v>0</v>
          </cell>
          <cell r="G320">
            <v>0</v>
          </cell>
          <cell r="H320">
            <v>0</v>
          </cell>
          <cell r="I320">
            <v>0</v>
          </cell>
          <cell r="J320">
            <v>1065759.0576951939</v>
          </cell>
        </row>
        <row r="321">
          <cell r="A321">
            <v>304</v>
          </cell>
          <cell r="B321">
            <v>67997</v>
          </cell>
          <cell r="C321">
            <v>0</v>
          </cell>
          <cell r="D321">
            <v>272859.94110595033</v>
          </cell>
          <cell r="E321">
            <v>0</v>
          </cell>
          <cell r="F321">
            <v>0</v>
          </cell>
          <cell r="G321">
            <v>0</v>
          </cell>
          <cell r="H321">
            <v>0</v>
          </cell>
          <cell r="I321">
            <v>0</v>
          </cell>
          <cell r="J321">
            <v>1065759.0576951939</v>
          </cell>
        </row>
        <row r="322">
          <cell r="A322">
            <v>305</v>
          </cell>
          <cell r="B322">
            <v>68089</v>
          </cell>
          <cell r="C322">
            <v>0</v>
          </cell>
          <cell r="D322">
            <v>272859.94110595033</v>
          </cell>
          <cell r="E322">
            <v>0</v>
          </cell>
          <cell r="F322">
            <v>0</v>
          </cell>
          <cell r="G322">
            <v>0</v>
          </cell>
          <cell r="H322">
            <v>0</v>
          </cell>
          <cell r="I322">
            <v>0</v>
          </cell>
          <cell r="J322">
            <v>1065759.0576951939</v>
          </cell>
        </row>
        <row r="323">
          <cell r="A323">
            <v>306</v>
          </cell>
          <cell r="B323">
            <v>68181</v>
          </cell>
          <cell r="C323">
            <v>0</v>
          </cell>
          <cell r="D323">
            <v>272859.94110595033</v>
          </cell>
          <cell r="E323">
            <v>0</v>
          </cell>
          <cell r="F323">
            <v>0</v>
          </cell>
          <cell r="G323">
            <v>0</v>
          </cell>
          <cell r="H323">
            <v>0</v>
          </cell>
          <cell r="I323">
            <v>0</v>
          </cell>
          <cell r="J323">
            <v>1065759.0576951939</v>
          </cell>
        </row>
        <row r="324">
          <cell r="A324">
            <v>307</v>
          </cell>
          <cell r="B324">
            <v>68272</v>
          </cell>
          <cell r="C324">
            <v>0</v>
          </cell>
          <cell r="D324">
            <v>272859.94110595033</v>
          </cell>
          <cell r="E324">
            <v>0</v>
          </cell>
          <cell r="F324">
            <v>0</v>
          </cell>
          <cell r="G324">
            <v>0</v>
          </cell>
          <cell r="H324">
            <v>0</v>
          </cell>
          <cell r="I324">
            <v>0</v>
          </cell>
          <cell r="J324">
            <v>1065759.0576951939</v>
          </cell>
        </row>
        <row r="325">
          <cell r="A325">
            <v>308</v>
          </cell>
          <cell r="B325">
            <v>68362</v>
          </cell>
          <cell r="C325">
            <v>0</v>
          </cell>
          <cell r="D325">
            <v>272859.94110595033</v>
          </cell>
          <cell r="E325">
            <v>0</v>
          </cell>
          <cell r="F325">
            <v>0</v>
          </cell>
          <cell r="G325">
            <v>0</v>
          </cell>
          <cell r="H325">
            <v>0</v>
          </cell>
          <cell r="I325">
            <v>0</v>
          </cell>
          <cell r="J325">
            <v>1065759.0576951939</v>
          </cell>
        </row>
        <row r="326">
          <cell r="A326">
            <v>309</v>
          </cell>
          <cell r="B326">
            <v>68454</v>
          </cell>
          <cell r="C326">
            <v>0</v>
          </cell>
          <cell r="D326">
            <v>272859.94110595033</v>
          </cell>
          <cell r="E326">
            <v>0</v>
          </cell>
          <cell r="F326">
            <v>0</v>
          </cell>
          <cell r="G326">
            <v>0</v>
          </cell>
          <cell r="H326">
            <v>0</v>
          </cell>
          <cell r="I326">
            <v>0</v>
          </cell>
          <cell r="J326">
            <v>1065759.0576951939</v>
          </cell>
        </row>
        <row r="327">
          <cell r="A327">
            <v>310</v>
          </cell>
          <cell r="B327">
            <v>68546</v>
          </cell>
          <cell r="C327">
            <v>0</v>
          </cell>
          <cell r="D327">
            <v>272859.94110595033</v>
          </cell>
          <cell r="E327">
            <v>0</v>
          </cell>
          <cell r="F327">
            <v>0</v>
          </cell>
          <cell r="G327">
            <v>0</v>
          </cell>
          <cell r="H327">
            <v>0</v>
          </cell>
          <cell r="I327">
            <v>0</v>
          </cell>
          <cell r="J327">
            <v>1065759.0576951939</v>
          </cell>
        </row>
        <row r="328">
          <cell r="A328">
            <v>311</v>
          </cell>
          <cell r="B328">
            <v>68637</v>
          </cell>
          <cell r="C328">
            <v>0</v>
          </cell>
          <cell r="D328">
            <v>272859.94110595033</v>
          </cell>
          <cell r="E328">
            <v>0</v>
          </cell>
          <cell r="F328">
            <v>0</v>
          </cell>
          <cell r="G328">
            <v>0</v>
          </cell>
          <cell r="H328">
            <v>0</v>
          </cell>
          <cell r="I328">
            <v>0</v>
          </cell>
          <cell r="J328">
            <v>1065759.0576951939</v>
          </cell>
        </row>
        <row r="329">
          <cell r="A329">
            <v>312</v>
          </cell>
          <cell r="B329">
            <v>68728</v>
          </cell>
          <cell r="C329">
            <v>0</v>
          </cell>
          <cell r="D329">
            <v>272859.94110595033</v>
          </cell>
          <cell r="E329">
            <v>0</v>
          </cell>
          <cell r="F329">
            <v>0</v>
          </cell>
          <cell r="G329">
            <v>0</v>
          </cell>
          <cell r="H329">
            <v>0</v>
          </cell>
          <cell r="I329">
            <v>0</v>
          </cell>
          <cell r="J329">
            <v>1065759.0576951939</v>
          </cell>
        </row>
        <row r="330">
          <cell r="A330">
            <v>313</v>
          </cell>
          <cell r="B330">
            <v>68820</v>
          </cell>
          <cell r="C330">
            <v>0</v>
          </cell>
          <cell r="D330">
            <v>272859.94110595033</v>
          </cell>
          <cell r="E330">
            <v>0</v>
          </cell>
          <cell r="F330">
            <v>0</v>
          </cell>
          <cell r="G330">
            <v>0</v>
          </cell>
          <cell r="H330">
            <v>0</v>
          </cell>
          <cell r="I330">
            <v>0</v>
          </cell>
          <cell r="J330">
            <v>1065759.0576951939</v>
          </cell>
        </row>
        <row r="331">
          <cell r="A331">
            <v>314</v>
          </cell>
          <cell r="B331">
            <v>68912</v>
          </cell>
          <cell r="C331">
            <v>0</v>
          </cell>
          <cell r="D331">
            <v>272859.94110595033</v>
          </cell>
          <cell r="E331">
            <v>0</v>
          </cell>
          <cell r="F331">
            <v>0</v>
          </cell>
          <cell r="G331">
            <v>0</v>
          </cell>
          <cell r="H331">
            <v>0</v>
          </cell>
          <cell r="I331">
            <v>0</v>
          </cell>
          <cell r="J331">
            <v>1065759.0576951939</v>
          </cell>
        </row>
        <row r="332">
          <cell r="A332">
            <v>315</v>
          </cell>
          <cell r="B332">
            <v>69003</v>
          </cell>
          <cell r="C332">
            <v>0</v>
          </cell>
          <cell r="D332">
            <v>272859.94110595033</v>
          </cell>
          <cell r="E332">
            <v>0</v>
          </cell>
          <cell r="F332">
            <v>0</v>
          </cell>
          <cell r="G332">
            <v>0</v>
          </cell>
          <cell r="H332">
            <v>0</v>
          </cell>
          <cell r="I332">
            <v>0</v>
          </cell>
          <cell r="J332">
            <v>1065759.0576951939</v>
          </cell>
        </row>
        <row r="333">
          <cell r="A333">
            <v>316</v>
          </cell>
          <cell r="B333">
            <v>69093</v>
          </cell>
          <cell r="C333">
            <v>0</v>
          </cell>
          <cell r="D333">
            <v>272859.94110595033</v>
          </cell>
          <cell r="E333">
            <v>0</v>
          </cell>
          <cell r="F333">
            <v>0</v>
          </cell>
          <cell r="G333">
            <v>0</v>
          </cell>
          <cell r="H333">
            <v>0</v>
          </cell>
          <cell r="I333">
            <v>0</v>
          </cell>
          <cell r="J333">
            <v>1065759.0576951939</v>
          </cell>
        </row>
        <row r="334">
          <cell r="A334">
            <v>317</v>
          </cell>
          <cell r="B334">
            <v>69185</v>
          </cell>
          <cell r="C334">
            <v>0</v>
          </cell>
          <cell r="D334">
            <v>272859.94110595033</v>
          </cell>
          <cell r="E334">
            <v>0</v>
          </cell>
          <cell r="F334">
            <v>0</v>
          </cell>
          <cell r="G334">
            <v>0</v>
          </cell>
          <cell r="H334">
            <v>0</v>
          </cell>
          <cell r="I334">
            <v>0</v>
          </cell>
          <cell r="J334">
            <v>1065759.0576951939</v>
          </cell>
        </row>
        <row r="335">
          <cell r="A335">
            <v>318</v>
          </cell>
          <cell r="B335">
            <v>69277</v>
          </cell>
          <cell r="C335">
            <v>0</v>
          </cell>
          <cell r="D335">
            <v>272859.94110595033</v>
          </cell>
          <cell r="E335">
            <v>0</v>
          </cell>
          <cell r="F335">
            <v>0</v>
          </cell>
          <cell r="G335">
            <v>0</v>
          </cell>
          <cell r="H335">
            <v>0</v>
          </cell>
          <cell r="I335">
            <v>0</v>
          </cell>
          <cell r="J335">
            <v>1065759.0576951939</v>
          </cell>
        </row>
        <row r="336">
          <cell r="A336">
            <v>319</v>
          </cell>
          <cell r="B336">
            <v>69368</v>
          </cell>
          <cell r="C336">
            <v>0</v>
          </cell>
          <cell r="D336">
            <v>272859.94110595033</v>
          </cell>
          <cell r="E336">
            <v>0</v>
          </cell>
          <cell r="F336">
            <v>0</v>
          </cell>
          <cell r="G336">
            <v>0</v>
          </cell>
          <cell r="H336">
            <v>0</v>
          </cell>
          <cell r="I336">
            <v>0</v>
          </cell>
          <cell r="J336">
            <v>1065759.0576951939</v>
          </cell>
        </row>
        <row r="337">
          <cell r="A337">
            <v>320</v>
          </cell>
          <cell r="B337">
            <v>69458</v>
          </cell>
          <cell r="C337">
            <v>0</v>
          </cell>
          <cell r="D337">
            <v>272859.94110595033</v>
          </cell>
          <cell r="E337">
            <v>0</v>
          </cell>
          <cell r="F337">
            <v>0</v>
          </cell>
          <cell r="G337">
            <v>0</v>
          </cell>
          <cell r="H337">
            <v>0</v>
          </cell>
          <cell r="I337">
            <v>0</v>
          </cell>
          <cell r="J337">
            <v>1065759.0576951939</v>
          </cell>
        </row>
        <row r="338">
          <cell r="A338">
            <v>321</v>
          </cell>
          <cell r="B338">
            <v>69550</v>
          </cell>
          <cell r="C338">
            <v>0</v>
          </cell>
          <cell r="D338">
            <v>272859.94110595033</v>
          </cell>
          <cell r="E338">
            <v>0</v>
          </cell>
          <cell r="F338">
            <v>0</v>
          </cell>
          <cell r="G338">
            <v>0</v>
          </cell>
          <cell r="H338">
            <v>0</v>
          </cell>
          <cell r="I338">
            <v>0</v>
          </cell>
          <cell r="J338">
            <v>1065759.0576951939</v>
          </cell>
        </row>
        <row r="339">
          <cell r="A339">
            <v>322</v>
          </cell>
          <cell r="B339">
            <v>69642</v>
          </cell>
          <cell r="C339">
            <v>0</v>
          </cell>
          <cell r="D339">
            <v>272859.94110595033</v>
          </cell>
          <cell r="E339">
            <v>0</v>
          </cell>
          <cell r="F339">
            <v>0</v>
          </cell>
          <cell r="G339">
            <v>0</v>
          </cell>
          <cell r="H339">
            <v>0</v>
          </cell>
          <cell r="I339">
            <v>0</v>
          </cell>
          <cell r="J339">
            <v>1065759.0576951939</v>
          </cell>
        </row>
        <row r="340">
          <cell r="A340">
            <v>323</v>
          </cell>
          <cell r="B340">
            <v>69733</v>
          </cell>
          <cell r="C340">
            <v>0</v>
          </cell>
          <cell r="D340">
            <v>272859.94110595033</v>
          </cell>
          <cell r="E340">
            <v>0</v>
          </cell>
          <cell r="F340">
            <v>0</v>
          </cell>
          <cell r="G340">
            <v>0</v>
          </cell>
          <cell r="H340">
            <v>0</v>
          </cell>
          <cell r="I340">
            <v>0</v>
          </cell>
          <cell r="J340">
            <v>1065759.0576951939</v>
          </cell>
        </row>
        <row r="341">
          <cell r="A341">
            <v>324</v>
          </cell>
          <cell r="B341">
            <v>69823</v>
          </cell>
          <cell r="C341">
            <v>0</v>
          </cell>
          <cell r="D341">
            <v>272859.94110595033</v>
          </cell>
          <cell r="E341">
            <v>0</v>
          </cell>
          <cell r="F341">
            <v>0</v>
          </cell>
          <cell r="G341">
            <v>0</v>
          </cell>
          <cell r="H341">
            <v>0</v>
          </cell>
          <cell r="I341">
            <v>0</v>
          </cell>
          <cell r="J341">
            <v>1065759.0576951939</v>
          </cell>
        </row>
        <row r="342">
          <cell r="A342">
            <v>325</v>
          </cell>
          <cell r="B342">
            <v>69915</v>
          </cell>
          <cell r="C342">
            <v>0</v>
          </cell>
          <cell r="D342">
            <v>272859.94110595033</v>
          </cell>
          <cell r="E342">
            <v>0</v>
          </cell>
          <cell r="F342">
            <v>0</v>
          </cell>
          <cell r="G342">
            <v>0</v>
          </cell>
          <cell r="H342">
            <v>0</v>
          </cell>
          <cell r="I342">
            <v>0</v>
          </cell>
          <cell r="J342">
            <v>1065759.0576951939</v>
          </cell>
        </row>
        <row r="343">
          <cell r="A343">
            <v>326</v>
          </cell>
          <cell r="B343">
            <v>70007</v>
          </cell>
          <cell r="C343">
            <v>0</v>
          </cell>
          <cell r="D343">
            <v>272859.94110595033</v>
          </cell>
          <cell r="E343">
            <v>0</v>
          </cell>
          <cell r="F343">
            <v>0</v>
          </cell>
          <cell r="G343">
            <v>0</v>
          </cell>
          <cell r="H343">
            <v>0</v>
          </cell>
          <cell r="I343">
            <v>0</v>
          </cell>
          <cell r="J343">
            <v>1065759.0576951939</v>
          </cell>
        </row>
        <row r="344">
          <cell r="A344">
            <v>327</v>
          </cell>
          <cell r="B344">
            <v>70098</v>
          </cell>
          <cell r="C344">
            <v>0</v>
          </cell>
          <cell r="D344">
            <v>272859.94110595033</v>
          </cell>
          <cell r="E344">
            <v>0</v>
          </cell>
          <cell r="F344">
            <v>0</v>
          </cell>
          <cell r="G344">
            <v>0</v>
          </cell>
          <cell r="H344">
            <v>0</v>
          </cell>
          <cell r="I344">
            <v>0</v>
          </cell>
          <cell r="J344">
            <v>1065759.0576951939</v>
          </cell>
        </row>
        <row r="345">
          <cell r="A345">
            <v>328</v>
          </cell>
          <cell r="B345">
            <v>70189</v>
          </cell>
          <cell r="C345">
            <v>0</v>
          </cell>
          <cell r="D345">
            <v>272859.94110595033</v>
          </cell>
          <cell r="E345">
            <v>0</v>
          </cell>
          <cell r="F345">
            <v>0</v>
          </cell>
          <cell r="G345">
            <v>0</v>
          </cell>
          <cell r="H345">
            <v>0</v>
          </cell>
          <cell r="I345">
            <v>0</v>
          </cell>
          <cell r="J345">
            <v>1065759.0576951939</v>
          </cell>
        </row>
        <row r="346">
          <cell r="A346">
            <v>329</v>
          </cell>
          <cell r="B346">
            <v>70281</v>
          </cell>
          <cell r="C346">
            <v>0</v>
          </cell>
          <cell r="D346">
            <v>272859.94110595033</v>
          </cell>
          <cell r="E346">
            <v>0</v>
          </cell>
          <cell r="F346">
            <v>0</v>
          </cell>
          <cell r="G346">
            <v>0</v>
          </cell>
          <cell r="H346">
            <v>0</v>
          </cell>
          <cell r="I346">
            <v>0</v>
          </cell>
          <cell r="J346">
            <v>1065759.0576951939</v>
          </cell>
        </row>
        <row r="347">
          <cell r="A347">
            <v>330</v>
          </cell>
          <cell r="B347">
            <v>70373</v>
          </cell>
          <cell r="C347">
            <v>0</v>
          </cell>
          <cell r="D347">
            <v>272859.94110595033</v>
          </cell>
          <cell r="E347">
            <v>0</v>
          </cell>
          <cell r="F347">
            <v>0</v>
          </cell>
          <cell r="G347">
            <v>0</v>
          </cell>
          <cell r="H347">
            <v>0</v>
          </cell>
          <cell r="I347">
            <v>0</v>
          </cell>
          <cell r="J347">
            <v>1065759.0576951939</v>
          </cell>
        </row>
        <row r="348">
          <cell r="A348">
            <v>331</v>
          </cell>
          <cell r="B348">
            <v>70464</v>
          </cell>
          <cell r="C348">
            <v>0</v>
          </cell>
          <cell r="D348">
            <v>272859.94110595033</v>
          </cell>
          <cell r="E348">
            <v>0</v>
          </cell>
          <cell r="F348">
            <v>0</v>
          </cell>
          <cell r="G348">
            <v>0</v>
          </cell>
          <cell r="H348">
            <v>0</v>
          </cell>
          <cell r="I348">
            <v>0</v>
          </cell>
          <cell r="J348">
            <v>1065759.0576951939</v>
          </cell>
        </row>
        <row r="349">
          <cell r="A349">
            <v>332</v>
          </cell>
          <cell r="B349">
            <v>70554</v>
          </cell>
          <cell r="C349">
            <v>0</v>
          </cell>
          <cell r="D349">
            <v>272859.94110595033</v>
          </cell>
          <cell r="E349">
            <v>0</v>
          </cell>
          <cell r="F349">
            <v>0</v>
          </cell>
          <cell r="G349">
            <v>0</v>
          </cell>
          <cell r="H349">
            <v>0</v>
          </cell>
          <cell r="I349">
            <v>0</v>
          </cell>
          <cell r="J349">
            <v>1065759.0576951939</v>
          </cell>
        </row>
        <row r="350">
          <cell r="A350">
            <v>333</v>
          </cell>
          <cell r="B350">
            <v>70646</v>
          </cell>
          <cell r="C350">
            <v>0</v>
          </cell>
          <cell r="D350">
            <v>272859.94110595033</v>
          </cell>
          <cell r="E350">
            <v>0</v>
          </cell>
          <cell r="F350">
            <v>0</v>
          </cell>
          <cell r="G350">
            <v>0</v>
          </cell>
          <cell r="H350">
            <v>0</v>
          </cell>
          <cell r="I350">
            <v>0</v>
          </cell>
          <cell r="J350">
            <v>1065759.0576951939</v>
          </cell>
        </row>
        <row r="351">
          <cell r="A351">
            <v>334</v>
          </cell>
          <cell r="B351">
            <v>70738</v>
          </cell>
          <cell r="C351">
            <v>0</v>
          </cell>
          <cell r="D351">
            <v>272859.94110595033</v>
          </cell>
          <cell r="E351">
            <v>0</v>
          </cell>
          <cell r="F351">
            <v>0</v>
          </cell>
          <cell r="G351">
            <v>0</v>
          </cell>
          <cell r="H351">
            <v>0</v>
          </cell>
          <cell r="I351">
            <v>0</v>
          </cell>
          <cell r="J351">
            <v>1065759.0576951939</v>
          </cell>
        </row>
        <row r="352">
          <cell r="A352">
            <v>335</v>
          </cell>
          <cell r="B352">
            <v>70829</v>
          </cell>
          <cell r="C352">
            <v>0</v>
          </cell>
          <cell r="D352">
            <v>272859.94110595033</v>
          </cell>
          <cell r="E352">
            <v>0</v>
          </cell>
          <cell r="F352">
            <v>0</v>
          </cell>
          <cell r="G352">
            <v>0</v>
          </cell>
          <cell r="H352">
            <v>0</v>
          </cell>
          <cell r="I352">
            <v>0</v>
          </cell>
          <cell r="J352">
            <v>1065759.0576951939</v>
          </cell>
        </row>
        <row r="353">
          <cell r="A353">
            <v>336</v>
          </cell>
          <cell r="B353">
            <v>70919</v>
          </cell>
          <cell r="C353">
            <v>0</v>
          </cell>
          <cell r="D353">
            <v>272859.94110595033</v>
          </cell>
          <cell r="E353">
            <v>0</v>
          </cell>
          <cell r="F353">
            <v>0</v>
          </cell>
          <cell r="G353">
            <v>0</v>
          </cell>
          <cell r="H353">
            <v>0</v>
          </cell>
          <cell r="I353">
            <v>0</v>
          </cell>
          <cell r="J353">
            <v>1065759.0576951939</v>
          </cell>
        </row>
        <row r="354">
          <cell r="A354">
            <v>337</v>
          </cell>
          <cell r="B354">
            <v>71011</v>
          </cell>
          <cell r="C354">
            <v>0</v>
          </cell>
          <cell r="D354">
            <v>272859.94110595033</v>
          </cell>
          <cell r="E354">
            <v>0</v>
          </cell>
          <cell r="F354">
            <v>0</v>
          </cell>
          <cell r="G354">
            <v>0</v>
          </cell>
          <cell r="H354">
            <v>0</v>
          </cell>
          <cell r="I354">
            <v>0</v>
          </cell>
          <cell r="J354">
            <v>1065759.0576951939</v>
          </cell>
        </row>
        <row r="355">
          <cell r="A355">
            <v>338</v>
          </cell>
          <cell r="B355">
            <v>71103</v>
          </cell>
          <cell r="C355">
            <v>0</v>
          </cell>
          <cell r="D355">
            <v>272859.94110595033</v>
          </cell>
          <cell r="E355">
            <v>0</v>
          </cell>
          <cell r="F355">
            <v>0</v>
          </cell>
          <cell r="G355">
            <v>0</v>
          </cell>
          <cell r="H355">
            <v>0</v>
          </cell>
          <cell r="I355">
            <v>0</v>
          </cell>
          <cell r="J355">
            <v>1065759.0576951939</v>
          </cell>
        </row>
        <row r="356">
          <cell r="A356">
            <v>339</v>
          </cell>
          <cell r="B356">
            <v>71194</v>
          </cell>
          <cell r="C356">
            <v>0</v>
          </cell>
          <cell r="D356">
            <v>272859.94110595033</v>
          </cell>
          <cell r="E356">
            <v>0</v>
          </cell>
          <cell r="F356">
            <v>0</v>
          </cell>
          <cell r="G356">
            <v>0</v>
          </cell>
          <cell r="H356">
            <v>0</v>
          </cell>
          <cell r="I356">
            <v>0</v>
          </cell>
          <cell r="J356">
            <v>1065759.0576951939</v>
          </cell>
        </row>
        <row r="357">
          <cell r="A357">
            <v>340</v>
          </cell>
          <cell r="B357">
            <v>71284</v>
          </cell>
          <cell r="C357">
            <v>0</v>
          </cell>
          <cell r="D357">
            <v>272859.94110595033</v>
          </cell>
          <cell r="E357">
            <v>0</v>
          </cell>
          <cell r="F357">
            <v>0</v>
          </cell>
          <cell r="G357">
            <v>0</v>
          </cell>
          <cell r="H357">
            <v>0</v>
          </cell>
          <cell r="I357">
            <v>0</v>
          </cell>
          <cell r="J357">
            <v>1065759.0576951939</v>
          </cell>
        </row>
        <row r="358">
          <cell r="A358">
            <v>341</v>
          </cell>
          <cell r="B358">
            <v>71376</v>
          </cell>
          <cell r="C358">
            <v>0</v>
          </cell>
          <cell r="D358">
            <v>272859.94110595033</v>
          </cell>
          <cell r="E358">
            <v>0</v>
          </cell>
          <cell r="F358">
            <v>0</v>
          </cell>
          <cell r="G358">
            <v>0</v>
          </cell>
          <cell r="H358">
            <v>0</v>
          </cell>
          <cell r="I358">
            <v>0</v>
          </cell>
          <cell r="J358">
            <v>1065759.0576951939</v>
          </cell>
        </row>
        <row r="359">
          <cell r="A359">
            <v>342</v>
          </cell>
          <cell r="B359">
            <v>71468</v>
          </cell>
          <cell r="C359">
            <v>0</v>
          </cell>
          <cell r="D359">
            <v>272859.94110595033</v>
          </cell>
          <cell r="E359">
            <v>0</v>
          </cell>
          <cell r="F359">
            <v>0</v>
          </cell>
          <cell r="G359">
            <v>0</v>
          </cell>
          <cell r="H359">
            <v>0</v>
          </cell>
          <cell r="I359">
            <v>0</v>
          </cell>
          <cell r="J359">
            <v>1065759.0576951939</v>
          </cell>
        </row>
        <row r="360">
          <cell r="A360">
            <v>343</v>
          </cell>
          <cell r="B360">
            <v>71559</v>
          </cell>
          <cell r="C360">
            <v>0</v>
          </cell>
          <cell r="D360">
            <v>272859.94110595033</v>
          </cell>
          <cell r="E360">
            <v>0</v>
          </cell>
          <cell r="F360">
            <v>0</v>
          </cell>
          <cell r="G360">
            <v>0</v>
          </cell>
          <cell r="H360">
            <v>0</v>
          </cell>
          <cell r="I360">
            <v>0</v>
          </cell>
          <cell r="J360">
            <v>1065759.0576951939</v>
          </cell>
        </row>
        <row r="361">
          <cell r="A361">
            <v>344</v>
          </cell>
          <cell r="B361">
            <v>71650</v>
          </cell>
          <cell r="C361">
            <v>0</v>
          </cell>
          <cell r="D361">
            <v>272859.94110595033</v>
          </cell>
          <cell r="E361">
            <v>0</v>
          </cell>
          <cell r="F361">
            <v>0</v>
          </cell>
          <cell r="G361">
            <v>0</v>
          </cell>
          <cell r="H361">
            <v>0</v>
          </cell>
          <cell r="I361">
            <v>0</v>
          </cell>
          <cell r="J361">
            <v>1065759.0576951939</v>
          </cell>
        </row>
        <row r="362">
          <cell r="A362">
            <v>345</v>
          </cell>
          <cell r="B362">
            <v>71742</v>
          </cell>
          <cell r="C362">
            <v>0</v>
          </cell>
          <cell r="D362">
            <v>272859.94110595033</v>
          </cell>
          <cell r="E362">
            <v>0</v>
          </cell>
          <cell r="F362">
            <v>0</v>
          </cell>
          <cell r="G362">
            <v>0</v>
          </cell>
          <cell r="H362">
            <v>0</v>
          </cell>
          <cell r="I362">
            <v>0</v>
          </cell>
          <cell r="J362">
            <v>1065759.0576951939</v>
          </cell>
        </row>
        <row r="363">
          <cell r="A363">
            <v>346</v>
          </cell>
          <cell r="B363">
            <v>71834</v>
          </cell>
          <cell r="C363">
            <v>0</v>
          </cell>
          <cell r="D363">
            <v>272859.94110595033</v>
          </cell>
          <cell r="E363">
            <v>0</v>
          </cell>
          <cell r="F363">
            <v>0</v>
          </cell>
          <cell r="G363">
            <v>0</v>
          </cell>
          <cell r="H363">
            <v>0</v>
          </cell>
          <cell r="I363">
            <v>0</v>
          </cell>
          <cell r="J363">
            <v>1065759.0576951939</v>
          </cell>
        </row>
        <row r="364">
          <cell r="A364">
            <v>347</v>
          </cell>
          <cell r="B364">
            <v>71925</v>
          </cell>
          <cell r="C364">
            <v>0</v>
          </cell>
          <cell r="D364">
            <v>272859.94110595033</v>
          </cell>
          <cell r="E364">
            <v>0</v>
          </cell>
          <cell r="F364">
            <v>0</v>
          </cell>
          <cell r="G364">
            <v>0</v>
          </cell>
          <cell r="H364">
            <v>0</v>
          </cell>
          <cell r="I364">
            <v>0</v>
          </cell>
          <cell r="J364">
            <v>1065759.0576951939</v>
          </cell>
        </row>
        <row r="365">
          <cell r="A365">
            <v>348</v>
          </cell>
          <cell r="B365">
            <v>72015</v>
          </cell>
          <cell r="C365">
            <v>0</v>
          </cell>
          <cell r="D365">
            <v>272859.94110595033</v>
          </cell>
          <cell r="E365">
            <v>0</v>
          </cell>
          <cell r="F365">
            <v>0</v>
          </cell>
          <cell r="G365">
            <v>0</v>
          </cell>
          <cell r="H365">
            <v>0</v>
          </cell>
          <cell r="I365">
            <v>0</v>
          </cell>
          <cell r="J365">
            <v>1065759.0576951939</v>
          </cell>
        </row>
        <row r="366">
          <cell r="A366">
            <v>349</v>
          </cell>
          <cell r="B366">
            <v>72107</v>
          </cell>
          <cell r="C366">
            <v>0</v>
          </cell>
          <cell r="D366">
            <v>272859.94110595033</v>
          </cell>
          <cell r="E366">
            <v>0</v>
          </cell>
          <cell r="F366">
            <v>0</v>
          </cell>
          <cell r="G366">
            <v>0</v>
          </cell>
          <cell r="H366">
            <v>0</v>
          </cell>
          <cell r="I366">
            <v>0</v>
          </cell>
          <cell r="J366">
            <v>1065759.0576951939</v>
          </cell>
        </row>
        <row r="367">
          <cell r="A367">
            <v>350</v>
          </cell>
          <cell r="B367">
            <v>72199</v>
          </cell>
          <cell r="C367">
            <v>0</v>
          </cell>
          <cell r="D367">
            <v>272859.94110595033</v>
          </cell>
          <cell r="E367">
            <v>0</v>
          </cell>
          <cell r="F367">
            <v>0</v>
          </cell>
          <cell r="G367">
            <v>0</v>
          </cell>
          <cell r="H367">
            <v>0</v>
          </cell>
          <cell r="I367">
            <v>0</v>
          </cell>
          <cell r="J367">
            <v>1065759.0576951939</v>
          </cell>
        </row>
        <row r="368">
          <cell r="A368">
            <v>351</v>
          </cell>
          <cell r="B368">
            <v>72290</v>
          </cell>
          <cell r="C368">
            <v>0</v>
          </cell>
          <cell r="D368">
            <v>272859.94110595033</v>
          </cell>
          <cell r="E368">
            <v>0</v>
          </cell>
          <cell r="F368">
            <v>0</v>
          </cell>
          <cell r="G368">
            <v>0</v>
          </cell>
          <cell r="H368">
            <v>0</v>
          </cell>
          <cell r="I368">
            <v>0</v>
          </cell>
          <cell r="J368">
            <v>1065759.0576951939</v>
          </cell>
        </row>
        <row r="369">
          <cell r="A369">
            <v>352</v>
          </cell>
          <cell r="B369">
            <v>72380</v>
          </cell>
          <cell r="C369">
            <v>0</v>
          </cell>
          <cell r="D369">
            <v>272859.94110595033</v>
          </cell>
          <cell r="E369">
            <v>0</v>
          </cell>
          <cell r="F369">
            <v>0</v>
          </cell>
          <cell r="G369">
            <v>0</v>
          </cell>
          <cell r="H369">
            <v>0</v>
          </cell>
          <cell r="I369">
            <v>0</v>
          </cell>
          <cell r="J369">
            <v>1065759.0576951939</v>
          </cell>
        </row>
        <row r="370">
          <cell r="A370">
            <v>353</v>
          </cell>
          <cell r="B370">
            <v>72472</v>
          </cell>
          <cell r="C370">
            <v>0</v>
          </cell>
          <cell r="D370">
            <v>272859.94110595033</v>
          </cell>
          <cell r="E370">
            <v>0</v>
          </cell>
          <cell r="F370">
            <v>0</v>
          </cell>
          <cell r="G370">
            <v>0</v>
          </cell>
          <cell r="H370">
            <v>0</v>
          </cell>
          <cell r="I370">
            <v>0</v>
          </cell>
          <cell r="J370">
            <v>1065759.0576951939</v>
          </cell>
        </row>
        <row r="371">
          <cell r="A371">
            <v>354</v>
          </cell>
          <cell r="B371">
            <v>72564</v>
          </cell>
          <cell r="C371">
            <v>0</v>
          </cell>
          <cell r="D371">
            <v>272859.94110595033</v>
          </cell>
          <cell r="E371">
            <v>0</v>
          </cell>
          <cell r="F371">
            <v>0</v>
          </cell>
          <cell r="G371">
            <v>0</v>
          </cell>
          <cell r="H371">
            <v>0</v>
          </cell>
          <cell r="I371">
            <v>0</v>
          </cell>
          <cell r="J371">
            <v>1065759.0576951939</v>
          </cell>
        </row>
        <row r="372">
          <cell r="A372">
            <v>355</v>
          </cell>
          <cell r="B372">
            <v>72655</v>
          </cell>
          <cell r="C372">
            <v>0</v>
          </cell>
          <cell r="D372">
            <v>272859.94110595033</v>
          </cell>
          <cell r="E372">
            <v>0</v>
          </cell>
          <cell r="F372">
            <v>0</v>
          </cell>
          <cell r="G372">
            <v>0</v>
          </cell>
          <cell r="H372">
            <v>0</v>
          </cell>
          <cell r="I372">
            <v>0</v>
          </cell>
          <cell r="J372">
            <v>1065759.0576951939</v>
          </cell>
        </row>
        <row r="373">
          <cell r="A373">
            <v>356</v>
          </cell>
          <cell r="B373">
            <v>72745</v>
          </cell>
          <cell r="C373">
            <v>0</v>
          </cell>
          <cell r="D373">
            <v>272859.94110595033</v>
          </cell>
          <cell r="E373">
            <v>0</v>
          </cell>
          <cell r="F373">
            <v>0</v>
          </cell>
          <cell r="G373">
            <v>0</v>
          </cell>
          <cell r="H373">
            <v>0</v>
          </cell>
          <cell r="I373">
            <v>0</v>
          </cell>
          <cell r="J373">
            <v>1065759.0576951939</v>
          </cell>
        </row>
        <row r="374">
          <cell r="A374">
            <v>357</v>
          </cell>
          <cell r="B374">
            <v>72837</v>
          </cell>
          <cell r="C374">
            <v>0</v>
          </cell>
          <cell r="D374">
            <v>272859.94110595033</v>
          </cell>
          <cell r="E374">
            <v>0</v>
          </cell>
          <cell r="F374">
            <v>0</v>
          </cell>
          <cell r="G374">
            <v>0</v>
          </cell>
          <cell r="H374">
            <v>0</v>
          </cell>
          <cell r="I374">
            <v>0</v>
          </cell>
          <cell r="J374">
            <v>1065759.0576951939</v>
          </cell>
        </row>
        <row r="375">
          <cell r="A375">
            <v>358</v>
          </cell>
          <cell r="B375">
            <v>72929</v>
          </cell>
          <cell r="C375">
            <v>0</v>
          </cell>
          <cell r="D375">
            <v>272859.94110595033</v>
          </cell>
          <cell r="E375">
            <v>0</v>
          </cell>
          <cell r="F375">
            <v>0</v>
          </cell>
          <cell r="G375">
            <v>0</v>
          </cell>
          <cell r="H375">
            <v>0</v>
          </cell>
          <cell r="I375">
            <v>0</v>
          </cell>
          <cell r="J375">
            <v>1065759.0576951939</v>
          </cell>
        </row>
        <row r="376">
          <cell r="A376">
            <v>359</v>
          </cell>
          <cell r="B376">
            <v>73020</v>
          </cell>
          <cell r="C376">
            <v>0</v>
          </cell>
          <cell r="D376">
            <v>272859.94110595033</v>
          </cell>
          <cell r="E376">
            <v>0</v>
          </cell>
          <cell r="F376">
            <v>0</v>
          </cell>
          <cell r="G376">
            <v>0</v>
          </cell>
          <cell r="H376">
            <v>0</v>
          </cell>
          <cell r="I376">
            <v>0</v>
          </cell>
          <cell r="J376">
            <v>1065759.0576951939</v>
          </cell>
        </row>
        <row r="377">
          <cell r="A377">
            <v>360</v>
          </cell>
          <cell r="B377">
            <v>73110</v>
          </cell>
          <cell r="C377">
            <v>0</v>
          </cell>
          <cell r="D377">
            <v>272859.94110595033</v>
          </cell>
          <cell r="E377">
            <v>0</v>
          </cell>
          <cell r="F377">
            <v>0</v>
          </cell>
          <cell r="G377">
            <v>0</v>
          </cell>
          <cell r="H377">
            <v>0</v>
          </cell>
          <cell r="I377">
            <v>0</v>
          </cell>
          <cell r="J377">
            <v>1065759.0576951939</v>
          </cell>
        </row>
        <row r="378">
          <cell r="A378">
            <v>361</v>
          </cell>
          <cell r="B378">
            <v>73202</v>
          </cell>
          <cell r="C378">
            <v>0</v>
          </cell>
          <cell r="D378">
            <v>272859.94110595033</v>
          </cell>
          <cell r="E378">
            <v>0</v>
          </cell>
          <cell r="F378">
            <v>0</v>
          </cell>
          <cell r="G378">
            <v>0</v>
          </cell>
          <cell r="H378">
            <v>0</v>
          </cell>
          <cell r="I378">
            <v>0</v>
          </cell>
          <cell r="J378">
            <v>1065759.0576951939</v>
          </cell>
        </row>
        <row r="379">
          <cell r="A379">
            <v>362</v>
          </cell>
          <cell r="B379">
            <v>73294</v>
          </cell>
          <cell r="C379">
            <v>0</v>
          </cell>
          <cell r="D379">
            <v>272859.94110595033</v>
          </cell>
          <cell r="E379">
            <v>0</v>
          </cell>
          <cell r="F379">
            <v>0</v>
          </cell>
          <cell r="G379">
            <v>0</v>
          </cell>
          <cell r="H379">
            <v>0</v>
          </cell>
          <cell r="I379">
            <v>0</v>
          </cell>
          <cell r="J379">
            <v>1065759.0576951939</v>
          </cell>
        </row>
        <row r="380">
          <cell r="A380">
            <v>363</v>
          </cell>
          <cell r="B380">
            <v>73385</v>
          </cell>
          <cell r="C380">
            <v>0</v>
          </cell>
          <cell r="D380">
            <v>272859.94110595033</v>
          </cell>
          <cell r="E380">
            <v>0</v>
          </cell>
          <cell r="F380">
            <v>0</v>
          </cell>
          <cell r="G380">
            <v>0</v>
          </cell>
          <cell r="H380">
            <v>0</v>
          </cell>
          <cell r="I380">
            <v>0</v>
          </cell>
          <cell r="J380">
            <v>1065759.0576951939</v>
          </cell>
        </row>
        <row r="381">
          <cell r="A381">
            <v>364</v>
          </cell>
          <cell r="B381">
            <v>73475</v>
          </cell>
          <cell r="C381">
            <v>0</v>
          </cell>
          <cell r="D381">
            <v>272859.94110595033</v>
          </cell>
          <cell r="E381">
            <v>0</v>
          </cell>
          <cell r="F381">
            <v>0</v>
          </cell>
          <cell r="G381">
            <v>0</v>
          </cell>
          <cell r="H381">
            <v>0</v>
          </cell>
          <cell r="I381">
            <v>0</v>
          </cell>
          <cell r="J381">
            <v>1065759.0576951939</v>
          </cell>
        </row>
        <row r="382">
          <cell r="A382">
            <v>365</v>
          </cell>
          <cell r="B382">
            <v>73567</v>
          </cell>
          <cell r="C382">
            <v>0</v>
          </cell>
          <cell r="D382">
            <v>272859.94110595033</v>
          </cell>
          <cell r="E382">
            <v>0</v>
          </cell>
          <cell r="F382">
            <v>0</v>
          </cell>
          <cell r="G382">
            <v>0</v>
          </cell>
          <cell r="H382">
            <v>0</v>
          </cell>
          <cell r="I382">
            <v>0</v>
          </cell>
          <cell r="J382">
            <v>1065759.0576951939</v>
          </cell>
        </row>
        <row r="383">
          <cell r="A383">
            <v>366</v>
          </cell>
          <cell r="B383">
            <v>73659</v>
          </cell>
          <cell r="C383">
            <v>0</v>
          </cell>
          <cell r="D383">
            <v>272859.94110595033</v>
          </cell>
          <cell r="E383">
            <v>0</v>
          </cell>
          <cell r="F383">
            <v>0</v>
          </cell>
          <cell r="G383">
            <v>0</v>
          </cell>
          <cell r="H383">
            <v>0</v>
          </cell>
          <cell r="I383">
            <v>0</v>
          </cell>
          <cell r="J383">
            <v>1065759.0576951939</v>
          </cell>
        </row>
        <row r="384">
          <cell r="A384">
            <v>367</v>
          </cell>
          <cell r="B384">
            <v>73750</v>
          </cell>
          <cell r="C384">
            <v>0</v>
          </cell>
          <cell r="D384">
            <v>272859.94110595033</v>
          </cell>
          <cell r="E384">
            <v>0</v>
          </cell>
          <cell r="F384">
            <v>0</v>
          </cell>
          <cell r="G384">
            <v>0</v>
          </cell>
          <cell r="H384">
            <v>0</v>
          </cell>
          <cell r="I384">
            <v>0</v>
          </cell>
          <cell r="J384">
            <v>1065759.0576951939</v>
          </cell>
        </row>
        <row r="385">
          <cell r="A385">
            <v>368</v>
          </cell>
          <cell r="B385">
            <v>73840</v>
          </cell>
          <cell r="C385">
            <v>0</v>
          </cell>
          <cell r="D385">
            <v>272859.94110595033</v>
          </cell>
          <cell r="E385">
            <v>0</v>
          </cell>
          <cell r="F385">
            <v>0</v>
          </cell>
          <cell r="G385">
            <v>0</v>
          </cell>
          <cell r="H385">
            <v>0</v>
          </cell>
          <cell r="I385">
            <v>0</v>
          </cell>
          <cell r="J385">
            <v>1065759.0576951939</v>
          </cell>
        </row>
        <row r="386">
          <cell r="A386">
            <v>369</v>
          </cell>
          <cell r="B386">
            <v>73932</v>
          </cell>
          <cell r="C386">
            <v>0</v>
          </cell>
          <cell r="D386">
            <v>272859.94110595033</v>
          </cell>
          <cell r="E386">
            <v>0</v>
          </cell>
          <cell r="F386">
            <v>0</v>
          </cell>
          <cell r="G386">
            <v>0</v>
          </cell>
          <cell r="H386">
            <v>0</v>
          </cell>
          <cell r="I386">
            <v>0</v>
          </cell>
          <cell r="J386">
            <v>1065759.0576951939</v>
          </cell>
        </row>
        <row r="387">
          <cell r="A387">
            <v>370</v>
          </cell>
          <cell r="B387">
            <v>74024</v>
          </cell>
          <cell r="C387">
            <v>0</v>
          </cell>
          <cell r="D387">
            <v>272859.94110595033</v>
          </cell>
          <cell r="E387">
            <v>0</v>
          </cell>
          <cell r="F387">
            <v>0</v>
          </cell>
          <cell r="G387">
            <v>0</v>
          </cell>
          <cell r="H387">
            <v>0</v>
          </cell>
          <cell r="I387">
            <v>0</v>
          </cell>
          <cell r="J387">
            <v>1065759.0576951939</v>
          </cell>
        </row>
        <row r="388">
          <cell r="A388">
            <v>371</v>
          </cell>
          <cell r="B388">
            <v>74115</v>
          </cell>
          <cell r="C388">
            <v>0</v>
          </cell>
          <cell r="D388">
            <v>272859.94110595033</v>
          </cell>
          <cell r="E388">
            <v>0</v>
          </cell>
          <cell r="F388">
            <v>0</v>
          </cell>
          <cell r="G388">
            <v>0</v>
          </cell>
          <cell r="H388">
            <v>0</v>
          </cell>
          <cell r="I388">
            <v>0</v>
          </cell>
          <cell r="J388">
            <v>1065759.0576951939</v>
          </cell>
        </row>
        <row r="389">
          <cell r="A389">
            <v>372</v>
          </cell>
          <cell r="B389">
            <v>74205</v>
          </cell>
          <cell r="C389">
            <v>0</v>
          </cell>
          <cell r="D389">
            <v>272859.94110595033</v>
          </cell>
          <cell r="E389">
            <v>0</v>
          </cell>
          <cell r="F389">
            <v>0</v>
          </cell>
          <cell r="G389">
            <v>0</v>
          </cell>
          <cell r="H389">
            <v>0</v>
          </cell>
          <cell r="I389">
            <v>0</v>
          </cell>
          <cell r="J389">
            <v>1065759.0576951939</v>
          </cell>
        </row>
        <row r="390">
          <cell r="A390">
            <v>373</v>
          </cell>
          <cell r="B390">
            <v>74297</v>
          </cell>
          <cell r="C390">
            <v>0</v>
          </cell>
          <cell r="D390">
            <v>272859.94110595033</v>
          </cell>
          <cell r="E390">
            <v>0</v>
          </cell>
          <cell r="F390">
            <v>0</v>
          </cell>
          <cell r="G390">
            <v>0</v>
          </cell>
          <cell r="H390">
            <v>0</v>
          </cell>
          <cell r="I390">
            <v>0</v>
          </cell>
          <cell r="J390">
            <v>1065759.0576951939</v>
          </cell>
        </row>
        <row r="391">
          <cell r="A391">
            <v>374</v>
          </cell>
          <cell r="B391">
            <v>74389</v>
          </cell>
          <cell r="C391">
            <v>0</v>
          </cell>
          <cell r="D391">
            <v>272859.94110595033</v>
          </cell>
          <cell r="E391">
            <v>0</v>
          </cell>
          <cell r="F391">
            <v>0</v>
          </cell>
          <cell r="G391">
            <v>0</v>
          </cell>
          <cell r="H391">
            <v>0</v>
          </cell>
          <cell r="I391">
            <v>0</v>
          </cell>
          <cell r="J391">
            <v>1065759.0576951939</v>
          </cell>
        </row>
        <row r="392">
          <cell r="A392">
            <v>375</v>
          </cell>
          <cell r="B392">
            <v>74480</v>
          </cell>
          <cell r="C392">
            <v>0</v>
          </cell>
          <cell r="D392">
            <v>272859.94110595033</v>
          </cell>
          <cell r="E392">
            <v>0</v>
          </cell>
          <cell r="F392">
            <v>0</v>
          </cell>
          <cell r="G392">
            <v>0</v>
          </cell>
          <cell r="H392">
            <v>0</v>
          </cell>
          <cell r="I392">
            <v>0</v>
          </cell>
          <cell r="J392">
            <v>1065759.0576951939</v>
          </cell>
        </row>
        <row r="393">
          <cell r="A393">
            <v>376</v>
          </cell>
          <cell r="B393">
            <v>74571</v>
          </cell>
          <cell r="C393">
            <v>0</v>
          </cell>
          <cell r="D393">
            <v>272859.94110595033</v>
          </cell>
          <cell r="E393">
            <v>0</v>
          </cell>
          <cell r="F393">
            <v>0</v>
          </cell>
          <cell r="G393">
            <v>0</v>
          </cell>
          <cell r="H393">
            <v>0</v>
          </cell>
          <cell r="I393">
            <v>0</v>
          </cell>
          <cell r="J393">
            <v>1065759.0576951939</v>
          </cell>
        </row>
        <row r="394">
          <cell r="A394">
            <v>377</v>
          </cell>
          <cell r="B394">
            <v>74663</v>
          </cell>
          <cell r="C394">
            <v>0</v>
          </cell>
          <cell r="D394">
            <v>272859.94110595033</v>
          </cell>
          <cell r="E394">
            <v>0</v>
          </cell>
          <cell r="F394">
            <v>0</v>
          </cell>
          <cell r="G394">
            <v>0</v>
          </cell>
          <cell r="H394">
            <v>0</v>
          </cell>
          <cell r="I394">
            <v>0</v>
          </cell>
          <cell r="J394">
            <v>1065759.0576951939</v>
          </cell>
        </row>
        <row r="395">
          <cell r="A395">
            <v>378</v>
          </cell>
          <cell r="B395">
            <v>74755</v>
          </cell>
          <cell r="C395">
            <v>0</v>
          </cell>
          <cell r="D395">
            <v>272859.94110595033</v>
          </cell>
          <cell r="E395">
            <v>0</v>
          </cell>
          <cell r="F395">
            <v>0</v>
          </cell>
          <cell r="G395">
            <v>0</v>
          </cell>
          <cell r="H395">
            <v>0</v>
          </cell>
          <cell r="I395">
            <v>0</v>
          </cell>
          <cell r="J395">
            <v>1065759.0576951939</v>
          </cell>
        </row>
        <row r="396">
          <cell r="A396">
            <v>379</v>
          </cell>
          <cell r="B396">
            <v>74846</v>
          </cell>
          <cell r="C396">
            <v>0</v>
          </cell>
          <cell r="D396">
            <v>272859.94110595033</v>
          </cell>
          <cell r="E396">
            <v>0</v>
          </cell>
          <cell r="F396">
            <v>0</v>
          </cell>
          <cell r="G396">
            <v>0</v>
          </cell>
          <cell r="H396">
            <v>0</v>
          </cell>
          <cell r="I396">
            <v>0</v>
          </cell>
          <cell r="J396">
            <v>1065759.0576951939</v>
          </cell>
        </row>
        <row r="397">
          <cell r="A397">
            <v>380</v>
          </cell>
          <cell r="B397">
            <v>74936</v>
          </cell>
          <cell r="C397">
            <v>0</v>
          </cell>
          <cell r="D397">
            <v>272859.94110595033</v>
          </cell>
          <cell r="E397">
            <v>0</v>
          </cell>
          <cell r="F397">
            <v>0</v>
          </cell>
          <cell r="G397">
            <v>0</v>
          </cell>
          <cell r="H397">
            <v>0</v>
          </cell>
          <cell r="I397">
            <v>0</v>
          </cell>
          <cell r="J397">
            <v>1065759.0576951939</v>
          </cell>
        </row>
        <row r="398">
          <cell r="A398">
            <v>381</v>
          </cell>
          <cell r="B398">
            <v>75028</v>
          </cell>
          <cell r="C398">
            <v>0</v>
          </cell>
          <cell r="D398">
            <v>272859.94110595033</v>
          </cell>
          <cell r="E398">
            <v>0</v>
          </cell>
          <cell r="F398">
            <v>0</v>
          </cell>
          <cell r="G398">
            <v>0</v>
          </cell>
          <cell r="H398">
            <v>0</v>
          </cell>
          <cell r="I398">
            <v>0</v>
          </cell>
          <cell r="J398">
            <v>1065759.0576951939</v>
          </cell>
        </row>
        <row r="399">
          <cell r="A399">
            <v>382</v>
          </cell>
          <cell r="B399">
            <v>75120</v>
          </cell>
          <cell r="C399">
            <v>0</v>
          </cell>
          <cell r="D399">
            <v>272859.94110595033</v>
          </cell>
          <cell r="E399">
            <v>0</v>
          </cell>
          <cell r="F399">
            <v>0</v>
          </cell>
          <cell r="G399">
            <v>0</v>
          </cell>
          <cell r="H399">
            <v>0</v>
          </cell>
          <cell r="I399">
            <v>0</v>
          </cell>
          <cell r="J399">
            <v>1065759.0576951939</v>
          </cell>
        </row>
        <row r="400">
          <cell r="A400">
            <v>383</v>
          </cell>
          <cell r="B400">
            <v>75211</v>
          </cell>
          <cell r="C400">
            <v>0</v>
          </cell>
          <cell r="D400">
            <v>272859.94110595033</v>
          </cell>
          <cell r="E400">
            <v>0</v>
          </cell>
          <cell r="F400">
            <v>0</v>
          </cell>
          <cell r="G400">
            <v>0</v>
          </cell>
          <cell r="H400">
            <v>0</v>
          </cell>
          <cell r="I400">
            <v>0</v>
          </cell>
          <cell r="J400">
            <v>1065759.0576951939</v>
          </cell>
        </row>
        <row r="401">
          <cell r="A401">
            <v>384</v>
          </cell>
          <cell r="B401">
            <v>75301</v>
          </cell>
          <cell r="C401">
            <v>0</v>
          </cell>
          <cell r="D401">
            <v>272859.94110595033</v>
          </cell>
          <cell r="E401">
            <v>0</v>
          </cell>
          <cell r="F401">
            <v>0</v>
          </cell>
          <cell r="G401">
            <v>0</v>
          </cell>
          <cell r="H401">
            <v>0</v>
          </cell>
          <cell r="I401">
            <v>0</v>
          </cell>
          <cell r="J401">
            <v>1065759.0576951939</v>
          </cell>
        </row>
        <row r="402">
          <cell r="A402">
            <v>385</v>
          </cell>
          <cell r="B402">
            <v>75393</v>
          </cell>
          <cell r="C402">
            <v>0</v>
          </cell>
          <cell r="D402">
            <v>272859.94110595033</v>
          </cell>
          <cell r="E402">
            <v>0</v>
          </cell>
          <cell r="F402">
            <v>0</v>
          </cell>
          <cell r="G402">
            <v>0</v>
          </cell>
          <cell r="H402">
            <v>0</v>
          </cell>
          <cell r="I402">
            <v>0</v>
          </cell>
          <cell r="J402">
            <v>1065759.0576951939</v>
          </cell>
        </row>
        <row r="403">
          <cell r="A403">
            <v>386</v>
          </cell>
          <cell r="B403">
            <v>75485</v>
          </cell>
          <cell r="C403">
            <v>0</v>
          </cell>
          <cell r="D403">
            <v>272859.94110595033</v>
          </cell>
          <cell r="E403">
            <v>0</v>
          </cell>
          <cell r="F403">
            <v>0</v>
          </cell>
          <cell r="G403">
            <v>0</v>
          </cell>
          <cell r="H403">
            <v>0</v>
          </cell>
          <cell r="I403">
            <v>0</v>
          </cell>
          <cell r="J403">
            <v>1065759.0576951939</v>
          </cell>
        </row>
        <row r="404">
          <cell r="A404">
            <v>387</v>
          </cell>
          <cell r="B404">
            <v>75576</v>
          </cell>
          <cell r="C404">
            <v>0</v>
          </cell>
          <cell r="D404">
            <v>272859.94110595033</v>
          </cell>
          <cell r="E404">
            <v>0</v>
          </cell>
          <cell r="F404">
            <v>0</v>
          </cell>
          <cell r="G404">
            <v>0</v>
          </cell>
          <cell r="H404">
            <v>0</v>
          </cell>
          <cell r="I404">
            <v>0</v>
          </cell>
          <cell r="J404">
            <v>1065759.0576951939</v>
          </cell>
        </row>
        <row r="405">
          <cell r="A405">
            <v>388</v>
          </cell>
          <cell r="B405">
            <v>75666</v>
          </cell>
          <cell r="C405">
            <v>0</v>
          </cell>
          <cell r="D405">
            <v>272859.94110595033</v>
          </cell>
          <cell r="E405">
            <v>0</v>
          </cell>
          <cell r="F405">
            <v>0</v>
          </cell>
          <cell r="G405">
            <v>0</v>
          </cell>
          <cell r="H405">
            <v>0</v>
          </cell>
          <cell r="I405">
            <v>0</v>
          </cell>
          <cell r="J405">
            <v>1065759.0576951939</v>
          </cell>
        </row>
        <row r="406">
          <cell r="A406">
            <v>389</v>
          </cell>
          <cell r="B406">
            <v>75758</v>
          </cell>
          <cell r="C406">
            <v>0</v>
          </cell>
          <cell r="D406">
            <v>272859.94110595033</v>
          </cell>
          <cell r="E406">
            <v>0</v>
          </cell>
          <cell r="F406">
            <v>0</v>
          </cell>
          <cell r="G406">
            <v>0</v>
          </cell>
          <cell r="H406">
            <v>0</v>
          </cell>
          <cell r="I406">
            <v>0</v>
          </cell>
          <cell r="J406">
            <v>1065759.0576951939</v>
          </cell>
        </row>
        <row r="407">
          <cell r="A407">
            <v>390</v>
          </cell>
          <cell r="B407">
            <v>75850</v>
          </cell>
          <cell r="C407">
            <v>0</v>
          </cell>
          <cell r="D407">
            <v>272859.94110595033</v>
          </cell>
          <cell r="E407">
            <v>0</v>
          </cell>
          <cell r="F407">
            <v>0</v>
          </cell>
          <cell r="G407">
            <v>0</v>
          </cell>
          <cell r="H407">
            <v>0</v>
          </cell>
          <cell r="I407">
            <v>0</v>
          </cell>
          <cell r="J407">
            <v>1065759.0576951939</v>
          </cell>
        </row>
        <row r="408">
          <cell r="A408">
            <v>391</v>
          </cell>
          <cell r="B408">
            <v>75941</v>
          </cell>
          <cell r="C408">
            <v>0</v>
          </cell>
          <cell r="D408">
            <v>272859.94110595033</v>
          </cell>
          <cell r="E408">
            <v>0</v>
          </cell>
          <cell r="F408">
            <v>0</v>
          </cell>
          <cell r="G408">
            <v>0</v>
          </cell>
          <cell r="H408">
            <v>0</v>
          </cell>
          <cell r="I408">
            <v>0</v>
          </cell>
          <cell r="J408">
            <v>1065759.0576951939</v>
          </cell>
        </row>
        <row r="409">
          <cell r="A409">
            <v>392</v>
          </cell>
          <cell r="B409">
            <v>76032</v>
          </cell>
          <cell r="C409">
            <v>0</v>
          </cell>
          <cell r="D409">
            <v>272859.94110595033</v>
          </cell>
          <cell r="E409">
            <v>0</v>
          </cell>
          <cell r="F409">
            <v>0</v>
          </cell>
          <cell r="G409">
            <v>0</v>
          </cell>
          <cell r="H409">
            <v>0</v>
          </cell>
          <cell r="I409">
            <v>0</v>
          </cell>
          <cell r="J409">
            <v>1065759.0576951939</v>
          </cell>
        </row>
        <row r="410">
          <cell r="A410">
            <v>393</v>
          </cell>
          <cell r="B410">
            <v>76124</v>
          </cell>
          <cell r="C410">
            <v>0</v>
          </cell>
          <cell r="D410">
            <v>272859.94110595033</v>
          </cell>
          <cell r="E410">
            <v>0</v>
          </cell>
          <cell r="F410">
            <v>0</v>
          </cell>
          <cell r="G410">
            <v>0</v>
          </cell>
          <cell r="H410">
            <v>0</v>
          </cell>
          <cell r="I410">
            <v>0</v>
          </cell>
          <cell r="J410">
            <v>1065759.0576951939</v>
          </cell>
        </row>
        <row r="411">
          <cell r="A411">
            <v>394</v>
          </cell>
          <cell r="B411">
            <v>76216</v>
          </cell>
          <cell r="C411">
            <v>0</v>
          </cell>
          <cell r="D411">
            <v>272859.94110595033</v>
          </cell>
          <cell r="E411">
            <v>0</v>
          </cell>
          <cell r="F411">
            <v>0</v>
          </cell>
          <cell r="G411">
            <v>0</v>
          </cell>
          <cell r="H411">
            <v>0</v>
          </cell>
          <cell r="I411">
            <v>0</v>
          </cell>
          <cell r="J411">
            <v>1065759.0576951939</v>
          </cell>
        </row>
        <row r="412">
          <cell r="A412">
            <v>395</v>
          </cell>
          <cell r="B412">
            <v>76307</v>
          </cell>
          <cell r="C412">
            <v>0</v>
          </cell>
          <cell r="D412">
            <v>272859.94110595033</v>
          </cell>
          <cell r="E412">
            <v>0</v>
          </cell>
          <cell r="F412">
            <v>0</v>
          </cell>
          <cell r="G412">
            <v>0</v>
          </cell>
          <cell r="H412">
            <v>0</v>
          </cell>
          <cell r="I412">
            <v>0</v>
          </cell>
          <cell r="J412">
            <v>1065759.0576951939</v>
          </cell>
        </row>
        <row r="413">
          <cell r="A413">
            <v>396</v>
          </cell>
          <cell r="B413">
            <v>76397</v>
          </cell>
          <cell r="C413">
            <v>0</v>
          </cell>
          <cell r="D413">
            <v>272859.94110595033</v>
          </cell>
          <cell r="E413">
            <v>0</v>
          </cell>
          <cell r="F413">
            <v>0</v>
          </cell>
          <cell r="G413">
            <v>0</v>
          </cell>
          <cell r="H413">
            <v>0</v>
          </cell>
          <cell r="I413">
            <v>0</v>
          </cell>
          <cell r="J413">
            <v>1065759.0576951939</v>
          </cell>
        </row>
        <row r="414">
          <cell r="A414">
            <v>397</v>
          </cell>
          <cell r="B414">
            <v>76489</v>
          </cell>
          <cell r="C414">
            <v>0</v>
          </cell>
          <cell r="D414">
            <v>272859.94110595033</v>
          </cell>
          <cell r="E414">
            <v>0</v>
          </cell>
          <cell r="F414">
            <v>0</v>
          </cell>
          <cell r="G414">
            <v>0</v>
          </cell>
          <cell r="H414">
            <v>0</v>
          </cell>
          <cell r="I414">
            <v>0</v>
          </cell>
          <cell r="J414">
            <v>1065759.0576951939</v>
          </cell>
        </row>
        <row r="415">
          <cell r="A415">
            <v>398</v>
          </cell>
          <cell r="B415">
            <v>76581</v>
          </cell>
          <cell r="C415">
            <v>0</v>
          </cell>
          <cell r="D415">
            <v>272859.94110595033</v>
          </cell>
          <cell r="E415">
            <v>0</v>
          </cell>
          <cell r="F415">
            <v>0</v>
          </cell>
          <cell r="G415">
            <v>0</v>
          </cell>
          <cell r="H415">
            <v>0</v>
          </cell>
          <cell r="I415">
            <v>0</v>
          </cell>
          <cell r="J415">
            <v>1065759.0576951939</v>
          </cell>
        </row>
        <row r="416">
          <cell r="A416">
            <v>399</v>
          </cell>
          <cell r="B416">
            <v>76672</v>
          </cell>
          <cell r="C416">
            <v>0</v>
          </cell>
          <cell r="D416">
            <v>272859.94110595033</v>
          </cell>
          <cell r="E416">
            <v>0</v>
          </cell>
          <cell r="F416">
            <v>0</v>
          </cell>
          <cell r="G416">
            <v>0</v>
          </cell>
          <cell r="H416">
            <v>0</v>
          </cell>
          <cell r="I416">
            <v>0</v>
          </cell>
          <cell r="J416">
            <v>1065759.0576951939</v>
          </cell>
        </row>
        <row r="417">
          <cell r="A417">
            <v>400</v>
          </cell>
          <cell r="B417">
            <v>76762</v>
          </cell>
          <cell r="C417">
            <v>0</v>
          </cell>
          <cell r="D417">
            <v>272859.94110595033</v>
          </cell>
          <cell r="E417">
            <v>0</v>
          </cell>
          <cell r="F417">
            <v>0</v>
          </cell>
          <cell r="G417">
            <v>0</v>
          </cell>
          <cell r="H417">
            <v>0</v>
          </cell>
          <cell r="I417">
            <v>0</v>
          </cell>
          <cell r="J417">
            <v>1065759.0576951939</v>
          </cell>
        </row>
        <row r="418">
          <cell r="A418">
            <v>401</v>
          </cell>
          <cell r="B418">
            <v>76854</v>
          </cell>
          <cell r="C418">
            <v>0</v>
          </cell>
          <cell r="D418">
            <v>272859.94110595033</v>
          </cell>
          <cell r="E418">
            <v>0</v>
          </cell>
          <cell r="F418">
            <v>0</v>
          </cell>
          <cell r="G418">
            <v>0</v>
          </cell>
          <cell r="H418">
            <v>0</v>
          </cell>
          <cell r="I418">
            <v>0</v>
          </cell>
          <cell r="J418">
            <v>1065759.0576951939</v>
          </cell>
        </row>
        <row r="419">
          <cell r="A419">
            <v>402</v>
          </cell>
          <cell r="B419">
            <v>76946</v>
          </cell>
          <cell r="C419">
            <v>0</v>
          </cell>
          <cell r="D419">
            <v>272859.94110595033</v>
          </cell>
          <cell r="E419">
            <v>0</v>
          </cell>
          <cell r="F419">
            <v>0</v>
          </cell>
          <cell r="G419">
            <v>0</v>
          </cell>
          <cell r="H419">
            <v>0</v>
          </cell>
          <cell r="I419">
            <v>0</v>
          </cell>
          <cell r="J419">
            <v>1065759.0576951939</v>
          </cell>
        </row>
        <row r="420">
          <cell r="A420">
            <v>403</v>
          </cell>
          <cell r="B420">
            <v>77037</v>
          </cell>
          <cell r="C420">
            <v>0</v>
          </cell>
          <cell r="D420">
            <v>272859.94110595033</v>
          </cell>
          <cell r="E420">
            <v>0</v>
          </cell>
          <cell r="F420">
            <v>0</v>
          </cell>
          <cell r="G420">
            <v>0</v>
          </cell>
          <cell r="H420">
            <v>0</v>
          </cell>
          <cell r="I420">
            <v>0</v>
          </cell>
          <cell r="J420">
            <v>1065759.0576951939</v>
          </cell>
        </row>
        <row r="421">
          <cell r="A421">
            <v>404</v>
          </cell>
          <cell r="B421">
            <v>77127</v>
          </cell>
          <cell r="C421">
            <v>0</v>
          </cell>
          <cell r="D421">
            <v>272859.94110595033</v>
          </cell>
          <cell r="E421">
            <v>0</v>
          </cell>
          <cell r="F421">
            <v>0</v>
          </cell>
          <cell r="G421">
            <v>0</v>
          </cell>
          <cell r="H421">
            <v>0</v>
          </cell>
          <cell r="I421">
            <v>0</v>
          </cell>
          <cell r="J421">
            <v>1065759.0576951939</v>
          </cell>
        </row>
        <row r="422">
          <cell r="A422">
            <v>405</v>
          </cell>
          <cell r="B422">
            <v>77219</v>
          </cell>
          <cell r="C422">
            <v>0</v>
          </cell>
          <cell r="D422">
            <v>272859.94110595033</v>
          </cell>
          <cell r="E422">
            <v>0</v>
          </cell>
          <cell r="F422">
            <v>0</v>
          </cell>
          <cell r="G422">
            <v>0</v>
          </cell>
          <cell r="H422">
            <v>0</v>
          </cell>
          <cell r="I422">
            <v>0</v>
          </cell>
          <cell r="J422">
            <v>1065759.0576951939</v>
          </cell>
        </row>
        <row r="423">
          <cell r="A423">
            <v>406</v>
          </cell>
          <cell r="B423">
            <v>77311</v>
          </cell>
          <cell r="C423">
            <v>0</v>
          </cell>
          <cell r="D423">
            <v>272859.94110595033</v>
          </cell>
          <cell r="E423">
            <v>0</v>
          </cell>
          <cell r="F423">
            <v>0</v>
          </cell>
          <cell r="G423">
            <v>0</v>
          </cell>
          <cell r="H423">
            <v>0</v>
          </cell>
          <cell r="I423">
            <v>0</v>
          </cell>
          <cell r="J423">
            <v>1065759.0576951939</v>
          </cell>
        </row>
        <row r="424">
          <cell r="A424">
            <v>407</v>
          </cell>
          <cell r="B424">
            <v>77402</v>
          </cell>
          <cell r="C424">
            <v>0</v>
          </cell>
          <cell r="D424">
            <v>272859.94110595033</v>
          </cell>
          <cell r="E424">
            <v>0</v>
          </cell>
          <cell r="F424">
            <v>0</v>
          </cell>
          <cell r="G424">
            <v>0</v>
          </cell>
          <cell r="H424">
            <v>0</v>
          </cell>
          <cell r="I424">
            <v>0</v>
          </cell>
          <cell r="J424">
            <v>1065759.0576951939</v>
          </cell>
        </row>
        <row r="425">
          <cell r="A425">
            <v>408</v>
          </cell>
          <cell r="B425">
            <v>77493</v>
          </cell>
          <cell r="C425">
            <v>0</v>
          </cell>
          <cell r="D425">
            <v>272859.94110595033</v>
          </cell>
          <cell r="E425">
            <v>0</v>
          </cell>
          <cell r="F425">
            <v>0</v>
          </cell>
          <cell r="G425">
            <v>0</v>
          </cell>
          <cell r="H425">
            <v>0</v>
          </cell>
          <cell r="I425">
            <v>0</v>
          </cell>
          <cell r="J425">
            <v>1065759.0576951939</v>
          </cell>
        </row>
        <row r="426">
          <cell r="A426">
            <v>409</v>
          </cell>
          <cell r="B426">
            <v>77585</v>
          </cell>
          <cell r="C426">
            <v>0</v>
          </cell>
          <cell r="D426">
            <v>272859.94110595033</v>
          </cell>
          <cell r="E426">
            <v>0</v>
          </cell>
          <cell r="F426">
            <v>0</v>
          </cell>
          <cell r="G426">
            <v>0</v>
          </cell>
          <cell r="H426">
            <v>0</v>
          </cell>
          <cell r="I426">
            <v>0</v>
          </cell>
          <cell r="J426">
            <v>1065759.0576951939</v>
          </cell>
        </row>
        <row r="427">
          <cell r="A427">
            <v>410</v>
          </cell>
          <cell r="B427">
            <v>77677</v>
          </cell>
          <cell r="C427">
            <v>0</v>
          </cell>
          <cell r="D427">
            <v>272859.94110595033</v>
          </cell>
          <cell r="E427">
            <v>0</v>
          </cell>
          <cell r="F427">
            <v>0</v>
          </cell>
          <cell r="G427">
            <v>0</v>
          </cell>
          <cell r="H427">
            <v>0</v>
          </cell>
          <cell r="I427">
            <v>0</v>
          </cell>
          <cell r="J427">
            <v>1065759.0576951939</v>
          </cell>
        </row>
        <row r="428">
          <cell r="A428">
            <v>411</v>
          </cell>
          <cell r="B428">
            <v>77768</v>
          </cell>
          <cell r="C428">
            <v>0</v>
          </cell>
          <cell r="D428">
            <v>272859.94110595033</v>
          </cell>
          <cell r="E428">
            <v>0</v>
          </cell>
          <cell r="F428">
            <v>0</v>
          </cell>
          <cell r="G428">
            <v>0</v>
          </cell>
          <cell r="H428">
            <v>0</v>
          </cell>
          <cell r="I428">
            <v>0</v>
          </cell>
          <cell r="J428">
            <v>1065759.0576951939</v>
          </cell>
        </row>
        <row r="429">
          <cell r="A429">
            <v>412</v>
          </cell>
          <cell r="B429">
            <v>77858</v>
          </cell>
          <cell r="C429">
            <v>0</v>
          </cell>
          <cell r="D429">
            <v>272859.94110595033</v>
          </cell>
          <cell r="E429">
            <v>0</v>
          </cell>
          <cell r="F429">
            <v>0</v>
          </cell>
          <cell r="G429">
            <v>0</v>
          </cell>
          <cell r="H429">
            <v>0</v>
          </cell>
          <cell r="I429">
            <v>0</v>
          </cell>
          <cell r="J429">
            <v>1065759.0576951939</v>
          </cell>
        </row>
        <row r="430">
          <cell r="A430">
            <v>413</v>
          </cell>
          <cell r="B430">
            <v>77950</v>
          </cell>
          <cell r="C430">
            <v>0</v>
          </cell>
          <cell r="D430">
            <v>272859.94110595033</v>
          </cell>
          <cell r="E430">
            <v>0</v>
          </cell>
          <cell r="F430">
            <v>0</v>
          </cell>
          <cell r="G430">
            <v>0</v>
          </cell>
          <cell r="H430">
            <v>0</v>
          </cell>
          <cell r="I430">
            <v>0</v>
          </cell>
          <cell r="J430">
            <v>1065759.0576951939</v>
          </cell>
        </row>
        <row r="431">
          <cell r="A431">
            <v>414</v>
          </cell>
          <cell r="B431">
            <v>78042</v>
          </cell>
          <cell r="C431">
            <v>0</v>
          </cell>
          <cell r="D431">
            <v>272859.94110595033</v>
          </cell>
          <cell r="E431">
            <v>0</v>
          </cell>
          <cell r="F431">
            <v>0</v>
          </cell>
          <cell r="G431">
            <v>0</v>
          </cell>
          <cell r="H431">
            <v>0</v>
          </cell>
          <cell r="I431">
            <v>0</v>
          </cell>
          <cell r="J431">
            <v>1065759.0576951939</v>
          </cell>
        </row>
        <row r="432">
          <cell r="A432">
            <v>415</v>
          </cell>
          <cell r="B432">
            <v>78133</v>
          </cell>
          <cell r="C432">
            <v>0</v>
          </cell>
          <cell r="D432">
            <v>272859.94110595033</v>
          </cell>
          <cell r="E432">
            <v>0</v>
          </cell>
          <cell r="F432">
            <v>0</v>
          </cell>
          <cell r="G432">
            <v>0</v>
          </cell>
          <cell r="H432">
            <v>0</v>
          </cell>
          <cell r="I432">
            <v>0</v>
          </cell>
          <cell r="J432">
            <v>1065759.0576951939</v>
          </cell>
        </row>
        <row r="433">
          <cell r="A433">
            <v>416</v>
          </cell>
          <cell r="B433">
            <v>78223</v>
          </cell>
          <cell r="C433">
            <v>0</v>
          </cell>
          <cell r="D433">
            <v>272859.94110595033</v>
          </cell>
          <cell r="E433">
            <v>0</v>
          </cell>
          <cell r="F433">
            <v>0</v>
          </cell>
          <cell r="G433">
            <v>0</v>
          </cell>
          <cell r="H433">
            <v>0</v>
          </cell>
          <cell r="I433">
            <v>0</v>
          </cell>
          <cell r="J433">
            <v>1065759.0576951939</v>
          </cell>
        </row>
        <row r="434">
          <cell r="A434">
            <v>417</v>
          </cell>
          <cell r="B434">
            <v>78315</v>
          </cell>
          <cell r="C434">
            <v>0</v>
          </cell>
          <cell r="D434">
            <v>272859.94110595033</v>
          </cell>
          <cell r="E434">
            <v>0</v>
          </cell>
          <cell r="F434">
            <v>0</v>
          </cell>
          <cell r="G434">
            <v>0</v>
          </cell>
          <cell r="H434">
            <v>0</v>
          </cell>
          <cell r="I434">
            <v>0</v>
          </cell>
          <cell r="J434">
            <v>1065759.0576951939</v>
          </cell>
        </row>
        <row r="435">
          <cell r="A435">
            <v>418</v>
          </cell>
          <cell r="B435">
            <v>78407</v>
          </cell>
          <cell r="C435">
            <v>0</v>
          </cell>
          <cell r="D435">
            <v>272859.94110595033</v>
          </cell>
          <cell r="E435">
            <v>0</v>
          </cell>
          <cell r="F435">
            <v>0</v>
          </cell>
          <cell r="G435">
            <v>0</v>
          </cell>
          <cell r="H435">
            <v>0</v>
          </cell>
          <cell r="I435">
            <v>0</v>
          </cell>
          <cell r="J435">
            <v>1065759.0576951939</v>
          </cell>
        </row>
        <row r="436">
          <cell r="A436">
            <v>419</v>
          </cell>
          <cell r="B436">
            <v>78498</v>
          </cell>
          <cell r="C436">
            <v>0</v>
          </cell>
          <cell r="D436">
            <v>272859.94110595033</v>
          </cell>
          <cell r="E436">
            <v>0</v>
          </cell>
          <cell r="F436">
            <v>0</v>
          </cell>
          <cell r="G436">
            <v>0</v>
          </cell>
          <cell r="H436">
            <v>0</v>
          </cell>
          <cell r="I436">
            <v>0</v>
          </cell>
          <cell r="J436">
            <v>1065759.0576951939</v>
          </cell>
        </row>
        <row r="437">
          <cell r="A437">
            <v>420</v>
          </cell>
          <cell r="B437">
            <v>78588</v>
          </cell>
          <cell r="C437">
            <v>0</v>
          </cell>
          <cell r="D437">
            <v>272859.94110595033</v>
          </cell>
          <cell r="E437">
            <v>0</v>
          </cell>
          <cell r="F437">
            <v>0</v>
          </cell>
          <cell r="G437">
            <v>0</v>
          </cell>
          <cell r="H437">
            <v>0</v>
          </cell>
          <cell r="I437">
            <v>0</v>
          </cell>
          <cell r="J437">
            <v>1065759.0576951939</v>
          </cell>
        </row>
        <row r="438">
          <cell r="A438">
            <v>421</v>
          </cell>
          <cell r="B438">
            <v>78680</v>
          </cell>
          <cell r="C438">
            <v>0</v>
          </cell>
          <cell r="D438">
            <v>272859.94110595033</v>
          </cell>
          <cell r="E438">
            <v>0</v>
          </cell>
          <cell r="F438">
            <v>0</v>
          </cell>
          <cell r="G438">
            <v>0</v>
          </cell>
          <cell r="H438">
            <v>0</v>
          </cell>
          <cell r="I438">
            <v>0</v>
          </cell>
          <cell r="J438">
            <v>1065759.0576951939</v>
          </cell>
        </row>
        <row r="439">
          <cell r="A439">
            <v>422</v>
          </cell>
          <cell r="B439">
            <v>78772</v>
          </cell>
          <cell r="C439">
            <v>0</v>
          </cell>
          <cell r="D439">
            <v>272859.94110595033</v>
          </cell>
          <cell r="E439">
            <v>0</v>
          </cell>
          <cell r="F439">
            <v>0</v>
          </cell>
          <cell r="G439">
            <v>0</v>
          </cell>
          <cell r="H439">
            <v>0</v>
          </cell>
          <cell r="I439">
            <v>0</v>
          </cell>
          <cell r="J439">
            <v>1065759.0576951939</v>
          </cell>
        </row>
        <row r="440">
          <cell r="A440">
            <v>423</v>
          </cell>
          <cell r="B440">
            <v>78863</v>
          </cell>
          <cell r="C440">
            <v>0</v>
          </cell>
          <cell r="D440">
            <v>272859.94110595033</v>
          </cell>
          <cell r="E440">
            <v>0</v>
          </cell>
          <cell r="F440">
            <v>0</v>
          </cell>
          <cell r="G440">
            <v>0</v>
          </cell>
          <cell r="H440">
            <v>0</v>
          </cell>
          <cell r="I440">
            <v>0</v>
          </cell>
          <cell r="J440">
            <v>1065759.0576951939</v>
          </cell>
        </row>
        <row r="441">
          <cell r="A441">
            <v>424</v>
          </cell>
          <cell r="B441">
            <v>78954</v>
          </cell>
          <cell r="C441">
            <v>0</v>
          </cell>
          <cell r="D441">
            <v>272859.94110595033</v>
          </cell>
          <cell r="E441">
            <v>0</v>
          </cell>
          <cell r="F441">
            <v>0</v>
          </cell>
          <cell r="G441">
            <v>0</v>
          </cell>
          <cell r="H441">
            <v>0</v>
          </cell>
          <cell r="I441">
            <v>0</v>
          </cell>
          <cell r="J441">
            <v>1065759.0576951939</v>
          </cell>
        </row>
        <row r="442">
          <cell r="A442">
            <v>425</v>
          </cell>
          <cell r="B442">
            <v>79046</v>
          </cell>
          <cell r="C442">
            <v>0</v>
          </cell>
          <cell r="D442">
            <v>272859.94110595033</v>
          </cell>
          <cell r="E442">
            <v>0</v>
          </cell>
          <cell r="F442">
            <v>0</v>
          </cell>
          <cell r="G442">
            <v>0</v>
          </cell>
          <cell r="H442">
            <v>0</v>
          </cell>
          <cell r="I442">
            <v>0</v>
          </cell>
          <cell r="J442">
            <v>1065759.0576951939</v>
          </cell>
        </row>
        <row r="443">
          <cell r="A443">
            <v>426</v>
          </cell>
          <cell r="B443">
            <v>79138</v>
          </cell>
          <cell r="C443">
            <v>0</v>
          </cell>
          <cell r="D443">
            <v>272859.94110595033</v>
          </cell>
          <cell r="E443">
            <v>0</v>
          </cell>
          <cell r="F443">
            <v>0</v>
          </cell>
          <cell r="G443">
            <v>0</v>
          </cell>
          <cell r="H443">
            <v>0</v>
          </cell>
          <cell r="I443">
            <v>0</v>
          </cell>
          <cell r="J443">
            <v>1065759.0576951939</v>
          </cell>
        </row>
        <row r="444">
          <cell r="A444">
            <v>427</v>
          </cell>
          <cell r="B444">
            <v>79229</v>
          </cell>
          <cell r="C444">
            <v>0</v>
          </cell>
          <cell r="D444">
            <v>272859.94110595033</v>
          </cell>
          <cell r="E444">
            <v>0</v>
          </cell>
          <cell r="F444">
            <v>0</v>
          </cell>
          <cell r="G444">
            <v>0</v>
          </cell>
          <cell r="H444">
            <v>0</v>
          </cell>
          <cell r="I444">
            <v>0</v>
          </cell>
          <cell r="J444">
            <v>1065759.0576951939</v>
          </cell>
        </row>
        <row r="445">
          <cell r="A445">
            <v>428</v>
          </cell>
          <cell r="B445">
            <v>79319</v>
          </cell>
          <cell r="C445">
            <v>0</v>
          </cell>
          <cell r="D445">
            <v>272859.94110595033</v>
          </cell>
          <cell r="E445">
            <v>0</v>
          </cell>
          <cell r="F445">
            <v>0</v>
          </cell>
          <cell r="G445">
            <v>0</v>
          </cell>
          <cell r="H445">
            <v>0</v>
          </cell>
          <cell r="I445">
            <v>0</v>
          </cell>
          <cell r="J445">
            <v>1065759.0576951939</v>
          </cell>
        </row>
        <row r="446">
          <cell r="A446">
            <v>429</v>
          </cell>
          <cell r="B446">
            <v>79411</v>
          </cell>
          <cell r="C446">
            <v>0</v>
          </cell>
          <cell r="D446">
            <v>272859.94110595033</v>
          </cell>
          <cell r="E446">
            <v>0</v>
          </cell>
          <cell r="F446">
            <v>0</v>
          </cell>
          <cell r="G446">
            <v>0</v>
          </cell>
          <cell r="H446">
            <v>0</v>
          </cell>
          <cell r="I446">
            <v>0</v>
          </cell>
          <cell r="J446">
            <v>1065759.0576951939</v>
          </cell>
        </row>
        <row r="447">
          <cell r="A447">
            <v>430</v>
          </cell>
          <cell r="B447">
            <v>79503</v>
          </cell>
          <cell r="C447">
            <v>0</v>
          </cell>
          <cell r="D447">
            <v>272859.94110595033</v>
          </cell>
          <cell r="E447">
            <v>0</v>
          </cell>
          <cell r="F447">
            <v>0</v>
          </cell>
          <cell r="G447">
            <v>0</v>
          </cell>
          <cell r="H447">
            <v>0</v>
          </cell>
          <cell r="I447">
            <v>0</v>
          </cell>
          <cell r="J447">
            <v>1065759.0576951939</v>
          </cell>
        </row>
        <row r="448">
          <cell r="A448">
            <v>431</v>
          </cell>
          <cell r="B448">
            <v>79594</v>
          </cell>
          <cell r="C448">
            <v>0</v>
          </cell>
          <cell r="D448">
            <v>272859.94110595033</v>
          </cell>
          <cell r="E448">
            <v>0</v>
          </cell>
          <cell r="F448">
            <v>0</v>
          </cell>
          <cell r="G448">
            <v>0</v>
          </cell>
          <cell r="H448">
            <v>0</v>
          </cell>
          <cell r="I448">
            <v>0</v>
          </cell>
          <cell r="J448">
            <v>1065759.0576951939</v>
          </cell>
        </row>
        <row r="449">
          <cell r="A449">
            <v>432</v>
          </cell>
          <cell r="B449">
            <v>79684</v>
          </cell>
          <cell r="C449">
            <v>0</v>
          </cell>
          <cell r="D449">
            <v>272859.94110595033</v>
          </cell>
          <cell r="E449">
            <v>0</v>
          </cell>
          <cell r="F449">
            <v>0</v>
          </cell>
          <cell r="G449">
            <v>0</v>
          </cell>
          <cell r="H449">
            <v>0</v>
          </cell>
          <cell r="I449">
            <v>0</v>
          </cell>
          <cell r="J449">
            <v>1065759.0576951939</v>
          </cell>
        </row>
        <row r="450">
          <cell r="A450">
            <v>433</v>
          </cell>
          <cell r="B450">
            <v>79776</v>
          </cell>
          <cell r="C450">
            <v>0</v>
          </cell>
          <cell r="D450">
            <v>272859.94110595033</v>
          </cell>
          <cell r="E450">
            <v>0</v>
          </cell>
          <cell r="F450">
            <v>0</v>
          </cell>
          <cell r="G450">
            <v>0</v>
          </cell>
          <cell r="H450">
            <v>0</v>
          </cell>
          <cell r="I450">
            <v>0</v>
          </cell>
          <cell r="J450">
            <v>1065759.0576951939</v>
          </cell>
        </row>
        <row r="451">
          <cell r="A451">
            <v>434</v>
          </cell>
          <cell r="B451">
            <v>79868</v>
          </cell>
          <cell r="C451">
            <v>0</v>
          </cell>
          <cell r="D451">
            <v>272859.94110595033</v>
          </cell>
          <cell r="E451">
            <v>0</v>
          </cell>
          <cell r="F451">
            <v>0</v>
          </cell>
          <cell r="G451">
            <v>0</v>
          </cell>
          <cell r="H451">
            <v>0</v>
          </cell>
          <cell r="I451">
            <v>0</v>
          </cell>
          <cell r="J451">
            <v>1065759.0576951939</v>
          </cell>
        </row>
        <row r="452">
          <cell r="A452">
            <v>435</v>
          </cell>
          <cell r="B452">
            <v>79959</v>
          </cell>
          <cell r="C452">
            <v>0</v>
          </cell>
          <cell r="D452">
            <v>272859.94110595033</v>
          </cell>
          <cell r="E452">
            <v>0</v>
          </cell>
          <cell r="F452">
            <v>0</v>
          </cell>
          <cell r="G452">
            <v>0</v>
          </cell>
          <cell r="H452">
            <v>0</v>
          </cell>
          <cell r="I452">
            <v>0</v>
          </cell>
          <cell r="J452">
            <v>1065759.0576951939</v>
          </cell>
        </row>
        <row r="453">
          <cell r="A453">
            <v>436</v>
          </cell>
          <cell r="B453">
            <v>80049</v>
          </cell>
          <cell r="C453">
            <v>0</v>
          </cell>
          <cell r="D453">
            <v>272859.94110595033</v>
          </cell>
          <cell r="E453">
            <v>0</v>
          </cell>
          <cell r="F453">
            <v>0</v>
          </cell>
          <cell r="G453">
            <v>0</v>
          </cell>
          <cell r="H453">
            <v>0</v>
          </cell>
          <cell r="I453">
            <v>0</v>
          </cell>
          <cell r="J453">
            <v>1065759.0576951939</v>
          </cell>
        </row>
        <row r="454">
          <cell r="A454">
            <v>437</v>
          </cell>
          <cell r="B454">
            <v>80141</v>
          </cell>
          <cell r="C454">
            <v>0</v>
          </cell>
          <cell r="D454">
            <v>272859.94110595033</v>
          </cell>
          <cell r="E454">
            <v>0</v>
          </cell>
          <cell r="F454">
            <v>0</v>
          </cell>
          <cell r="G454">
            <v>0</v>
          </cell>
          <cell r="H454">
            <v>0</v>
          </cell>
          <cell r="I454">
            <v>0</v>
          </cell>
          <cell r="J454">
            <v>1065759.0576951939</v>
          </cell>
        </row>
        <row r="455">
          <cell r="A455">
            <v>438</v>
          </cell>
          <cell r="B455">
            <v>80233</v>
          </cell>
          <cell r="C455">
            <v>0</v>
          </cell>
          <cell r="D455">
            <v>272859.94110595033</v>
          </cell>
          <cell r="E455">
            <v>0</v>
          </cell>
          <cell r="F455">
            <v>0</v>
          </cell>
          <cell r="G455">
            <v>0</v>
          </cell>
          <cell r="H455">
            <v>0</v>
          </cell>
          <cell r="I455">
            <v>0</v>
          </cell>
          <cell r="J455">
            <v>1065759.0576951939</v>
          </cell>
        </row>
        <row r="456">
          <cell r="A456">
            <v>439</v>
          </cell>
          <cell r="B456">
            <v>80324</v>
          </cell>
          <cell r="C456">
            <v>0</v>
          </cell>
          <cell r="D456">
            <v>272859.94110595033</v>
          </cell>
          <cell r="E456">
            <v>0</v>
          </cell>
          <cell r="F456">
            <v>0</v>
          </cell>
          <cell r="G456">
            <v>0</v>
          </cell>
          <cell r="H456">
            <v>0</v>
          </cell>
          <cell r="I456">
            <v>0</v>
          </cell>
          <cell r="J456">
            <v>1065759.0576951939</v>
          </cell>
        </row>
        <row r="457">
          <cell r="A457">
            <v>440</v>
          </cell>
          <cell r="B457">
            <v>80415</v>
          </cell>
          <cell r="C457">
            <v>0</v>
          </cell>
          <cell r="D457">
            <v>272859.94110595033</v>
          </cell>
          <cell r="E457">
            <v>0</v>
          </cell>
          <cell r="F457">
            <v>0</v>
          </cell>
          <cell r="G457">
            <v>0</v>
          </cell>
          <cell r="H457">
            <v>0</v>
          </cell>
          <cell r="I457">
            <v>0</v>
          </cell>
          <cell r="J457">
            <v>1065759.0576951939</v>
          </cell>
        </row>
        <row r="458">
          <cell r="A458">
            <v>441</v>
          </cell>
          <cell r="B458">
            <v>80507</v>
          </cell>
          <cell r="C458">
            <v>0</v>
          </cell>
          <cell r="D458">
            <v>272859.94110595033</v>
          </cell>
          <cell r="E458">
            <v>0</v>
          </cell>
          <cell r="F458">
            <v>0</v>
          </cell>
          <cell r="G458">
            <v>0</v>
          </cell>
          <cell r="H458">
            <v>0</v>
          </cell>
          <cell r="I458">
            <v>0</v>
          </cell>
          <cell r="J458">
            <v>1065759.0576951939</v>
          </cell>
        </row>
        <row r="459">
          <cell r="A459">
            <v>442</v>
          </cell>
          <cell r="B459">
            <v>80599</v>
          </cell>
          <cell r="C459">
            <v>0</v>
          </cell>
          <cell r="D459">
            <v>272859.94110595033</v>
          </cell>
          <cell r="E459">
            <v>0</v>
          </cell>
          <cell r="F459">
            <v>0</v>
          </cell>
          <cell r="G459">
            <v>0</v>
          </cell>
          <cell r="H459">
            <v>0</v>
          </cell>
          <cell r="I459">
            <v>0</v>
          </cell>
          <cell r="J459">
            <v>1065759.0576951939</v>
          </cell>
        </row>
        <row r="460">
          <cell r="A460">
            <v>443</v>
          </cell>
          <cell r="B460">
            <v>80690</v>
          </cell>
          <cell r="C460">
            <v>0</v>
          </cell>
          <cell r="D460">
            <v>272859.94110595033</v>
          </cell>
          <cell r="E460">
            <v>0</v>
          </cell>
          <cell r="F460">
            <v>0</v>
          </cell>
          <cell r="G460">
            <v>0</v>
          </cell>
          <cell r="H460">
            <v>0</v>
          </cell>
          <cell r="I460">
            <v>0</v>
          </cell>
          <cell r="J460">
            <v>1065759.0576951939</v>
          </cell>
        </row>
        <row r="461">
          <cell r="A461">
            <v>444</v>
          </cell>
          <cell r="B461">
            <v>80780</v>
          </cell>
          <cell r="C461">
            <v>0</v>
          </cell>
          <cell r="D461">
            <v>272859.94110595033</v>
          </cell>
          <cell r="E461">
            <v>0</v>
          </cell>
          <cell r="F461">
            <v>0</v>
          </cell>
          <cell r="G461">
            <v>0</v>
          </cell>
          <cell r="H461">
            <v>0</v>
          </cell>
          <cell r="I461">
            <v>0</v>
          </cell>
          <cell r="J461">
            <v>1065759.0576951939</v>
          </cell>
        </row>
        <row r="462">
          <cell r="A462">
            <v>445</v>
          </cell>
          <cell r="B462">
            <v>80872</v>
          </cell>
          <cell r="C462">
            <v>0</v>
          </cell>
          <cell r="D462">
            <v>272859.94110595033</v>
          </cell>
          <cell r="E462">
            <v>0</v>
          </cell>
          <cell r="F462">
            <v>0</v>
          </cell>
          <cell r="G462">
            <v>0</v>
          </cell>
          <cell r="H462">
            <v>0</v>
          </cell>
          <cell r="I462">
            <v>0</v>
          </cell>
          <cell r="J462">
            <v>1065759.0576951939</v>
          </cell>
        </row>
        <row r="463">
          <cell r="A463">
            <v>446</v>
          </cell>
          <cell r="B463">
            <v>80964</v>
          </cell>
          <cell r="C463">
            <v>0</v>
          </cell>
          <cell r="D463">
            <v>272859.94110595033</v>
          </cell>
          <cell r="E463">
            <v>0</v>
          </cell>
          <cell r="F463">
            <v>0</v>
          </cell>
          <cell r="G463">
            <v>0</v>
          </cell>
          <cell r="H463">
            <v>0</v>
          </cell>
          <cell r="I463">
            <v>0</v>
          </cell>
          <cell r="J463">
            <v>1065759.0576951939</v>
          </cell>
        </row>
        <row r="464">
          <cell r="A464">
            <v>447</v>
          </cell>
          <cell r="B464">
            <v>81055</v>
          </cell>
          <cell r="C464">
            <v>0</v>
          </cell>
          <cell r="D464">
            <v>272859.94110595033</v>
          </cell>
          <cell r="E464">
            <v>0</v>
          </cell>
          <cell r="F464">
            <v>0</v>
          </cell>
          <cell r="G464">
            <v>0</v>
          </cell>
          <cell r="H464">
            <v>0</v>
          </cell>
          <cell r="I464">
            <v>0</v>
          </cell>
          <cell r="J464">
            <v>1065759.0576951939</v>
          </cell>
        </row>
        <row r="465">
          <cell r="A465">
            <v>448</v>
          </cell>
          <cell r="B465">
            <v>81145</v>
          </cell>
          <cell r="C465">
            <v>0</v>
          </cell>
          <cell r="D465">
            <v>272859.94110595033</v>
          </cell>
          <cell r="E465">
            <v>0</v>
          </cell>
          <cell r="F465">
            <v>0</v>
          </cell>
          <cell r="G465">
            <v>0</v>
          </cell>
          <cell r="H465">
            <v>0</v>
          </cell>
          <cell r="I465">
            <v>0</v>
          </cell>
          <cell r="J465">
            <v>1065759.0576951939</v>
          </cell>
        </row>
        <row r="466">
          <cell r="A466">
            <v>449</v>
          </cell>
          <cell r="B466">
            <v>81237</v>
          </cell>
          <cell r="C466">
            <v>0</v>
          </cell>
          <cell r="D466">
            <v>272859.94110595033</v>
          </cell>
          <cell r="E466">
            <v>0</v>
          </cell>
          <cell r="F466">
            <v>0</v>
          </cell>
          <cell r="G466">
            <v>0</v>
          </cell>
          <cell r="H466">
            <v>0</v>
          </cell>
          <cell r="I466">
            <v>0</v>
          </cell>
          <cell r="J466">
            <v>1065759.0576951939</v>
          </cell>
        </row>
        <row r="467">
          <cell r="A467">
            <v>450</v>
          </cell>
          <cell r="B467">
            <v>81329</v>
          </cell>
          <cell r="C467">
            <v>0</v>
          </cell>
          <cell r="D467">
            <v>272859.94110595033</v>
          </cell>
          <cell r="E467">
            <v>0</v>
          </cell>
          <cell r="F467">
            <v>0</v>
          </cell>
          <cell r="G467">
            <v>0</v>
          </cell>
          <cell r="H467">
            <v>0</v>
          </cell>
          <cell r="I467">
            <v>0</v>
          </cell>
          <cell r="J467">
            <v>1065759.0576951939</v>
          </cell>
        </row>
        <row r="468">
          <cell r="A468">
            <v>451</v>
          </cell>
          <cell r="B468">
            <v>81420</v>
          </cell>
          <cell r="C468">
            <v>0</v>
          </cell>
          <cell r="D468">
            <v>272859.94110595033</v>
          </cell>
          <cell r="E468">
            <v>0</v>
          </cell>
          <cell r="F468">
            <v>0</v>
          </cell>
          <cell r="G468">
            <v>0</v>
          </cell>
          <cell r="H468">
            <v>0</v>
          </cell>
          <cell r="I468">
            <v>0</v>
          </cell>
          <cell r="J468">
            <v>1065759.0576951939</v>
          </cell>
        </row>
        <row r="469">
          <cell r="A469">
            <v>452</v>
          </cell>
          <cell r="B469">
            <v>81510</v>
          </cell>
          <cell r="C469">
            <v>0</v>
          </cell>
          <cell r="D469">
            <v>272859.94110595033</v>
          </cell>
          <cell r="E469">
            <v>0</v>
          </cell>
          <cell r="F469">
            <v>0</v>
          </cell>
          <cell r="G469">
            <v>0</v>
          </cell>
          <cell r="H469">
            <v>0</v>
          </cell>
          <cell r="I469">
            <v>0</v>
          </cell>
          <cell r="J469">
            <v>1065759.0576951939</v>
          </cell>
        </row>
        <row r="470">
          <cell r="A470">
            <v>453</v>
          </cell>
          <cell r="B470">
            <v>81602</v>
          </cell>
          <cell r="C470">
            <v>0</v>
          </cell>
          <cell r="D470">
            <v>272859.94110595033</v>
          </cell>
          <cell r="E470">
            <v>0</v>
          </cell>
          <cell r="F470">
            <v>0</v>
          </cell>
          <cell r="G470">
            <v>0</v>
          </cell>
          <cell r="H470">
            <v>0</v>
          </cell>
          <cell r="I470">
            <v>0</v>
          </cell>
          <cell r="J470">
            <v>1065759.0576951939</v>
          </cell>
        </row>
        <row r="471">
          <cell r="A471">
            <v>454</v>
          </cell>
          <cell r="B471">
            <v>81694</v>
          </cell>
          <cell r="C471">
            <v>0</v>
          </cell>
          <cell r="D471">
            <v>272859.94110595033</v>
          </cell>
          <cell r="E471">
            <v>0</v>
          </cell>
          <cell r="F471">
            <v>0</v>
          </cell>
          <cell r="G471">
            <v>0</v>
          </cell>
          <cell r="H471">
            <v>0</v>
          </cell>
          <cell r="I471">
            <v>0</v>
          </cell>
          <cell r="J471">
            <v>1065759.0576951939</v>
          </cell>
        </row>
        <row r="472">
          <cell r="A472">
            <v>455</v>
          </cell>
          <cell r="B472">
            <v>81785</v>
          </cell>
          <cell r="C472">
            <v>0</v>
          </cell>
          <cell r="D472">
            <v>272859.94110595033</v>
          </cell>
          <cell r="E472">
            <v>0</v>
          </cell>
          <cell r="F472">
            <v>0</v>
          </cell>
          <cell r="G472">
            <v>0</v>
          </cell>
          <cell r="H472">
            <v>0</v>
          </cell>
          <cell r="I472">
            <v>0</v>
          </cell>
          <cell r="J472">
            <v>1065759.0576951939</v>
          </cell>
        </row>
        <row r="473">
          <cell r="A473">
            <v>456</v>
          </cell>
          <cell r="B473">
            <v>81876</v>
          </cell>
          <cell r="C473">
            <v>0</v>
          </cell>
          <cell r="D473">
            <v>272859.94110595033</v>
          </cell>
          <cell r="E473">
            <v>0</v>
          </cell>
          <cell r="F473">
            <v>0</v>
          </cell>
          <cell r="G473">
            <v>0</v>
          </cell>
          <cell r="H473">
            <v>0</v>
          </cell>
          <cell r="I473">
            <v>0</v>
          </cell>
          <cell r="J473">
            <v>1065759.0576951939</v>
          </cell>
        </row>
        <row r="474">
          <cell r="A474">
            <v>457</v>
          </cell>
          <cell r="B474">
            <v>81968</v>
          </cell>
          <cell r="C474">
            <v>0</v>
          </cell>
          <cell r="D474">
            <v>272859.94110595033</v>
          </cell>
          <cell r="E474">
            <v>0</v>
          </cell>
          <cell r="F474">
            <v>0</v>
          </cell>
          <cell r="G474">
            <v>0</v>
          </cell>
          <cell r="H474">
            <v>0</v>
          </cell>
          <cell r="I474">
            <v>0</v>
          </cell>
          <cell r="J474">
            <v>1065759.0576951939</v>
          </cell>
        </row>
        <row r="475">
          <cell r="A475">
            <v>458</v>
          </cell>
          <cell r="B475">
            <v>82060</v>
          </cell>
          <cell r="C475">
            <v>0</v>
          </cell>
          <cell r="D475">
            <v>272859.94110595033</v>
          </cell>
          <cell r="E475">
            <v>0</v>
          </cell>
          <cell r="F475">
            <v>0</v>
          </cell>
          <cell r="G475">
            <v>0</v>
          </cell>
          <cell r="H475">
            <v>0</v>
          </cell>
          <cell r="I475">
            <v>0</v>
          </cell>
          <cell r="J475">
            <v>1065759.0576951939</v>
          </cell>
        </row>
        <row r="476">
          <cell r="A476">
            <v>459</v>
          </cell>
          <cell r="B476">
            <v>82151</v>
          </cell>
          <cell r="C476">
            <v>0</v>
          </cell>
          <cell r="D476">
            <v>272859.94110595033</v>
          </cell>
          <cell r="E476">
            <v>0</v>
          </cell>
          <cell r="F476">
            <v>0</v>
          </cell>
          <cell r="G476">
            <v>0</v>
          </cell>
          <cell r="H476">
            <v>0</v>
          </cell>
          <cell r="I476">
            <v>0</v>
          </cell>
          <cell r="J476">
            <v>1065759.0576951939</v>
          </cell>
        </row>
        <row r="477">
          <cell r="A477">
            <v>460</v>
          </cell>
          <cell r="B477">
            <v>82241</v>
          </cell>
          <cell r="C477">
            <v>0</v>
          </cell>
          <cell r="D477">
            <v>272859.94110595033</v>
          </cell>
          <cell r="E477">
            <v>0</v>
          </cell>
          <cell r="F477">
            <v>0</v>
          </cell>
          <cell r="G477">
            <v>0</v>
          </cell>
          <cell r="H477">
            <v>0</v>
          </cell>
          <cell r="I477">
            <v>0</v>
          </cell>
          <cell r="J477">
            <v>1065759.0576951939</v>
          </cell>
        </row>
        <row r="478">
          <cell r="A478">
            <v>461</v>
          </cell>
          <cell r="B478">
            <v>82333</v>
          </cell>
          <cell r="C478">
            <v>0</v>
          </cell>
          <cell r="D478">
            <v>272859.94110595033</v>
          </cell>
          <cell r="E478">
            <v>0</v>
          </cell>
          <cell r="F478">
            <v>0</v>
          </cell>
          <cell r="G478">
            <v>0</v>
          </cell>
          <cell r="H478">
            <v>0</v>
          </cell>
          <cell r="I478">
            <v>0</v>
          </cell>
          <cell r="J478">
            <v>1065759.0576951939</v>
          </cell>
        </row>
        <row r="479">
          <cell r="A479">
            <v>462</v>
          </cell>
          <cell r="B479">
            <v>82425</v>
          </cell>
          <cell r="C479">
            <v>0</v>
          </cell>
          <cell r="D479">
            <v>272859.94110595033</v>
          </cell>
          <cell r="E479">
            <v>0</v>
          </cell>
          <cell r="F479">
            <v>0</v>
          </cell>
          <cell r="G479">
            <v>0</v>
          </cell>
          <cell r="H479">
            <v>0</v>
          </cell>
          <cell r="I479">
            <v>0</v>
          </cell>
          <cell r="J479">
            <v>1065759.0576951939</v>
          </cell>
        </row>
        <row r="480">
          <cell r="A480">
            <v>463</v>
          </cell>
          <cell r="B480">
            <v>82516</v>
          </cell>
          <cell r="C480">
            <v>0</v>
          </cell>
          <cell r="D480">
            <v>272859.94110595033</v>
          </cell>
          <cell r="E480">
            <v>0</v>
          </cell>
          <cell r="F480">
            <v>0</v>
          </cell>
          <cell r="G480">
            <v>0</v>
          </cell>
          <cell r="H480">
            <v>0</v>
          </cell>
          <cell r="I480">
            <v>0</v>
          </cell>
          <cell r="J480">
            <v>1065759.0576951939</v>
          </cell>
        </row>
        <row r="481">
          <cell r="A481">
            <v>464</v>
          </cell>
          <cell r="B481">
            <v>82606</v>
          </cell>
          <cell r="C481">
            <v>0</v>
          </cell>
          <cell r="D481">
            <v>272859.94110595033</v>
          </cell>
          <cell r="E481">
            <v>0</v>
          </cell>
          <cell r="F481">
            <v>0</v>
          </cell>
          <cell r="G481">
            <v>0</v>
          </cell>
          <cell r="H481">
            <v>0</v>
          </cell>
          <cell r="I481">
            <v>0</v>
          </cell>
          <cell r="J481">
            <v>1065759.0576951939</v>
          </cell>
        </row>
        <row r="482">
          <cell r="A482">
            <v>465</v>
          </cell>
          <cell r="B482">
            <v>82698</v>
          </cell>
          <cell r="C482">
            <v>0</v>
          </cell>
          <cell r="D482">
            <v>272859.94110595033</v>
          </cell>
          <cell r="E482">
            <v>0</v>
          </cell>
          <cell r="F482">
            <v>0</v>
          </cell>
          <cell r="G482">
            <v>0</v>
          </cell>
          <cell r="H482">
            <v>0</v>
          </cell>
          <cell r="I482">
            <v>0</v>
          </cell>
          <cell r="J482">
            <v>1065759.0576951939</v>
          </cell>
        </row>
        <row r="483">
          <cell r="A483">
            <v>466</v>
          </cell>
          <cell r="B483">
            <v>82790</v>
          </cell>
          <cell r="C483">
            <v>0</v>
          </cell>
          <cell r="D483">
            <v>272859.94110595033</v>
          </cell>
          <cell r="E483">
            <v>0</v>
          </cell>
          <cell r="F483">
            <v>0</v>
          </cell>
          <cell r="G483">
            <v>0</v>
          </cell>
          <cell r="H483">
            <v>0</v>
          </cell>
          <cell r="I483">
            <v>0</v>
          </cell>
          <cell r="J483">
            <v>1065759.0576951939</v>
          </cell>
        </row>
        <row r="484">
          <cell r="A484">
            <v>467</v>
          </cell>
          <cell r="B484">
            <v>82881</v>
          </cell>
          <cell r="C484">
            <v>0</v>
          </cell>
          <cell r="D484">
            <v>272859.94110595033</v>
          </cell>
          <cell r="E484">
            <v>0</v>
          </cell>
          <cell r="F484">
            <v>0</v>
          </cell>
          <cell r="G484">
            <v>0</v>
          </cell>
          <cell r="H484">
            <v>0</v>
          </cell>
          <cell r="I484">
            <v>0</v>
          </cell>
          <cell r="J484">
            <v>1065759.0576951939</v>
          </cell>
        </row>
        <row r="485">
          <cell r="A485">
            <v>468</v>
          </cell>
          <cell r="B485">
            <v>82971</v>
          </cell>
          <cell r="C485">
            <v>0</v>
          </cell>
          <cell r="D485">
            <v>272859.94110595033</v>
          </cell>
          <cell r="E485">
            <v>0</v>
          </cell>
          <cell r="F485">
            <v>0</v>
          </cell>
          <cell r="G485">
            <v>0</v>
          </cell>
          <cell r="H485">
            <v>0</v>
          </cell>
          <cell r="I485">
            <v>0</v>
          </cell>
          <cell r="J485">
            <v>1065759.0576951939</v>
          </cell>
        </row>
        <row r="486">
          <cell r="A486">
            <v>469</v>
          </cell>
          <cell r="B486">
            <v>83063</v>
          </cell>
          <cell r="C486">
            <v>0</v>
          </cell>
          <cell r="D486">
            <v>272859.94110595033</v>
          </cell>
          <cell r="E486">
            <v>0</v>
          </cell>
          <cell r="F486">
            <v>0</v>
          </cell>
          <cell r="G486">
            <v>0</v>
          </cell>
          <cell r="H486">
            <v>0</v>
          </cell>
          <cell r="I486">
            <v>0</v>
          </cell>
          <cell r="J486">
            <v>1065759.0576951939</v>
          </cell>
        </row>
        <row r="487">
          <cell r="A487">
            <v>470</v>
          </cell>
          <cell r="B487">
            <v>83155</v>
          </cell>
          <cell r="C487">
            <v>0</v>
          </cell>
          <cell r="D487">
            <v>272859.94110595033</v>
          </cell>
          <cell r="E487">
            <v>0</v>
          </cell>
          <cell r="F487">
            <v>0</v>
          </cell>
          <cell r="G487">
            <v>0</v>
          </cell>
          <cell r="H487">
            <v>0</v>
          </cell>
          <cell r="I487">
            <v>0</v>
          </cell>
          <cell r="J487">
            <v>1065759.0576951939</v>
          </cell>
        </row>
        <row r="488">
          <cell r="A488">
            <v>471</v>
          </cell>
          <cell r="B488">
            <v>83246</v>
          </cell>
          <cell r="C488">
            <v>0</v>
          </cell>
          <cell r="D488">
            <v>272859.94110595033</v>
          </cell>
          <cell r="E488">
            <v>0</v>
          </cell>
          <cell r="F488">
            <v>0</v>
          </cell>
          <cell r="G488">
            <v>0</v>
          </cell>
          <cell r="H488">
            <v>0</v>
          </cell>
          <cell r="I488">
            <v>0</v>
          </cell>
          <cell r="J488">
            <v>1065759.0576951939</v>
          </cell>
        </row>
        <row r="489">
          <cell r="A489">
            <v>472</v>
          </cell>
          <cell r="B489">
            <v>83337</v>
          </cell>
          <cell r="C489">
            <v>0</v>
          </cell>
          <cell r="D489">
            <v>272859.94110595033</v>
          </cell>
          <cell r="E489">
            <v>0</v>
          </cell>
          <cell r="F489">
            <v>0</v>
          </cell>
          <cell r="G489">
            <v>0</v>
          </cell>
          <cell r="H489">
            <v>0</v>
          </cell>
          <cell r="I489">
            <v>0</v>
          </cell>
          <cell r="J489">
            <v>1065759.0576951939</v>
          </cell>
        </row>
        <row r="490">
          <cell r="A490">
            <v>473</v>
          </cell>
          <cell r="B490">
            <v>83429</v>
          </cell>
          <cell r="C490">
            <v>0</v>
          </cell>
          <cell r="D490">
            <v>272859.94110595033</v>
          </cell>
          <cell r="E490">
            <v>0</v>
          </cell>
          <cell r="F490">
            <v>0</v>
          </cell>
          <cell r="G490">
            <v>0</v>
          </cell>
          <cell r="H490">
            <v>0</v>
          </cell>
          <cell r="I490">
            <v>0</v>
          </cell>
          <cell r="J490">
            <v>1065759.0576951939</v>
          </cell>
        </row>
        <row r="491">
          <cell r="A491">
            <v>474</v>
          </cell>
          <cell r="B491">
            <v>83521</v>
          </cell>
          <cell r="C491">
            <v>0</v>
          </cell>
          <cell r="D491">
            <v>272859.94110595033</v>
          </cell>
          <cell r="E491">
            <v>0</v>
          </cell>
          <cell r="F491">
            <v>0</v>
          </cell>
          <cell r="G491">
            <v>0</v>
          </cell>
          <cell r="H491">
            <v>0</v>
          </cell>
          <cell r="I491">
            <v>0</v>
          </cell>
          <cell r="J491">
            <v>1065759.0576951939</v>
          </cell>
        </row>
        <row r="492">
          <cell r="A492">
            <v>475</v>
          </cell>
          <cell r="B492">
            <v>83612</v>
          </cell>
          <cell r="C492">
            <v>0</v>
          </cell>
          <cell r="D492">
            <v>272859.94110595033</v>
          </cell>
          <cell r="E492">
            <v>0</v>
          </cell>
          <cell r="F492">
            <v>0</v>
          </cell>
          <cell r="G492">
            <v>0</v>
          </cell>
          <cell r="H492">
            <v>0</v>
          </cell>
          <cell r="I492">
            <v>0</v>
          </cell>
          <cell r="J492">
            <v>1065759.0576951939</v>
          </cell>
        </row>
        <row r="493">
          <cell r="A493">
            <v>476</v>
          </cell>
          <cell r="B493">
            <v>83702</v>
          </cell>
          <cell r="C493">
            <v>0</v>
          </cell>
          <cell r="D493">
            <v>272859.94110595033</v>
          </cell>
          <cell r="E493">
            <v>0</v>
          </cell>
          <cell r="F493">
            <v>0</v>
          </cell>
          <cell r="G493">
            <v>0</v>
          </cell>
          <cell r="H493">
            <v>0</v>
          </cell>
          <cell r="I493">
            <v>0</v>
          </cell>
          <cell r="J493">
            <v>1065759.0576951939</v>
          </cell>
        </row>
        <row r="494">
          <cell r="A494">
            <v>477</v>
          </cell>
          <cell r="B494">
            <v>83794</v>
          </cell>
          <cell r="C494">
            <v>0</v>
          </cell>
          <cell r="D494">
            <v>272859.94110595033</v>
          </cell>
          <cell r="E494">
            <v>0</v>
          </cell>
          <cell r="F494">
            <v>0</v>
          </cell>
          <cell r="G494">
            <v>0</v>
          </cell>
          <cell r="H494">
            <v>0</v>
          </cell>
          <cell r="I494">
            <v>0</v>
          </cell>
          <cell r="J494">
            <v>1065759.0576951939</v>
          </cell>
        </row>
        <row r="495">
          <cell r="A495">
            <v>478</v>
          </cell>
          <cell r="B495">
            <v>83886</v>
          </cell>
          <cell r="C495">
            <v>0</v>
          </cell>
          <cell r="D495">
            <v>272859.94110595033</v>
          </cell>
          <cell r="E495">
            <v>0</v>
          </cell>
          <cell r="F495">
            <v>0</v>
          </cell>
          <cell r="G495">
            <v>0</v>
          </cell>
          <cell r="H495">
            <v>0</v>
          </cell>
          <cell r="I495">
            <v>0</v>
          </cell>
          <cell r="J495">
            <v>1065759.0576951939</v>
          </cell>
        </row>
        <row r="496">
          <cell r="A496">
            <v>479</v>
          </cell>
          <cell r="B496">
            <v>83977</v>
          </cell>
          <cell r="C496">
            <v>0</v>
          </cell>
          <cell r="D496">
            <v>272859.94110595033</v>
          </cell>
          <cell r="E496">
            <v>0</v>
          </cell>
          <cell r="F496">
            <v>0</v>
          </cell>
          <cell r="G496">
            <v>0</v>
          </cell>
          <cell r="H496">
            <v>0</v>
          </cell>
          <cell r="I496">
            <v>0</v>
          </cell>
          <cell r="J496">
            <v>1065759.0576951939</v>
          </cell>
        </row>
        <row r="497">
          <cell r="A497">
            <v>480</v>
          </cell>
          <cell r="B497">
            <v>84067</v>
          </cell>
          <cell r="C497">
            <v>0</v>
          </cell>
          <cell r="D497">
            <v>272859.94110595033</v>
          </cell>
          <cell r="E497">
            <v>0</v>
          </cell>
          <cell r="F497">
            <v>0</v>
          </cell>
          <cell r="G497">
            <v>0</v>
          </cell>
          <cell r="H497">
            <v>0</v>
          </cell>
          <cell r="I497">
            <v>0</v>
          </cell>
          <cell r="J497">
            <v>1065759.0576951939</v>
          </cell>
        </row>
      </sheetData>
      <sheetData sheetId="16" refreshError="1"/>
      <sheetData sheetId="17" refreshError="1"/>
      <sheetData sheetId="18">
        <row r="1">
          <cell r="F1" t="str">
            <v>Total</v>
          </cell>
        </row>
      </sheetData>
      <sheetData sheetId="19" refreshError="1"/>
      <sheetData sheetId="20" refreshError="1"/>
      <sheetData sheetId="21" refreshError="1"/>
      <sheetData sheetId="22">
        <row r="1">
          <cell r="A1">
            <v>0</v>
          </cell>
        </row>
      </sheetData>
      <sheetData sheetId="23"/>
      <sheetData sheetId="24"/>
      <sheetData sheetId="25"/>
      <sheetData sheetId="26"/>
      <sheetData sheetId="27"/>
      <sheetData sheetId="28">
        <row r="1">
          <cell r="A1" t="str">
            <v>Loan Amortization Schedule</v>
          </cell>
        </row>
      </sheetData>
      <sheetData sheetId="29"/>
      <sheetData sheetId="30"/>
      <sheetData sheetId="31"/>
      <sheetData sheetId="32"/>
      <sheetData sheetId="33">
        <row r="1">
          <cell r="A1">
            <v>0</v>
          </cell>
        </row>
      </sheetData>
      <sheetData sheetId="34"/>
      <sheetData sheetId="35"/>
      <sheetData sheetId="36"/>
      <sheetData sheetId="37"/>
      <sheetData sheetId="38"/>
      <sheetData sheetId="39">
        <row r="1">
          <cell r="A1" t="str">
            <v>Loan Amortization Schedule</v>
          </cell>
        </row>
      </sheetData>
      <sheetData sheetId="40"/>
      <sheetData sheetId="41"/>
      <sheetData sheetId="42">
        <row r="1">
          <cell r="A1" t="str">
            <v>Loan Amortization Schedule</v>
          </cell>
        </row>
      </sheetData>
      <sheetData sheetId="43"/>
      <sheetData sheetId="44">
        <row r="1">
          <cell r="A1">
            <v>0</v>
          </cell>
        </row>
      </sheetData>
      <sheetData sheetId="45"/>
      <sheetData sheetId="46"/>
      <sheetData sheetId="47"/>
      <sheetData sheetId="48"/>
      <sheetData sheetId="49"/>
      <sheetData sheetId="50"/>
      <sheetData sheetId="51"/>
      <sheetData sheetId="52"/>
      <sheetData sheetId="53">
        <row r="1">
          <cell r="A1" t="str">
            <v>Loan Amortization Schedule</v>
          </cell>
        </row>
      </sheetData>
      <sheetData sheetId="54"/>
      <sheetData sheetId="55">
        <row r="1">
          <cell r="A1">
            <v>0</v>
          </cell>
        </row>
      </sheetData>
      <sheetData sheetId="56"/>
      <sheetData sheetId="57"/>
      <sheetData sheetId="58">
        <row r="1">
          <cell r="A1">
            <v>0</v>
          </cell>
        </row>
      </sheetData>
      <sheetData sheetId="59"/>
      <sheetData sheetId="60"/>
      <sheetData sheetId="61"/>
      <sheetData sheetId="62"/>
      <sheetData sheetId="63"/>
      <sheetData sheetId="64">
        <row r="1">
          <cell r="A1" t="str">
            <v>Loan Amortization Schedule</v>
          </cell>
        </row>
      </sheetData>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ow r="1">
          <cell r="F1" t="str">
            <v>Total</v>
          </cell>
        </row>
      </sheetData>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row r="1">
          <cell r="A1" t="str">
            <v>Loan Amortization Schedule</v>
          </cell>
        </row>
      </sheetData>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row r="1">
          <cell r="F1" t="str">
            <v>Total</v>
          </cell>
        </row>
      </sheetData>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row r="1">
          <cell r="A1" t="str">
            <v>Loan Amortization Schedule</v>
          </cell>
        </row>
      </sheetData>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row r="1">
          <cell r="A1" t="str">
            <v>Loan Amortization Schedule</v>
          </cell>
        </row>
      </sheetData>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row r="1">
          <cell r="A1" t="str">
            <v>Loan Amortization Schedule</v>
          </cell>
        </row>
      </sheetData>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row r="1">
          <cell r="F1" t="str">
            <v>Total</v>
          </cell>
        </row>
      </sheetData>
      <sheetData sheetId="236"/>
      <sheetData sheetId="237"/>
      <sheetData sheetId="238"/>
      <sheetData sheetId="239"/>
      <sheetData sheetId="240"/>
      <sheetData sheetId="241"/>
      <sheetData sheetId="242"/>
      <sheetData sheetId="243"/>
      <sheetData sheetId="244"/>
      <sheetData sheetId="245" refreshError="1"/>
      <sheetData sheetId="246" refreshError="1"/>
      <sheetData sheetId="247" refreshError="1"/>
      <sheetData sheetId="248" refreshError="1"/>
      <sheetData sheetId="249"/>
      <sheetData sheetId="250">
        <row r="1">
          <cell r="B1">
            <v>0</v>
          </cell>
        </row>
      </sheetData>
      <sheetData sheetId="251"/>
      <sheetData sheetId="2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ed expenses"/>
      <sheetName val="ACTUAL"/>
      <sheetName val="Variance Analysis "/>
      <sheetName val="Variance Analysis2"/>
      <sheetName val="DATA"/>
      <sheetName val="ASH  Expenses Layout"/>
      <sheetName val="Q1"/>
      <sheetName val="Sheet8"/>
      <sheetName val="Budgeted_expenses"/>
      <sheetName val="Variance_Analysis_"/>
      <sheetName val="Variance_Analysis2"/>
      <sheetName val="ASH__Expenses_Layout"/>
      <sheetName val="Budgeted_expenses1"/>
      <sheetName val="Variance_Analysis_1"/>
      <sheetName val="Variance_Analysis21"/>
      <sheetName val="ASH__Expenses_Layout1"/>
      <sheetName val="Budgeted_expenses2"/>
      <sheetName val="Variance_Analysis_2"/>
      <sheetName val="Variance_Analysis22"/>
      <sheetName val="ASH__Expenses_Layout2"/>
    </sheetNames>
    <sheetDataSet>
      <sheetData sheetId="0">
        <row r="54">
          <cell r="P54" t="str">
            <v xml:space="preserve">Non Medical </v>
          </cell>
        </row>
      </sheetData>
      <sheetData sheetId="1" refreshError="1"/>
      <sheetData sheetId="2" refreshError="1"/>
      <sheetData sheetId="3"/>
      <sheetData sheetId="4">
        <row r="6">
          <cell r="G6" t="str">
            <v xml:space="preserve">papers and inks </v>
          </cell>
        </row>
      </sheetData>
      <sheetData sheetId="5" refreshError="1"/>
      <sheetData sheetId="6" refreshError="1"/>
      <sheetData sheetId="7" refreshError="1"/>
      <sheetData sheetId="8">
        <row r="54">
          <cell r="P54" t="str">
            <v xml:space="preserve">Non Medical </v>
          </cell>
        </row>
      </sheetData>
      <sheetData sheetId="9"/>
      <sheetData sheetId="10"/>
      <sheetData sheetId="11"/>
      <sheetData sheetId="12">
        <row r="54">
          <cell r="P54" t="str">
            <v xml:space="preserve">Non Medical </v>
          </cell>
        </row>
      </sheetData>
      <sheetData sheetId="13"/>
      <sheetData sheetId="14"/>
      <sheetData sheetId="15"/>
      <sheetData sheetId="16">
        <row r="54">
          <cell r="P54" t="str">
            <v xml:space="preserve">Non Medical </v>
          </cell>
        </row>
      </sheetData>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التمريض"/>
      <sheetName val="Attendance"/>
      <sheetName val="الاجازات"/>
      <sheetName val="الروستر"/>
      <sheetName val="Data"/>
      <sheetName val="التمريض 20يوم"/>
      <sheetName val="Sheet4"/>
      <sheetName val="التمريض_20يوم"/>
      <sheetName val="التمريض_20يوم1"/>
      <sheetName val="التمريض_20يوم2"/>
      <sheetName val="Loan Amortization Schedule"/>
    </sheetNames>
    <sheetDataSet>
      <sheetData sheetId="0"/>
      <sheetData sheetId="1"/>
      <sheetData sheetId="2"/>
      <sheetData sheetId="3"/>
      <sheetData sheetId="4"/>
      <sheetData sheetId="5" refreshError="1"/>
      <sheetData sheetId="6" refreshError="1"/>
      <sheetData sheetId="7"/>
      <sheetData sheetId="8"/>
      <sheetData sheetId="9"/>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W-MTD"/>
      <sheetName val="AFW-DTD"/>
      <sheetName val="AFW Plan"/>
      <sheetName val="AFW HC"/>
      <sheetName val="Cash-Credit Ratio"/>
      <sheetName val="Piv"/>
      <sheetName val="Retention"/>
    </sheetNames>
    <sheetDataSet>
      <sheetData sheetId="0"/>
      <sheetData sheetId="1"/>
      <sheetData sheetId="2">
        <row r="4">
          <cell r="J4">
            <v>0.47826086956521741</v>
          </cell>
        </row>
        <row r="5">
          <cell r="J5">
            <v>0.40740740740740738</v>
          </cell>
        </row>
      </sheetData>
      <sheetData sheetId="3"/>
      <sheetData sheetId="4"/>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W-MTD"/>
      <sheetName val="AFW-DTD"/>
      <sheetName val="AFW Plan"/>
      <sheetName val="AFW HC"/>
      <sheetName val="Cash-Credit Ratio"/>
      <sheetName val="Retention"/>
      <sheetName val="Piv"/>
    </sheetNames>
    <sheetDataSet>
      <sheetData sheetId="0"/>
      <sheetData sheetId="1" refreshError="1"/>
      <sheetData sheetId="2">
        <row r="4">
          <cell r="J4">
            <v>0.17391304347826086</v>
          </cell>
        </row>
        <row r="5">
          <cell r="J5">
            <v>0.14814814814814814</v>
          </cell>
        </row>
      </sheetData>
      <sheetData sheetId="3"/>
      <sheetData sheetId="4"/>
      <sheetData sheetId="5"/>
      <sheetData sheetId="6"/>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Data"/>
      <sheetName val="Lists"/>
      <sheetName val="budget"/>
      <sheetName val="BI"/>
    </sheetNames>
    <sheetDataSet>
      <sheetData sheetId="0"/>
      <sheetData sheetId="1"/>
      <sheetData sheetId="2"/>
      <sheetData sheetId="3" refreshError="1"/>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s>
    <sheetDataSet>
      <sheetData sheetId="0">
        <row r="3">
          <cell r="X3">
            <v>2014</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un Chart"/>
      <sheetName val="Rules for Interpreting Charts"/>
      <sheetName val="Run_Chart1"/>
      <sheetName val="Rules_for_Interpreting_Charts1"/>
      <sheetName val="Run_Chart"/>
      <sheetName val="Rules_for_Interpreting_Charts"/>
      <sheetName val="Run_Chart2"/>
      <sheetName val="Rules_for_Interpreting_Charts2"/>
      <sheetName val="Run_Chart6"/>
      <sheetName val="Rules_for_Interpreting_Charts6"/>
      <sheetName val="Run_Chart3"/>
      <sheetName val="Rules_for_Interpreting_Charts3"/>
      <sheetName val="Run_Chart4"/>
      <sheetName val="Rules_for_Interpreting_Charts4"/>
      <sheetName val="Run_Chart5"/>
      <sheetName val="Rules_for_Interpreting_Charts5"/>
      <sheetName val="Run_Chart7"/>
      <sheetName val="Rules_for_Interpreting_Charts7"/>
      <sheetName val="Run_Chart8"/>
      <sheetName val="Rules_for_Interpreting_Charts8"/>
      <sheetName val="Run_Chart9"/>
      <sheetName val="Rules_for_Interpreting_Charts9"/>
      <sheetName val="Run_Chart10"/>
      <sheetName val="Rules_for_Interpreting_Charts10"/>
      <sheetName val="Run_Chart11"/>
      <sheetName val="Rules_for_Interpreting_Charts11"/>
      <sheetName val="Productivity Plan."/>
      <sheetName val="Summary"/>
      <sheetName val="Current Productivity"/>
      <sheetName val="Medical Department"/>
      <sheetName val="Corporate Sales "/>
      <sheetName val="Medical Sales"/>
      <sheetName val="Recruitment"/>
      <sheetName val="Call Center"/>
      <sheetName val="Recruitment."/>
      <sheetName val="Medical Sales."/>
      <sheetName val="Digital Marketing"/>
      <sheetName val="Medical Record"/>
      <sheetName val="Content"/>
      <sheetName val="Graphic Designers"/>
      <sheetName val="Approval team"/>
      <sheetName val="Community Events"/>
      <sheetName val="Run Chart Template (1)"/>
    </sheetNames>
    <definedNames>
      <definedName name="chtData" refersTo="#REF!" sheetId="0"/>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tendance"/>
      <sheetName val="Sheet1"/>
      <sheetName val="Sheet2"/>
      <sheetName val="التمريض20يوم"/>
      <sheetName val="Droplists"/>
      <sheetName val="Setup"/>
      <sheetName val="chart data"/>
    </sheetNames>
    <sheetDataSet>
      <sheetData sheetId="0"/>
      <sheetData sheetId="1"/>
      <sheetData sheetId="2">
        <row r="1">
          <cell r="A1" t="str">
            <v>الكود</v>
          </cell>
          <cell r="B1" t="str">
            <v>Date</v>
          </cell>
          <cell r="C1" t="str">
            <v>حالة التفرغ</v>
          </cell>
        </row>
        <row r="2">
          <cell r="A2">
            <v>370</v>
          </cell>
          <cell r="B2" t="str">
            <v>اشرف محمد</v>
          </cell>
        </row>
        <row r="3">
          <cell r="A3">
            <v>1226</v>
          </cell>
          <cell r="B3" t="str">
            <v>ايمان على على</v>
          </cell>
        </row>
        <row r="4">
          <cell r="A4">
            <v>1398</v>
          </cell>
          <cell r="B4" t="str">
            <v>ايمان رمضان</v>
          </cell>
        </row>
        <row r="5">
          <cell r="A5">
            <v>1444</v>
          </cell>
          <cell r="B5" t="str">
            <v>فتحية يسرى</v>
          </cell>
        </row>
        <row r="6">
          <cell r="A6">
            <v>1504</v>
          </cell>
          <cell r="B6" t="str">
            <v>رحاب فتحى</v>
          </cell>
        </row>
        <row r="7">
          <cell r="A7">
            <v>1286</v>
          </cell>
          <cell r="B7" t="str">
            <v>ريهام حسن</v>
          </cell>
        </row>
        <row r="8">
          <cell r="A8">
            <v>141</v>
          </cell>
          <cell r="B8" t="str">
            <v xml:space="preserve">ايمان احمد </v>
          </cell>
          <cell r="K8" t="str">
            <v>حضور</v>
          </cell>
          <cell r="L8" t="str">
            <v>انصراف</v>
          </cell>
          <cell r="M8" t="str">
            <v>حضور</v>
          </cell>
          <cell r="N8" t="str">
            <v>انصراف</v>
          </cell>
        </row>
        <row r="9">
          <cell r="A9">
            <v>43</v>
          </cell>
          <cell r="B9" t="str">
            <v>أ/ مصطفى عمر</v>
          </cell>
          <cell r="J9" t="str">
            <v>M</v>
          </cell>
          <cell r="K9">
            <v>0.33333333333333331</v>
          </cell>
          <cell r="L9">
            <v>0.625</v>
          </cell>
          <cell r="M9">
            <v>0.375</v>
          </cell>
          <cell r="N9">
            <v>0.64583333333333337</v>
          </cell>
        </row>
        <row r="10">
          <cell r="A10">
            <v>578</v>
          </cell>
          <cell r="B10" t="str">
            <v>سعيده عبد الغنى</v>
          </cell>
          <cell r="J10" t="str">
            <v>E</v>
          </cell>
          <cell r="K10">
            <v>0.58333333333333337</v>
          </cell>
          <cell r="L10">
            <v>0.875</v>
          </cell>
          <cell r="M10">
            <v>0.625</v>
          </cell>
          <cell r="N10">
            <v>0.875</v>
          </cell>
        </row>
        <row r="11">
          <cell r="A11">
            <v>42</v>
          </cell>
          <cell r="B11" t="str">
            <v>محمد عبد الحميد محمد</v>
          </cell>
          <cell r="C11" t="str">
            <v>غير متفرغ</v>
          </cell>
          <cell r="J11" t="str">
            <v>N</v>
          </cell>
          <cell r="K11">
            <v>0.85416666666666663</v>
          </cell>
          <cell r="L11">
            <v>0.35416666666666669</v>
          </cell>
          <cell r="M11">
            <v>0.875</v>
          </cell>
          <cell r="N11">
            <v>0.375</v>
          </cell>
        </row>
        <row r="12">
          <cell r="A12">
            <v>55</v>
          </cell>
          <cell r="B12" t="str">
            <v>انور حمدى ابراهيم مرزوق</v>
          </cell>
          <cell r="C12" t="str">
            <v>غير متفرغ</v>
          </cell>
          <cell r="J12" t="str">
            <v>L</v>
          </cell>
          <cell r="K12">
            <v>0.33333333333333331</v>
          </cell>
          <cell r="L12">
            <v>0.83333333333333337</v>
          </cell>
          <cell r="M12">
            <v>0.375</v>
          </cell>
          <cell r="N12">
            <v>0.875</v>
          </cell>
        </row>
        <row r="13">
          <cell r="A13">
            <v>120</v>
          </cell>
          <cell r="B13" t="str">
            <v>شيماء محمد شحاته</v>
          </cell>
          <cell r="C13" t="str">
            <v>غير متفرغ</v>
          </cell>
          <cell r="J13" t="str">
            <v>EN</v>
          </cell>
          <cell r="K13">
            <v>0.58333333333333337</v>
          </cell>
          <cell r="L13">
            <v>0.35416666666666669</v>
          </cell>
          <cell r="M13">
            <v>0.625</v>
          </cell>
          <cell r="N13">
            <v>0.375</v>
          </cell>
        </row>
        <row r="14">
          <cell r="A14">
            <v>142</v>
          </cell>
          <cell r="B14" t="str">
            <v>محمد فتحى محمد</v>
          </cell>
          <cell r="C14" t="str">
            <v>غير متفرغ</v>
          </cell>
          <cell r="J14" t="str">
            <v>NM</v>
          </cell>
          <cell r="K14">
            <v>0.85416666666666663</v>
          </cell>
          <cell r="L14">
            <v>0.625</v>
          </cell>
          <cell r="M14">
            <v>0.875</v>
          </cell>
          <cell r="N14">
            <v>0.64583333333333337</v>
          </cell>
        </row>
        <row r="15">
          <cell r="A15">
            <v>190</v>
          </cell>
          <cell r="B15" t="str">
            <v>عزه علاء الدين عبد العزيز</v>
          </cell>
          <cell r="C15" t="str">
            <v>غير متفرغ</v>
          </cell>
          <cell r="J15" t="str">
            <v>o</v>
          </cell>
          <cell r="K15" t="str">
            <v>off</v>
          </cell>
          <cell r="L15" t="str">
            <v>off</v>
          </cell>
          <cell r="M15" t="str">
            <v>off</v>
          </cell>
          <cell r="N15" t="str">
            <v>off</v>
          </cell>
        </row>
        <row r="16">
          <cell r="A16">
            <v>229</v>
          </cell>
          <cell r="B16" t="str">
            <v>ريهام محسن عيسى</v>
          </cell>
          <cell r="C16" t="str">
            <v>غير متفرغ</v>
          </cell>
        </row>
        <row r="17">
          <cell r="A17">
            <v>230</v>
          </cell>
          <cell r="B17" t="str">
            <v>محمد على جمعه سعدون</v>
          </cell>
          <cell r="C17" t="str">
            <v>غير متفرغ</v>
          </cell>
        </row>
        <row r="18">
          <cell r="A18">
            <v>177</v>
          </cell>
          <cell r="B18" t="str">
            <v>سمير حسنى احمد البشبيشى</v>
          </cell>
          <cell r="C18" t="str">
            <v>غير متفرغ</v>
          </cell>
        </row>
        <row r="19">
          <cell r="A19">
            <v>179</v>
          </cell>
          <cell r="B19" t="str">
            <v>عبدالله انس احمد</v>
          </cell>
          <cell r="C19" t="str">
            <v>غير متفرغ</v>
          </cell>
        </row>
        <row r="20">
          <cell r="A20">
            <v>175</v>
          </cell>
          <cell r="B20" t="str">
            <v>اسامه ناجى مسعود</v>
          </cell>
          <cell r="C20" t="str">
            <v>غير متفرغ</v>
          </cell>
        </row>
        <row r="21">
          <cell r="A21">
            <v>185</v>
          </cell>
          <cell r="B21" t="str">
            <v>السيد محمد سلطان</v>
          </cell>
          <cell r="C21" t="str">
            <v>غير متفرغ</v>
          </cell>
        </row>
        <row r="22">
          <cell r="A22">
            <v>331</v>
          </cell>
          <cell r="B22" t="str">
            <v>اسراء محمد عبد السلام</v>
          </cell>
          <cell r="C22" t="str">
            <v>غير متفرغ</v>
          </cell>
        </row>
        <row r="23">
          <cell r="A23">
            <v>486</v>
          </cell>
          <cell r="B23" t="str">
            <v>مها صلاح السقا</v>
          </cell>
          <cell r="C23" t="str">
            <v>غير متفرغ</v>
          </cell>
        </row>
        <row r="24">
          <cell r="A24">
            <v>612</v>
          </cell>
          <cell r="B24" t="str">
            <v>ايناس محمد حسن</v>
          </cell>
          <cell r="C24" t="str">
            <v>غير متفرغ</v>
          </cell>
        </row>
        <row r="25">
          <cell r="A25">
            <v>654</v>
          </cell>
          <cell r="B25" t="str">
            <v>أمل سعد حربى</v>
          </cell>
          <cell r="C25" t="str">
            <v>غير متفرغ</v>
          </cell>
        </row>
        <row r="26">
          <cell r="A26">
            <v>653</v>
          </cell>
          <cell r="B26" t="str">
            <v>نصره عبد الفتاح</v>
          </cell>
          <cell r="C26" t="str">
            <v>غير متفرغ</v>
          </cell>
        </row>
        <row r="27">
          <cell r="A27">
            <v>1188</v>
          </cell>
          <cell r="B27" t="str">
            <v>ايمان الوردانى عبد العال</v>
          </cell>
          <cell r="C27" t="str">
            <v>غير متفرغ</v>
          </cell>
        </row>
        <row r="28">
          <cell r="A28">
            <v>1395</v>
          </cell>
          <cell r="B28" t="str">
            <v>عماد محمد سعد</v>
          </cell>
          <cell r="C28" t="str">
            <v>غير متفرغ</v>
          </cell>
        </row>
        <row r="29">
          <cell r="A29">
            <v>385</v>
          </cell>
          <cell r="B29" t="str">
            <v>بسمة محمد قناوى</v>
          </cell>
          <cell r="C29" t="str">
            <v>غير متفرغ</v>
          </cell>
        </row>
        <row r="30">
          <cell r="A30">
            <v>1472</v>
          </cell>
          <cell r="B30" t="str">
            <v>صفية مسعود ابراهيم</v>
          </cell>
          <cell r="C30" t="str">
            <v>غير متفرغ</v>
          </cell>
        </row>
        <row r="31">
          <cell r="A31">
            <v>1500</v>
          </cell>
          <cell r="B31" t="str">
            <v>سهينه صبرى محمد</v>
          </cell>
          <cell r="C31" t="str">
            <v>غير متفرغ</v>
          </cell>
        </row>
        <row r="32">
          <cell r="A32">
            <v>1516</v>
          </cell>
          <cell r="B32" t="str">
            <v>أحمد فتحى قاسم</v>
          </cell>
          <cell r="C32" t="str">
            <v>غير متفرغ</v>
          </cell>
        </row>
        <row r="33">
          <cell r="A33">
            <v>498</v>
          </cell>
          <cell r="B33" t="str">
            <v>اسماعيل محمد اسماعيل</v>
          </cell>
          <cell r="C33" t="str">
            <v>غير متفرغ</v>
          </cell>
        </row>
        <row r="34">
          <cell r="A34">
            <v>1139</v>
          </cell>
          <cell r="B34" t="str">
            <v>م. نجلاء عبدالمجيد</v>
          </cell>
        </row>
        <row r="35">
          <cell r="A35">
            <v>425</v>
          </cell>
          <cell r="B35" t="str">
            <v>م. مديحة محمود</v>
          </cell>
        </row>
        <row r="36">
          <cell r="A36">
            <v>174</v>
          </cell>
          <cell r="B36" t="str">
            <v>منصور محمد</v>
          </cell>
          <cell r="C36" t="str">
            <v>غير متفرغ</v>
          </cell>
        </row>
        <row r="37">
          <cell r="A37">
            <v>112</v>
          </cell>
          <cell r="B37" t="str">
            <v>حسن عباس</v>
          </cell>
        </row>
        <row r="38">
          <cell r="A38">
            <v>652</v>
          </cell>
          <cell r="B38" t="str">
            <v>ملك محمود</v>
          </cell>
        </row>
        <row r="39">
          <cell r="A39">
            <v>424</v>
          </cell>
          <cell r="B39" t="str">
            <v xml:space="preserve">رشا انس </v>
          </cell>
        </row>
        <row r="40">
          <cell r="A40">
            <v>1149</v>
          </cell>
          <cell r="B40" t="str">
            <v xml:space="preserve">جيهان محمد </v>
          </cell>
        </row>
        <row r="41">
          <cell r="A41">
            <v>494</v>
          </cell>
          <cell r="B41" t="str">
            <v>سيد عبد الكريم</v>
          </cell>
        </row>
        <row r="42">
          <cell r="A42">
            <v>1080</v>
          </cell>
          <cell r="B42" t="str">
            <v>عمر عادل الشراكى</v>
          </cell>
        </row>
        <row r="43">
          <cell r="A43">
            <v>329</v>
          </cell>
          <cell r="B43" t="str">
            <v>حنان حميدو</v>
          </cell>
        </row>
        <row r="44">
          <cell r="A44">
            <v>1298</v>
          </cell>
          <cell r="B44" t="str">
            <v>وفاء على</v>
          </cell>
        </row>
        <row r="45">
          <cell r="A45">
            <v>1273</v>
          </cell>
          <cell r="B45" t="str">
            <v>لمياء جمال</v>
          </cell>
        </row>
        <row r="46">
          <cell r="A46">
            <v>1362</v>
          </cell>
          <cell r="B46" t="str">
            <v>صابرين صلاح</v>
          </cell>
        </row>
        <row r="47">
          <cell r="A47">
            <v>1396</v>
          </cell>
          <cell r="B47" t="str">
            <v>نادية محمود متولى</v>
          </cell>
        </row>
        <row r="48">
          <cell r="A48">
            <v>1466</v>
          </cell>
          <cell r="B48" t="str">
            <v>أمل عرفة</v>
          </cell>
        </row>
        <row r="49">
          <cell r="A49">
            <v>1244</v>
          </cell>
          <cell r="B49" t="str">
            <v>أسماء محمد</v>
          </cell>
        </row>
        <row r="50">
          <cell r="A50">
            <v>355</v>
          </cell>
          <cell r="B50" t="str">
            <v>ماجدة مهنى</v>
          </cell>
        </row>
        <row r="51">
          <cell r="A51">
            <v>585</v>
          </cell>
          <cell r="B51" t="str">
            <v>محمد عبدالله</v>
          </cell>
        </row>
        <row r="52">
          <cell r="A52">
            <v>1115</v>
          </cell>
          <cell r="B52" t="str">
            <v>السيد سعد</v>
          </cell>
        </row>
        <row r="53">
          <cell r="A53">
            <v>1384</v>
          </cell>
          <cell r="B53" t="str">
            <v>كارم محمود</v>
          </cell>
        </row>
        <row r="54">
          <cell r="A54">
            <v>423</v>
          </cell>
          <cell r="B54" t="str">
            <v>أمانى عيسى</v>
          </cell>
        </row>
        <row r="55">
          <cell r="A55">
            <v>183</v>
          </cell>
          <cell r="B55" t="str">
            <v>سمر غريب</v>
          </cell>
        </row>
        <row r="56">
          <cell r="A56">
            <v>1454</v>
          </cell>
          <cell r="B56" t="str">
            <v>منى زين</v>
          </cell>
        </row>
        <row r="57">
          <cell r="A57">
            <v>156</v>
          </cell>
          <cell r="B57" t="str">
            <v>م/ياسمين صلاح</v>
          </cell>
        </row>
        <row r="58">
          <cell r="A58">
            <v>1158</v>
          </cell>
          <cell r="B58" t="str">
            <v xml:space="preserve">ايمان سمير </v>
          </cell>
        </row>
        <row r="59">
          <cell r="A59">
            <v>103</v>
          </cell>
          <cell r="B59" t="str">
            <v>مى احمد</v>
          </cell>
        </row>
        <row r="60">
          <cell r="A60">
            <v>228</v>
          </cell>
          <cell r="B60" t="str">
            <v xml:space="preserve">رشا مغاورى </v>
          </cell>
        </row>
        <row r="61">
          <cell r="A61">
            <v>503</v>
          </cell>
          <cell r="B61" t="str">
            <v xml:space="preserve">اميرة اسماعيل </v>
          </cell>
          <cell r="C61" t="str">
            <v>غير متفرغ</v>
          </cell>
        </row>
        <row r="62">
          <cell r="A62">
            <v>1161</v>
          </cell>
          <cell r="B62" t="str">
            <v xml:space="preserve">ايمان عبدالعزيز </v>
          </cell>
        </row>
        <row r="63">
          <cell r="A63">
            <v>473</v>
          </cell>
          <cell r="B63" t="str">
            <v>أسماء السيد</v>
          </cell>
        </row>
        <row r="64">
          <cell r="A64">
            <v>1143</v>
          </cell>
          <cell r="B64" t="str">
            <v>سناء كمال</v>
          </cell>
          <cell r="C64" t="str">
            <v>غير متفرغ</v>
          </cell>
        </row>
        <row r="65">
          <cell r="A65">
            <v>1448</v>
          </cell>
          <cell r="B65" t="str">
            <v>سامية محمد صبحى</v>
          </cell>
        </row>
        <row r="66">
          <cell r="A66">
            <v>1473</v>
          </cell>
          <cell r="B66" t="str">
            <v>أسماء فاروق</v>
          </cell>
        </row>
        <row r="67">
          <cell r="A67">
            <v>189</v>
          </cell>
          <cell r="B67" t="str">
            <v xml:space="preserve">احمد عبد الحكيم </v>
          </cell>
          <cell r="C67" t="str">
            <v>غير متفرغ</v>
          </cell>
        </row>
        <row r="68">
          <cell r="A68">
            <v>358</v>
          </cell>
          <cell r="B68" t="str">
            <v>حازم سعد توفيق</v>
          </cell>
          <cell r="C68" t="str">
            <v>غير متفرغ</v>
          </cell>
        </row>
        <row r="69">
          <cell r="A69">
            <v>1439</v>
          </cell>
          <cell r="B69" t="str">
            <v>السعيد عبد الحميد</v>
          </cell>
          <cell r="C69" t="str">
            <v>غير متفرغ</v>
          </cell>
        </row>
        <row r="70">
          <cell r="A70">
            <v>1452</v>
          </cell>
          <cell r="B70" t="str">
            <v>محرم طه</v>
          </cell>
          <cell r="C70" t="str">
            <v>غير متفرغ</v>
          </cell>
        </row>
        <row r="71">
          <cell r="A71">
            <v>1493</v>
          </cell>
          <cell r="B71" t="str">
            <v>شريف حسين يوسف</v>
          </cell>
          <cell r="C71" t="str">
            <v>غير متفرغ</v>
          </cell>
        </row>
        <row r="72">
          <cell r="A72">
            <v>1494</v>
          </cell>
          <cell r="B72" t="str">
            <v>عبد الله محمد حسونة</v>
          </cell>
          <cell r="C72" t="str">
            <v>غير متفرغ</v>
          </cell>
        </row>
        <row r="73">
          <cell r="A73">
            <v>637</v>
          </cell>
          <cell r="B73" t="str">
            <v xml:space="preserve">مروة متولى </v>
          </cell>
        </row>
        <row r="74">
          <cell r="A74">
            <v>336</v>
          </cell>
          <cell r="B74" t="str">
            <v xml:space="preserve">أحمد محمد مرسى </v>
          </cell>
          <cell r="C74" t="str">
            <v>غير متفرغ</v>
          </cell>
        </row>
        <row r="75">
          <cell r="A75">
            <v>642</v>
          </cell>
          <cell r="B75" t="str">
            <v xml:space="preserve">ابتسام عادل </v>
          </cell>
        </row>
        <row r="76">
          <cell r="A76">
            <v>121</v>
          </cell>
          <cell r="B76" t="str">
            <v>نورهان رمضان</v>
          </cell>
        </row>
        <row r="77">
          <cell r="A77">
            <v>39</v>
          </cell>
          <cell r="B77" t="str">
            <v>نورهان حسن</v>
          </cell>
        </row>
        <row r="78">
          <cell r="A78">
            <v>114</v>
          </cell>
          <cell r="B78" t="str">
            <v>منى توفيق</v>
          </cell>
        </row>
        <row r="79">
          <cell r="A79">
            <v>1053</v>
          </cell>
          <cell r="B79" t="str">
            <v>ايمان حمدى</v>
          </cell>
        </row>
        <row r="80">
          <cell r="A80">
            <v>823</v>
          </cell>
          <cell r="B80" t="str">
            <v xml:space="preserve">ولاء عادل </v>
          </cell>
          <cell r="C80" t="str">
            <v>غير متفرغ</v>
          </cell>
        </row>
        <row r="81">
          <cell r="A81">
            <v>1446</v>
          </cell>
          <cell r="B81" t="str">
            <v>روضة جابر</v>
          </cell>
        </row>
        <row r="82">
          <cell r="A82">
            <v>1032</v>
          </cell>
          <cell r="B82" t="str">
            <v>محمد رشدى</v>
          </cell>
          <cell r="C82" t="str">
            <v>غير متفرغ</v>
          </cell>
        </row>
        <row r="83">
          <cell r="A83">
            <v>499</v>
          </cell>
          <cell r="B83" t="str">
            <v>ايهاب محمد ابراهيم</v>
          </cell>
          <cell r="C83" t="str">
            <v>غير متفرغ</v>
          </cell>
        </row>
        <row r="84">
          <cell r="A84">
            <v>701</v>
          </cell>
          <cell r="B84" t="str">
            <v>على سلامة</v>
          </cell>
        </row>
        <row r="85">
          <cell r="A85">
            <v>1114</v>
          </cell>
          <cell r="B85" t="str">
            <v>محمد عبد الحليم</v>
          </cell>
          <cell r="C85" t="str">
            <v>غير متفرغ</v>
          </cell>
        </row>
        <row r="86">
          <cell r="A86">
            <v>1084</v>
          </cell>
          <cell r="B86" t="str">
            <v>محمد مسعد</v>
          </cell>
        </row>
        <row r="87">
          <cell r="A87">
            <v>1394</v>
          </cell>
          <cell r="B87" t="str">
            <v>محمد رضا السيد</v>
          </cell>
          <cell r="C87" t="str">
            <v>غير متفرغ</v>
          </cell>
        </row>
        <row r="88">
          <cell r="A88">
            <v>1460</v>
          </cell>
          <cell r="B88" t="str">
            <v>أحمد جابر</v>
          </cell>
          <cell r="C88" t="str">
            <v>غير متفرغ</v>
          </cell>
        </row>
        <row r="89">
          <cell r="A89">
            <v>1458</v>
          </cell>
          <cell r="B89" t="str">
            <v>محمد سعد</v>
          </cell>
        </row>
        <row r="90">
          <cell r="A90">
            <v>1496</v>
          </cell>
          <cell r="B90" t="str">
            <v>احمد بيومى</v>
          </cell>
          <cell r="C90" t="str">
            <v>غير متفرغ</v>
          </cell>
        </row>
        <row r="91">
          <cell r="A91">
            <v>496</v>
          </cell>
          <cell r="B91" t="str">
            <v>وليد ابراهيم</v>
          </cell>
        </row>
        <row r="92">
          <cell r="A92">
            <v>1489</v>
          </cell>
          <cell r="B92" t="str">
            <v xml:space="preserve">شريف محمد </v>
          </cell>
        </row>
        <row r="93">
          <cell r="A93">
            <v>353</v>
          </cell>
          <cell r="B93" t="str">
            <v>منال صلاح</v>
          </cell>
        </row>
        <row r="94">
          <cell r="A94">
            <v>320</v>
          </cell>
          <cell r="B94" t="str">
            <v>م/منى محمد أحمد</v>
          </cell>
        </row>
        <row r="95">
          <cell r="A95">
            <v>502</v>
          </cell>
          <cell r="B95" t="str">
            <v>شوزان محمد</v>
          </cell>
        </row>
        <row r="96">
          <cell r="A96">
            <v>242</v>
          </cell>
          <cell r="B96" t="str">
            <v xml:space="preserve">دعاء مسعد </v>
          </cell>
        </row>
        <row r="97">
          <cell r="A97">
            <v>1301</v>
          </cell>
          <cell r="B97" t="str">
            <v>راندا صلاح</v>
          </cell>
          <cell r="C97" t="str">
            <v>غير متفرغ</v>
          </cell>
        </row>
        <row r="98">
          <cell r="A98">
            <v>390</v>
          </cell>
          <cell r="B98" t="str">
            <v>فاطمة حامد محمد</v>
          </cell>
        </row>
        <row r="99">
          <cell r="A99">
            <v>1456</v>
          </cell>
          <cell r="B99" t="str">
            <v>ناهد عبد المقصود على</v>
          </cell>
        </row>
        <row r="100">
          <cell r="A100">
            <v>1468</v>
          </cell>
          <cell r="B100" t="str">
            <v>آية محمد سعد</v>
          </cell>
        </row>
        <row r="101">
          <cell r="A101">
            <v>1475</v>
          </cell>
          <cell r="B101" t="str">
            <v>مها عبد المعطى</v>
          </cell>
        </row>
        <row r="102">
          <cell r="A102">
            <v>1471</v>
          </cell>
          <cell r="B102" t="str">
            <v>هدير رمضان</v>
          </cell>
        </row>
        <row r="103">
          <cell r="A103">
            <v>344</v>
          </cell>
          <cell r="B103" t="str">
            <v>انجى محمد على</v>
          </cell>
        </row>
        <row r="104">
          <cell r="A104">
            <v>1461</v>
          </cell>
          <cell r="B104" t="str">
            <v xml:space="preserve">منى رزق منصور </v>
          </cell>
        </row>
        <row r="105">
          <cell r="A105">
            <v>1174</v>
          </cell>
          <cell r="B105" t="str">
            <v>أحلام محمود</v>
          </cell>
        </row>
        <row r="106">
          <cell r="A106">
            <v>126</v>
          </cell>
          <cell r="B106" t="str">
            <v>مروة محمود</v>
          </cell>
        </row>
        <row r="107">
          <cell r="A107">
            <v>123</v>
          </cell>
          <cell r="B107" t="str">
            <v>نعمة سعد</v>
          </cell>
        </row>
        <row r="108">
          <cell r="A108">
            <v>330</v>
          </cell>
          <cell r="B108" t="str">
            <v>نور الهدى شعبان</v>
          </cell>
        </row>
        <row r="109">
          <cell r="A109">
            <v>387</v>
          </cell>
          <cell r="B109" t="str">
            <v>تهانى أحمد</v>
          </cell>
        </row>
        <row r="110">
          <cell r="A110">
            <v>128</v>
          </cell>
          <cell r="B110" t="str">
            <v>هند فتحى</v>
          </cell>
        </row>
        <row r="111">
          <cell r="A111">
            <v>372</v>
          </cell>
          <cell r="B111" t="str">
            <v>زينب محمد رفعت</v>
          </cell>
          <cell r="C111" t="str">
            <v>7AM:3PM</v>
          </cell>
        </row>
        <row r="112">
          <cell r="A112">
            <v>706</v>
          </cell>
          <cell r="B112" t="str">
            <v>سميرة السيد عوض</v>
          </cell>
        </row>
        <row r="113">
          <cell r="A113">
            <v>700</v>
          </cell>
          <cell r="B113" t="str">
            <v>نهلة محمود عبد اللطيف</v>
          </cell>
        </row>
        <row r="114">
          <cell r="A114">
            <v>1418</v>
          </cell>
          <cell r="B114" t="str">
            <v>نشوى السيد</v>
          </cell>
        </row>
        <row r="115">
          <cell r="A115">
            <v>130</v>
          </cell>
          <cell r="B115" t="str">
            <v>رشا عصام</v>
          </cell>
        </row>
        <row r="116">
          <cell r="A116">
            <v>376</v>
          </cell>
          <cell r="B116" t="str">
            <v>بسنت جابر</v>
          </cell>
        </row>
        <row r="117">
          <cell r="A117">
            <v>36</v>
          </cell>
          <cell r="B117" t="str">
            <v xml:space="preserve"> نيفين ابراهيم</v>
          </cell>
        </row>
        <row r="118">
          <cell r="A118">
            <v>475</v>
          </cell>
          <cell r="B118" t="str">
            <v>ايمان فاروق</v>
          </cell>
        </row>
        <row r="119">
          <cell r="A119">
            <v>422</v>
          </cell>
          <cell r="B119" t="str">
            <v>وائل عبد اللطيف</v>
          </cell>
        </row>
        <row r="120">
          <cell r="A120">
            <v>117</v>
          </cell>
          <cell r="B120" t="str">
            <v>سولا سعد</v>
          </cell>
        </row>
        <row r="121">
          <cell r="A121">
            <v>261</v>
          </cell>
          <cell r="B121" t="str">
            <v>أحمد متولى</v>
          </cell>
        </row>
        <row r="122">
          <cell r="A122">
            <v>260</v>
          </cell>
          <cell r="B122" t="str">
            <v>أحمد محمد محمود</v>
          </cell>
        </row>
        <row r="123">
          <cell r="A123">
            <v>255</v>
          </cell>
          <cell r="B123" t="str">
            <v>محمد جمال</v>
          </cell>
        </row>
        <row r="124">
          <cell r="A124">
            <v>188</v>
          </cell>
          <cell r="B124" t="str">
            <v>ايمان محمد عبد المنعم</v>
          </cell>
        </row>
        <row r="125">
          <cell r="A125">
            <v>262</v>
          </cell>
          <cell r="B125" t="str">
            <v>سعاد سمير</v>
          </cell>
        </row>
        <row r="126">
          <cell r="A126">
            <v>1510</v>
          </cell>
          <cell r="B126" t="str">
            <v>احمد محمد ابراهيم</v>
          </cell>
        </row>
        <row r="127">
          <cell r="A127">
            <v>125</v>
          </cell>
          <cell r="B127" t="str">
            <v>زينب صبحى عبد الروؤف</v>
          </cell>
        </row>
        <row r="128">
          <cell r="A128">
            <v>643</v>
          </cell>
          <cell r="B128" t="str">
            <v xml:space="preserve">ايمان محمد على </v>
          </cell>
          <cell r="C128" t="str">
            <v>غير متفرغ</v>
          </cell>
        </row>
        <row r="129">
          <cell r="A129">
            <v>1233</v>
          </cell>
          <cell r="B129" t="str">
            <v>سلوى فتحى</v>
          </cell>
          <cell r="C129" t="str">
            <v>غير متفرغ</v>
          </cell>
        </row>
        <row r="130">
          <cell r="A130">
            <v>1260</v>
          </cell>
          <cell r="B130" t="str">
            <v>سمر محمد عبد السلام</v>
          </cell>
          <cell r="C130" t="str">
            <v>غير متفرغ</v>
          </cell>
        </row>
        <row r="131">
          <cell r="A131">
            <v>1369</v>
          </cell>
          <cell r="B131" t="str">
            <v>ايمان محمد محمود</v>
          </cell>
          <cell r="C131" t="str">
            <v>غير متفرغ</v>
          </cell>
        </row>
        <row r="132">
          <cell r="A132">
            <v>1406</v>
          </cell>
          <cell r="B132" t="str">
            <v>مروه سمير محمد</v>
          </cell>
          <cell r="C132" t="str">
            <v>غير متفرغ</v>
          </cell>
        </row>
        <row r="133">
          <cell r="A133">
            <v>1419</v>
          </cell>
          <cell r="B133" t="str">
            <v>دينا محمد</v>
          </cell>
        </row>
        <row r="134">
          <cell r="A134">
            <v>1414</v>
          </cell>
          <cell r="B134" t="str">
            <v>يسرا مصطفى محمد</v>
          </cell>
        </row>
        <row r="135">
          <cell r="A135">
            <v>1455</v>
          </cell>
          <cell r="B135" t="str">
            <v>وفاء محمد رمضان</v>
          </cell>
        </row>
        <row r="136">
          <cell r="A136">
            <v>1467</v>
          </cell>
          <cell r="B136" t="str">
            <v xml:space="preserve">السيده سيد أحمد </v>
          </cell>
        </row>
        <row r="137">
          <cell r="A137">
            <v>181</v>
          </cell>
          <cell r="B137" t="str">
            <v xml:space="preserve">عبد السلام حلفايه </v>
          </cell>
          <cell r="C137" t="str">
            <v>غير متفرغ</v>
          </cell>
        </row>
        <row r="138">
          <cell r="A138">
            <v>1253</v>
          </cell>
          <cell r="B138" t="str">
            <v>محمد عبد العظيم اليمانى</v>
          </cell>
          <cell r="C138" t="str">
            <v>غير متفرغ</v>
          </cell>
        </row>
        <row r="139">
          <cell r="A139">
            <v>1425</v>
          </cell>
          <cell r="B139" t="str">
            <v>محمود فتحى محمود</v>
          </cell>
        </row>
        <row r="140">
          <cell r="A140">
            <v>1055</v>
          </cell>
          <cell r="B140" t="str">
            <v>سمر عبد العزيز حسن</v>
          </cell>
        </row>
        <row r="141">
          <cell r="A141">
            <v>259</v>
          </cell>
          <cell r="B141" t="str">
            <v xml:space="preserve">سهام حسن </v>
          </cell>
        </row>
        <row r="142">
          <cell r="A142">
            <v>369</v>
          </cell>
          <cell r="B142" t="str">
            <v>كريم محمد محمد</v>
          </cell>
        </row>
        <row r="143">
          <cell r="A143">
            <v>1514</v>
          </cell>
          <cell r="B143" t="str">
            <v>ايه رمضان عبد النبى</v>
          </cell>
        </row>
        <row r="144">
          <cell r="A144">
            <v>124</v>
          </cell>
          <cell r="B144" t="str">
            <v>جهاد فريد السيد</v>
          </cell>
        </row>
      </sheetData>
      <sheetData sheetId="3" refreshError="1"/>
      <sheetData sheetId="4" refreshError="1"/>
      <sheetData sheetId="5" refreshError="1"/>
      <sheetData sheetId="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3)"/>
      <sheetName val="CAPEX"/>
      <sheetName val="ASH"/>
      <sheetName val="Sheet5"/>
      <sheetName val="lost oportunities"/>
      <sheetName val="Sheet1"/>
      <sheetName val="General  (4)"/>
      <sheetName val="Draft"/>
      <sheetName val="General__(3)1"/>
      <sheetName val="lost_oportunities1"/>
      <sheetName val="General__(4)1"/>
      <sheetName val="General__(3)"/>
      <sheetName val="lost_oportunities"/>
      <sheetName val="General__(4)"/>
      <sheetName val="General__(3)2"/>
      <sheetName val="lost_oportunities2"/>
      <sheetName val="General__(4)2"/>
      <sheetName val="General__(3)6"/>
      <sheetName val="lost_oportunities6"/>
      <sheetName val="General__(4)6"/>
      <sheetName val="General__(3)3"/>
      <sheetName val="lost_oportunities3"/>
      <sheetName val="General__(4)3"/>
      <sheetName val="General__(3)4"/>
      <sheetName val="lost_oportunities4"/>
      <sheetName val="General__(4)4"/>
      <sheetName val="General__(3)5"/>
      <sheetName val="lost_oportunities5"/>
      <sheetName val="General__(4)5"/>
      <sheetName val="General__(3)7"/>
      <sheetName val="lost_oportunities7"/>
      <sheetName val="General__(4)7"/>
      <sheetName val="General__(3)8"/>
      <sheetName val="lost_oportunities8"/>
      <sheetName val="General__(4)8"/>
      <sheetName val="General__(3)9"/>
      <sheetName val="lost_oportunities9"/>
      <sheetName val="General__(4)9"/>
      <sheetName val="General__(3)10"/>
      <sheetName val="lost_oportunities10"/>
      <sheetName val="General__(4)10"/>
      <sheetName val="General__(3)11"/>
      <sheetName val="lost_oportunities11"/>
      <sheetName val="General__(4)11"/>
      <sheetName val="General__(3)12"/>
      <sheetName val="lost_oportunities12"/>
      <sheetName val="General__(4)12"/>
      <sheetName val="Calendar"/>
      <sheetName val="purchasing and store"/>
      <sheetName val=""/>
      <sheetName val="Sheet6"/>
      <sheetName val="Sheet2"/>
    </sheetNames>
    <definedNames>
      <definedName name="DFJDJ" refersTo="#REF!"/>
      <definedName name="End_Bal" refersTo="#REF!" sheetId="0"/>
      <definedName name="FJEY" refersTo="#REF!"/>
      <definedName name="Full_Print" refersTo="#REF!" sheetId="0"/>
      <definedName name="GF" refersTo="#REF!"/>
      <definedName name="GFJGDJ" refersTo="#REF!"/>
      <definedName name="Interest_Rate" refersTo="#REF!" sheetId="0"/>
      <definedName name="Last_Row" refersTo="#REF!" sheetId="0"/>
      <definedName name="Loan_Amount" refersTo="#REF!" sheetId="0"/>
      <definedName name="Loan_Start" refersTo="#REF!" sheetId="0"/>
      <definedName name="Loan_Years" refersTo="#REF!" sheetId="0"/>
    </defined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sheetData sheetId="49" refreshError="1"/>
      <sheetData sheetId="50" refreshError="1"/>
      <sheetData sheetId="5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finance sheet"/>
      <sheetName val="Sheet1_(2)1"/>
      <sheetName val="finance_sheet1"/>
      <sheetName val="Sheet1_(2)"/>
      <sheetName val="finance_sheet"/>
      <sheetName val="finance_sheet2"/>
      <sheetName val="Sheet1_(2)2"/>
      <sheetName val="finance_sheet7"/>
      <sheetName val="Sheet1_(2)6"/>
      <sheetName val="finance_sheet3"/>
      <sheetName val="Sheet1_(2)3"/>
      <sheetName val="finance_sheet4"/>
      <sheetName val="Sheet1_(2)4"/>
      <sheetName val="finance_sheet5"/>
      <sheetName val="Sheet1_(2)5"/>
      <sheetName val="finance_sheet6"/>
      <sheetName val="finance_sheet8"/>
      <sheetName val="finance_sheet9"/>
      <sheetName val="Sheet1_(2)7"/>
      <sheetName val="finance_sheet10"/>
      <sheetName val="Sheet1_(2)8"/>
      <sheetName val="Sheet1_(2)9"/>
      <sheetName val="finance_sheet11"/>
      <sheetName val="Sheet1_(2)10"/>
      <sheetName val="finance_sheet12"/>
      <sheetName val="Sheet1_(2)11"/>
      <sheetName val="finance_sheet13"/>
      <sheetName val="Sheet1_(2)12"/>
      <sheetName val="finance_sheet14"/>
      <sheetName val="finance_sheet15"/>
      <sheetName val="Lists"/>
    </sheetNames>
    <definedNames>
      <definedName name="Interest_Rate" refersTo="#REF!"/>
      <definedName name="Loan_Amount" refersTo="#REF!"/>
      <definedName name="Loan_Start" refersTo="#REF!"/>
      <definedName name="Loan_Years" refersTo="#REF!"/>
    </defined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e Costi"/>
      <sheetName val="Costi Fissi"/>
      <sheetName val="Costi Variabili"/>
      <sheetName val="Sheet2"/>
      <sheetName val="Totale_Costi1"/>
      <sheetName val="Costi_Fissi1"/>
      <sheetName val="Costi_Variabili1"/>
      <sheetName val="Totale_Costi"/>
      <sheetName val="Costi_Fissi"/>
      <sheetName val="Costi_Variabili"/>
      <sheetName val="Totale_Costi2"/>
      <sheetName val="Costi_Fissi2"/>
      <sheetName val="Costi_Variabili2"/>
      <sheetName val="KSA"/>
      <sheetName val="over view"/>
      <sheetName val="HJH"/>
      <sheetName val="Sheet1"/>
      <sheetName val="HJH OVERVIEW "/>
      <sheetName val="  target per Specialty  "/>
      <sheetName val="AKW"/>
      <sheetName val="OPD Analysis  (2)"/>
      <sheetName val="ADC"/>
      <sheetName val="Polyclinic "/>
      <sheetName val="Totale_Costi6"/>
      <sheetName val="Costi_Fissi6"/>
      <sheetName val="Costi_Variabili6"/>
      <sheetName val="over_view2"/>
      <sheetName val="HJH_OVERVIEW_2"/>
      <sheetName val="__target_per_Specialty__2"/>
      <sheetName val="OPD_Analysis__(2)2"/>
      <sheetName val="Polyclinic_2"/>
      <sheetName val="Totale_Costi3"/>
      <sheetName val="Costi_Fissi3"/>
      <sheetName val="Costi_Variabili3"/>
      <sheetName val="Totale_Costi4"/>
      <sheetName val="Costi_Fissi4"/>
      <sheetName val="Costi_Variabili4"/>
      <sheetName val="over_view"/>
      <sheetName val="HJH_OVERVIEW_"/>
      <sheetName val="__target_per_Specialty__"/>
      <sheetName val="OPD_Analysis__(2)"/>
      <sheetName val="Polyclinic_"/>
      <sheetName val="Totale_Costi5"/>
      <sheetName val="Costi_Fissi5"/>
      <sheetName val="Costi_Variabili5"/>
      <sheetName val="over_view1"/>
      <sheetName val="HJH_OVERVIEW_1"/>
      <sheetName val="__target_per_Specialty__1"/>
      <sheetName val="OPD_Analysis__(2)1"/>
      <sheetName val="Polyclinic_1"/>
      <sheetName val="Totale_Costi7"/>
      <sheetName val="Costi_Fissi7"/>
      <sheetName val="Costi_Variabili7"/>
      <sheetName val="over_view3"/>
      <sheetName val="HJH_OVERVIEW_3"/>
      <sheetName val="__target_per_Specialty__3"/>
      <sheetName val="OPD_Analysis__(2)3"/>
      <sheetName val="Polyclinic_3"/>
      <sheetName val="Totale_Costi8"/>
      <sheetName val="Costi_Fissi8"/>
      <sheetName val="Costi_Variabili8"/>
      <sheetName val="over_view4"/>
      <sheetName val="HJH_OVERVIEW_4"/>
      <sheetName val="__target_per_Specialty__4"/>
      <sheetName val="OPD_Analysis__(2)4"/>
      <sheetName val="Polyclinic_4"/>
      <sheetName val="Totale_Costi9"/>
      <sheetName val="Costi_Fissi9"/>
      <sheetName val="Costi_Variabili9"/>
      <sheetName val="over_view5"/>
      <sheetName val="HJH_OVERVIEW_5"/>
      <sheetName val="__target_per_Specialty__5"/>
      <sheetName val="OPD_Analysis__(2)5"/>
      <sheetName val="Polyclinic_5"/>
      <sheetName val="Totale_Costi10"/>
      <sheetName val="Costi_Fissi10"/>
      <sheetName val="Costi_Variabili10"/>
      <sheetName val="over_view6"/>
      <sheetName val="HJH_OVERVIEW_6"/>
      <sheetName val="__target_per_Specialty__6"/>
      <sheetName val="OPD_Analysis__(2)6"/>
      <sheetName val="Polyclinic_6"/>
      <sheetName val="Totale_Costi11"/>
      <sheetName val="Costi_Fissi11"/>
      <sheetName val="Costi_Variabili11"/>
      <sheetName val="over_view7"/>
      <sheetName val="HJH_OVERVIEW_7"/>
      <sheetName val="__target_per_Specialty__7"/>
      <sheetName val="OPD_Analysis__(2)7"/>
      <sheetName val="Polyclinic_7"/>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am Structure"/>
      <sheetName val="Exceptional JDC 55% - LCHT 155%"/>
      <sheetName val="Sheet1"/>
      <sheetName val="jdc"/>
      <sheetName val="lecheate"/>
      <sheetName val="Companies Break Down"/>
      <sheetName val="Companies activties"/>
      <sheetName val="Telesales"/>
      <sheetName val="Budget"/>
      <sheetName val="HAITHAM final Ins Plan 2014"/>
      <sheetName val="Costi Variabili"/>
      <sheetName val="KSA"/>
      <sheetName val="over view"/>
      <sheetName val="HJH"/>
      <sheetName val="HJH OVERVIEW "/>
      <sheetName val="  target per Specialty  "/>
      <sheetName val="AKW"/>
      <sheetName val="OPD Analysis  (2)"/>
      <sheetName val="ADC"/>
      <sheetName val="Polyclinic "/>
      <sheetName val="Team_Structure1"/>
      <sheetName val="Exceptional_JDC_55%_-_LCHT_1551"/>
      <sheetName val="Companies_Break_Down1"/>
      <sheetName val="Companies_activties1"/>
      <sheetName val="HAITHAM_final_Ins_Plan_20141"/>
      <sheetName val="Costi_Variabili1"/>
      <sheetName val="over_view1"/>
      <sheetName val="HJH_OVERVIEW_1"/>
      <sheetName val="__target_per_Specialty__1"/>
      <sheetName val="OPD_Analysis__(2)1"/>
      <sheetName val="Polyclinic_1"/>
      <sheetName val="Team_Structure"/>
      <sheetName val="Exceptional_JDC_55%_-_LCHT_155%"/>
      <sheetName val="Companies_Break_Down"/>
      <sheetName val="Companies_activties"/>
      <sheetName val="HAITHAM_final_Ins_Plan_2014"/>
      <sheetName val="Costi_Variabili"/>
      <sheetName val="over_view"/>
      <sheetName val="HJH_OVERVIEW_"/>
      <sheetName val="__target_per_Specialty__"/>
      <sheetName val="OPD_Analysis__(2)"/>
      <sheetName val="Polyclinic_"/>
      <sheetName val="HAITHAM_final_Ins_Plan_20142"/>
      <sheetName val="Team_Structure2"/>
      <sheetName val="Exceptional_JDC_55%_-_LCHT_1552"/>
      <sheetName val="Companies_Break_Down2"/>
      <sheetName val="Companies_activties2"/>
      <sheetName val="Costi_Variabili2"/>
      <sheetName val="over_view2"/>
      <sheetName val="HJH_OVERVIEW_2"/>
      <sheetName val="__target_per_Specialty__2"/>
      <sheetName val="OPD_Analysis__(2)2"/>
      <sheetName val="Polyclinic_2"/>
      <sheetName val="HAITHAM_final_Ins_Plan_20147"/>
      <sheetName val="Team_Structure6"/>
      <sheetName val="Exceptional_JDC_55%_-_LCHT_1556"/>
      <sheetName val="Companies_Break_Down6"/>
      <sheetName val="Companies_activties6"/>
      <sheetName val="Costi_Variabili6"/>
      <sheetName val="over_view6"/>
      <sheetName val="HJH_OVERVIEW_6"/>
      <sheetName val="__target_per_Specialty__6"/>
      <sheetName val="OPD_Analysis__(2)6"/>
      <sheetName val="Polyclinic_6"/>
      <sheetName val="HAITHAM_final_Ins_Plan_20143"/>
      <sheetName val="Team_Structure3"/>
      <sheetName val="Exceptional_JDC_55%_-_LCHT_1553"/>
      <sheetName val="Companies_Break_Down3"/>
      <sheetName val="Companies_activties3"/>
      <sheetName val="Costi_Variabili3"/>
      <sheetName val="over_view3"/>
      <sheetName val="HJH_OVERVIEW_3"/>
      <sheetName val="__target_per_Specialty__3"/>
      <sheetName val="OPD_Analysis__(2)3"/>
      <sheetName val="Polyclinic_3"/>
      <sheetName val="HAITHAM_final_Ins_Plan_20144"/>
      <sheetName val="Team_Structure4"/>
      <sheetName val="Exceptional_JDC_55%_-_LCHT_1554"/>
      <sheetName val="Companies_Break_Down4"/>
      <sheetName val="Companies_activties4"/>
      <sheetName val="Costi_Variabili4"/>
      <sheetName val="over_view4"/>
      <sheetName val="HJH_OVERVIEW_4"/>
      <sheetName val="__target_per_Specialty__4"/>
      <sheetName val="OPD_Analysis__(2)4"/>
      <sheetName val="Polyclinic_4"/>
      <sheetName val="HAITHAM_final_Ins_Plan_20145"/>
      <sheetName val="Team_Structure5"/>
      <sheetName val="Exceptional_JDC_55%_-_LCHT_1555"/>
      <sheetName val="Companies_Break_Down5"/>
      <sheetName val="Companies_activties5"/>
      <sheetName val="Costi_Variabili5"/>
      <sheetName val="over_view5"/>
      <sheetName val="HJH_OVERVIEW_5"/>
      <sheetName val="__target_per_Specialty__5"/>
      <sheetName val="OPD_Analysis__(2)5"/>
      <sheetName val="Polyclinic_5"/>
      <sheetName val="HAITHAM_final_Ins_Plan_20146"/>
      <sheetName val="HAITHAM_final_Ins_Plan_20148"/>
      <sheetName val="HAITHAM_final_Ins_Plan_20149"/>
      <sheetName val="HAITHAM_final_Ins_Plan_201410"/>
      <sheetName val="Team_Structure7"/>
      <sheetName val="Exceptional_JDC_55%_-_LCHT_1557"/>
      <sheetName val="Companies_Break_Down7"/>
      <sheetName val="Companies_activties7"/>
      <sheetName val="Costi_Variabili7"/>
      <sheetName val="over_view7"/>
      <sheetName val="HJH_OVERVIEW_7"/>
      <sheetName val="__target_per_Specialty__7"/>
      <sheetName val="OPD_Analysis__(2)7"/>
      <sheetName val="Polyclinic_7"/>
      <sheetName val="Team_Structure8"/>
      <sheetName val="Exceptional_JDC_55%_-_LCHT_1558"/>
      <sheetName val="Companies_Break_Down8"/>
      <sheetName val="Companies_activties8"/>
      <sheetName val="HAITHAM_final_Ins_Plan_201411"/>
      <sheetName val="Costi_Variabili8"/>
      <sheetName val="over_view8"/>
      <sheetName val="HJH_OVERVIEW_8"/>
      <sheetName val="__target_per_Specialty__8"/>
      <sheetName val="OPD_Analysis__(2)8"/>
      <sheetName val="Polyclinic_8"/>
      <sheetName val="Team_Structure9"/>
      <sheetName val="Exceptional_JDC_55%_-_LCHT_1559"/>
      <sheetName val="Companies_Break_Down9"/>
      <sheetName val="Companies_activties9"/>
      <sheetName val="HAITHAM_final_Ins_Plan_201412"/>
      <sheetName val="Costi_Variabili9"/>
      <sheetName val="over_view9"/>
      <sheetName val="HJH_OVERVIEW_9"/>
      <sheetName val="__target_per_Specialty__9"/>
      <sheetName val="OPD_Analysis__(2)9"/>
      <sheetName val="Polyclinic_9"/>
      <sheetName val="Team_Structure10"/>
      <sheetName val="Exceptional_JDC_55%_-_LCHT_1510"/>
      <sheetName val="Companies_Break_Down10"/>
      <sheetName val="Companies_activties10"/>
      <sheetName val="HAITHAM_final_Ins_Plan_201413"/>
      <sheetName val="Costi_Variabili10"/>
      <sheetName val="over_view10"/>
      <sheetName val="HJH_OVERVIEW_10"/>
      <sheetName val="__target_per_Specialty__10"/>
      <sheetName val="OPD_Analysis__(2)10"/>
      <sheetName val="Polyclinic_10"/>
      <sheetName val="Team_Structure11"/>
      <sheetName val="Exceptional_JDC_55%_-_LCHT_1511"/>
      <sheetName val="Companies_Break_Down11"/>
      <sheetName val="Companies_activties11"/>
      <sheetName val="HAITHAM_final_Ins_Plan_201414"/>
      <sheetName val="Costi_Variabili11"/>
      <sheetName val="over_view11"/>
      <sheetName val="HJH_OVERVIEW_11"/>
      <sheetName val="__target_per_Specialty__11"/>
      <sheetName val="OPD_Analysis__(2)11"/>
      <sheetName val="Polyclinic_11"/>
    </sheetNames>
    <definedNames>
      <definedName name="Data.Top.Left"/>
      <definedName name="Macro1"/>
      <definedName name="Macro2"/>
    </definedNames>
    <sheetDataSet>
      <sheetData sheetId="0"/>
      <sheetData sheetId="1">
        <row r="55">
          <cell r="G55">
            <v>32934004.206233695</v>
          </cell>
        </row>
      </sheetData>
      <sheetData sheetId="2"/>
      <sheetData sheetId="3"/>
      <sheetData sheetId="4"/>
      <sheetData sheetId="5"/>
      <sheetData sheetId="6"/>
      <sheetData sheetId="7"/>
      <sheetData sheetId="8"/>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row r="55">
          <cell r="G55">
            <v>32934004.206233695</v>
          </cell>
        </row>
      </sheetData>
      <sheetData sheetId="22"/>
      <sheetData sheetId="23"/>
      <sheetData sheetId="24"/>
      <sheetData sheetId="25"/>
      <sheetData sheetId="26"/>
      <sheetData sheetId="27"/>
      <sheetData sheetId="28"/>
      <sheetData sheetId="29"/>
      <sheetData sheetId="30"/>
      <sheetData sheetId="31"/>
      <sheetData sheetId="32">
        <row r="55">
          <cell r="G55">
            <v>32934004.206233695</v>
          </cell>
        </row>
      </sheetData>
      <sheetData sheetId="33"/>
      <sheetData sheetId="34"/>
      <sheetData sheetId="35"/>
      <sheetData sheetId="36"/>
      <sheetData sheetId="37"/>
      <sheetData sheetId="38"/>
      <sheetData sheetId="39"/>
      <sheetData sheetId="40"/>
      <sheetData sheetId="41"/>
      <sheetData sheetId="42"/>
      <sheetData sheetId="43"/>
      <sheetData sheetId="44">
        <row r="55">
          <cell r="G55">
            <v>32934004.206233695</v>
          </cell>
        </row>
      </sheetData>
      <sheetData sheetId="45"/>
      <sheetData sheetId="46"/>
      <sheetData sheetId="47"/>
      <sheetData sheetId="48"/>
      <sheetData sheetId="49"/>
      <sheetData sheetId="50"/>
      <sheetData sheetId="51"/>
      <sheetData sheetId="52"/>
      <sheetData sheetId="53"/>
      <sheetData sheetId="54"/>
      <sheetData sheetId="55">
        <row r="55">
          <cell r="G55">
            <v>32934004.206233695</v>
          </cell>
        </row>
      </sheetData>
      <sheetData sheetId="56"/>
      <sheetData sheetId="57"/>
      <sheetData sheetId="58"/>
      <sheetData sheetId="59"/>
      <sheetData sheetId="60"/>
      <sheetData sheetId="61"/>
      <sheetData sheetId="62"/>
      <sheetData sheetId="63"/>
      <sheetData sheetId="64"/>
      <sheetData sheetId="65"/>
      <sheetData sheetId="66">
        <row r="55">
          <cell r="G55">
            <v>32934004.206233695</v>
          </cell>
        </row>
      </sheetData>
      <sheetData sheetId="67"/>
      <sheetData sheetId="68"/>
      <sheetData sheetId="69"/>
      <sheetData sheetId="70"/>
      <sheetData sheetId="71"/>
      <sheetData sheetId="72"/>
      <sheetData sheetId="73"/>
      <sheetData sheetId="74"/>
      <sheetData sheetId="75"/>
      <sheetData sheetId="76"/>
      <sheetData sheetId="77">
        <row r="55">
          <cell r="G55">
            <v>32934004.206233695</v>
          </cell>
        </row>
      </sheetData>
      <sheetData sheetId="78"/>
      <sheetData sheetId="79"/>
      <sheetData sheetId="80"/>
      <sheetData sheetId="81"/>
      <sheetData sheetId="82"/>
      <sheetData sheetId="83"/>
      <sheetData sheetId="84"/>
      <sheetData sheetId="85"/>
      <sheetData sheetId="86"/>
      <sheetData sheetId="87"/>
      <sheetData sheetId="88">
        <row r="55">
          <cell r="G55">
            <v>32934004.206233695</v>
          </cell>
        </row>
      </sheetData>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row r="55">
          <cell r="G55">
            <v>32934004.206233695</v>
          </cell>
        </row>
      </sheetData>
      <sheetData sheetId="103"/>
      <sheetData sheetId="104"/>
      <sheetData sheetId="105"/>
      <sheetData sheetId="106"/>
      <sheetData sheetId="107"/>
      <sheetData sheetId="108"/>
      <sheetData sheetId="109"/>
      <sheetData sheetId="110"/>
      <sheetData sheetId="111"/>
      <sheetData sheetId="112">
        <row r="55">
          <cell r="G55">
            <v>32934004.206233695</v>
          </cell>
        </row>
      </sheetData>
      <sheetData sheetId="113"/>
      <sheetData sheetId="114"/>
      <sheetData sheetId="115"/>
      <sheetData sheetId="116"/>
      <sheetData sheetId="117"/>
      <sheetData sheetId="118"/>
      <sheetData sheetId="119"/>
      <sheetData sheetId="120"/>
      <sheetData sheetId="121"/>
      <sheetData sheetId="122"/>
      <sheetData sheetId="123">
        <row r="55">
          <cell r="G55">
            <v>32934004.206233695</v>
          </cell>
        </row>
      </sheetData>
      <sheetData sheetId="124"/>
      <sheetData sheetId="125"/>
      <sheetData sheetId="126"/>
      <sheetData sheetId="127"/>
      <sheetData sheetId="128"/>
      <sheetData sheetId="129"/>
      <sheetData sheetId="130"/>
      <sheetData sheetId="131"/>
      <sheetData sheetId="132"/>
      <sheetData sheetId="133"/>
      <sheetData sheetId="134">
        <row r="55">
          <cell r="G55">
            <v>32934004.206233695</v>
          </cell>
        </row>
      </sheetData>
      <sheetData sheetId="135"/>
      <sheetData sheetId="136"/>
      <sheetData sheetId="137"/>
      <sheetData sheetId="138"/>
      <sheetData sheetId="139"/>
      <sheetData sheetId="140"/>
      <sheetData sheetId="141"/>
      <sheetData sheetId="142"/>
      <sheetData sheetId="143"/>
      <sheetData sheetId="144"/>
      <sheetData sheetId="145">
        <row r="55">
          <cell r="G55">
            <v>32934004.206233695</v>
          </cell>
        </row>
      </sheetData>
      <sheetData sheetId="146"/>
      <sheetData sheetId="147"/>
      <sheetData sheetId="148"/>
      <sheetData sheetId="149"/>
      <sheetData sheetId="150"/>
      <sheetData sheetId="151"/>
      <sheetData sheetId="152"/>
      <sheetData sheetId="153"/>
      <sheetData sheetId="154"/>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come"/>
      <sheetName val="Fixed Costs"/>
      <sheetName val="Variable Costs"/>
      <sheetName val="Total Project Cost"/>
      <sheetName val="BEP"/>
      <sheetName val="ORIX"/>
      <sheetName val="MRI Study"/>
      <sheetName val="MRI  study 2012"/>
      <sheetName val="Fixed_Costs1"/>
      <sheetName val="Variable_Costs1"/>
      <sheetName val="Total_Project_Cost1"/>
      <sheetName val="MRI_Study1"/>
      <sheetName val="MRI__study_20121"/>
      <sheetName val="Fixed_Costs"/>
      <sheetName val="Variable_Costs"/>
      <sheetName val="Total_Project_Cost"/>
      <sheetName val="MRI_Study"/>
      <sheetName val="MRI__study_2012"/>
      <sheetName val="Fixed_Costs2"/>
      <sheetName val="Variable_Costs2"/>
      <sheetName val="Total_Project_Cost2"/>
      <sheetName val="MRI_Study2"/>
      <sheetName val="MRI__study_20122"/>
      <sheetName val="Fixed_Costs6"/>
      <sheetName val="Variable_Costs6"/>
      <sheetName val="Total_Project_Cost6"/>
      <sheetName val="MRI_Study6"/>
      <sheetName val="MRI__study_20126"/>
      <sheetName val="Fixed_Costs3"/>
      <sheetName val="Variable_Costs3"/>
      <sheetName val="Total_Project_Cost3"/>
      <sheetName val="MRI_Study3"/>
      <sheetName val="MRI__study_20123"/>
      <sheetName val="Fixed_Costs4"/>
      <sheetName val="Variable_Costs4"/>
      <sheetName val="Total_Project_Cost4"/>
      <sheetName val="MRI_Study4"/>
      <sheetName val="MRI__study_20124"/>
      <sheetName val="Fixed_Costs5"/>
      <sheetName val="Variable_Costs5"/>
      <sheetName val="Total_Project_Cost5"/>
      <sheetName val="MRI_Study5"/>
      <sheetName val="MRI__study_20125"/>
      <sheetName val="Fixed_Costs7"/>
      <sheetName val="Variable_Costs7"/>
      <sheetName val="Total_Project_Cost7"/>
      <sheetName val="MRI_Study7"/>
      <sheetName val="MRI__study_20127"/>
      <sheetName val="Fixed_Costs8"/>
      <sheetName val="Variable_Costs8"/>
      <sheetName val="Total_Project_Cost8"/>
      <sheetName val="MRI_Study8"/>
      <sheetName val="MRI__study_20128"/>
      <sheetName val="Fixed_Costs9"/>
      <sheetName val="Variable_Costs9"/>
      <sheetName val="Total_Project_Cost9"/>
      <sheetName val="MRI_Study9"/>
      <sheetName val="MRI__study_20129"/>
      <sheetName val="Fixed_Costs10"/>
      <sheetName val="Variable_Costs10"/>
      <sheetName val="Total_Project_Cost10"/>
      <sheetName val="MRI_Study10"/>
      <sheetName val="MRI__study_201210"/>
      <sheetName val="Fixed_Costs11"/>
      <sheetName val="Variable_Costs11"/>
      <sheetName val="Total_Project_Cost11"/>
      <sheetName val="MRI_Study11"/>
      <sheetName val="MRI__study_201211"/>
      <sheetName val="Fixed_Costs12"/>
      <sheetName val="Variable_Costs12"/>
      <sheetName val="Total_Project_Cost12"/>
      <sheetName val="MRI_Study12"/>
      <sheetName val="MRI__study_201212"/>
    </sheetNames>
    <sheetDataSet>
      <sheetData sheetId="0"/>
      <sheetData sheetId="1"/>
      <sheetData sheetId="2"/>
      <sheetData sheetId="3"/>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BEP"/>
      <sheetName val="Meetings for Decision list act."/>
      <sheetName val="target 2014 delta team"/>
    </sheetNames>
    <sheetDataSet>
      <sheetData sheetId="0" refreshError="1"/>
      <sheetData sheetId="1" refreshError="1"/>
      <sheetData sheetId="2"/>
      <sheetData sheetId="3" refreshError="1"/>
      <sheetData sheetId="4" refreshError="1"/>
      <sheetData sheetId="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Calender"/>
      <sheetName val="Decision list Report "/>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8">
          <cell r="C18">
            <v>3300000</v>
          </cell>
        </row>
        <row r="19">
          <cell r="C19">
            <v>3142640.0588940498</v>
          </cell>
        </row>
        <row r="20">
          <cell r="C20">
            <v>2979772.5198493912</v>
          </cell>
        </row>
        <row r="21">
          <cell r="C21">
            <v>2811204.6169381696</v>
          </cell>
        </row>
        <row r="22">
          <cell r="C22">
            <v>2636736.837425055</v>
          </cell>
        </row>
        <row r="23">
          <cell r="C23">
            <v>2456162.6856289813</v>
          </cell>
        </row>
        <row r="24">
          <cell r="C24">
            <v>2269268.4385200455</v>
          </cell>
        </row>
        <row r="25">
          <cell r="C25">
            <v>2075832.8927622968</v>
          </cell>
        </row>
        <row r="26">
          <cell r="C26">
            <v>1875627.1029030269</v>
          </cell>
        </row>
        <row r="27">
          <cell r="C27">
            <v>1668414.1103986825</v>
          </cell>
        </row>
        <row r="28">
          <cell r="C28">
            <v>1453948.6631566861</v>
          </cell>
        </row>
        <row r="29">
          <cell r="C29">
            <v>1231976.9252612197</v>
          </cell>
        </row>
        <row r="30">
          <cell r="C30">
            <v>1002236.1765394121</v>
          </cell>
        </row>
        <row r="31">
          <cell r="C31">
            <v>764454.50161234126</v>
          </cell>
        </row>
        <row r="32">
          <cell r="C32">
            <v>518350.46806282288</v>
          </cell>
        </row>
        <row r="33">
          <cell r="C33">
            <v>263632.79333907133</v>
          </cell>
        </row>
        <row r="34">
          <cell r="C34">
            <v>0</v>
          </cell>
        </row>
        <row r="35">
          <cell r="C35">
            <v>0</v>
          </cell>
        </row>
        <row r="36">
          <cell r="C36">
            <v>0</v>
          </cell>
        </row>
        <row r="37">
          <cell r="C37">
            <v>0</v>
          </cell>
        </row>
        <row r="38">
          <cell r="C38">
            <v>0</v>
          </cell>
        </row>
        <row r="39">
          <cell r="C39">
            <v>0</v>
          </cell>
        </row>
        <row r="40">
          <cell r="C40">
            <v>0</v>
          </cell>
        </row>
        <row r="41">
          <cell r="C41">
            <v>0</v>
          </cell>
        </row>
        <row r="42">
          <cell r="C42">
            <v>0</v>
          </cell>
        </row>
        <row r="43">
          <cell r="C43">
            <v>0</v>
          </cell>
        </row>
        <row r="44">
          <cell r="C44">
            <v>0</v>
          </cell>
        </row>
        <row r="45">
          <cell r="C45">
            <v>0</v>
          </cell>
        </row>
        <row r="46">
          <cell r="C46">
            <v>0</v>
          </cell>
        </row>
        <row r="47">
          <cell r="C47">
            <v>0</v>
          </cell>
        </row>
        <row r="48">
          <cell r="C48">
            <v>0</v>
          </cell>
        </row>
        <row r="49">
          <cell r="C49">
            <v>0</v>
          </cell>
        </row>
        <row r="50">
          <cell r="C50">
            <v>0</v>
          </cell>
        </row>
        <row r="51">
          <cell r="C51">
            <v>0</v>
          </cell>
        </row>
        <row r="52">
          <cell r="C52">
            <v>0</v>
          </cell>
        </row>
        <row r="53">
          <cell r="C53">
            <v>0</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row r="188">
          <cell r="C188">
            <v>0</v>
          </cell>
        </row>
        <row r="189">
          <cell r="C189">
            <v>0</v>
          </cell>
        </row>
        <row r="190">
          <cell r="C190">
            <v>0</v>
          </cell>
        </row>
        <row r="191">
          <cell r="C191">
            <v>0</v>
          </cell>
        </row>
        <row r="192">
          <cell r="C192">
            <v>0</v>
          </cell>
        </row>
        <row r="193">
          <cell r="C193">
            <v>0</v>
          </cell>
        </row>
        <row r="194">
          <cell r="C194">
            <v>0</v>
          </cell>
        </row>
        <row r="195">
          <cell r="C195">
            <v>0</v>
          </cell>
        </row>
        <row r="196">
          <cell r="C196">
            <v>0</v>
          </cell>
        </row>
        <row r="197">
          <cell r="C197">
            <v>0</v>
          </cell>
        </row>
        <row r="198">
          <cell r="C198">
            <v>0</v>
          </cell>
        </row>
        <row r="199">
          <cell r="C199">
            <v>0</v>
          </cell>
        </row>
        <row r="200">
          <cell r="C200">
            <v>0</v>
          </cell>
        </row>
        <row r="201">
          <cell r="C201">
            <v>0</v>
          </cell>
        </row>
        <row r="202">
          <cell r="C202">
            <v>0</v>
          </cell>
        </row>
        <row r="203">
          <cell r="C203">
            <v>0</v>
          </cell>
        </row>
        <row r="204">
          <cell r="C204">
            <v>0</v>
          </cell>
        </row>
        <row r="205">
          <cell r="C205">
            <v>0</v>
          </cell>
        </row>
        <row r="206">
          <cell r="C206">
            <v>0</v>
          </cell>
        </row>
        <row r="207">
          <cell r="C207">
            <v>0</v>
          </cell>
        </row>
        <row r="208">
          <cell r="C208">
            <v>0</v>
          </cell>
        </row>
        <row r="209">
          <cell r="C209">
            <v>0</v>
          </cell>
        </row>
        <row r="210">
          <cell r="C210">
            <v>0</v>
          </cell>
        </row>
        <row r="211">
          <cell r="C211">
            <v>0</v>
          </cell>
        </row>
        <row r="212">
          <cell r="C212">
            <v>0</v>
          </cell>
        </row>
        <row r="213">
          <cell r="C213">
            <v>0</v>
          </cell>
        </row>
        <row r="214">
          <cell r="C214">
            <v>0</v>
          </cell>
        </row>
        <row r="215">
          <cell r="C215">
            <v>0</v>
          </cell>
        </row>
        <row r="216">
          <cell r="C216">
            <v>0</v>
          </cell>
        </row>
        <row r="217">
          <cell r="C217">
            <v>0</v>
          </cell>
        </row>
        <row r="218">
          <cell r="C218">
            <v>0</v>
          </cell>
        </row>
        <row r="219">
          <cell r="C219">
            <v>0</v>
          </cell>
        </row>
        <row r="220">
          <cell r="C220">
            <v>0</v>
          </cell>
        </row>
        <row r="221">
          <cell r="C221">
            <v>0</v>
          </cell>
        </row>
        <row r="222">
          <cell r="C222">
            <v>0</v>
          </cell>
        </row>
        <row r="223">
          <cell r="C223">
            <v>0</v>
          </cell>
        </row>
        <row r="224">
          <cell r="C224">
            <v>0</v>
          </cell>
        </row>
        <row r="225">
          <cell r="C225">
            <v>0</v>
          </cell>
        </row>
        <row r="226">
          <cell r="C226">
            <v>0</v>
          </cell>
        </row>
        <row r="227">
          <cell r="C227">
            <v>0</v>
          </cell>
        </row>
        <row r="228">
          <cell r="C228">
            <v>0</v>
          </cell>
        </row>
        <row r="229">
          <cell r="C229">
            <v>0</v>
          </cell>
        </row>
        <row r="230">
          <cell r="C230">
            <v>0</v>
          </cell>
        </row>
        <row r="231">
          <cell r="C231">
            <v>0</v>
          </cell>
        </row>
        <row r="232">
          <cell r="C232">
            <v>0</v>
          </cell>
        </row>
        <row r="233">
          <cell r="C233">
            <v>0</v>
          </cell>
        </row>
        <row r="234">
          <cell r="C234">
            <v>0</v>
          </cell>
        </row>
        <row r="235">
          <cell r="C235">
            <v>0</v>
          </cell>
        </row>
        <row r="236">
          <cell r="C236">
            <v>0</v>
          </cell>
        </row>
        <row r="237">
          <cell r="C237">
            <v>0</v>
          </cell>
        </row>
        <row r="238">
          <cell r="C238">
            <v>0</v>
          </cell>
        </row>
        <row r="239">
          <cell r="C239">
            <v>0</v>
          </cell>
        </row>
        <row r="240">
          <cell r="C240">
            <v>0</v>
          </cell>
        </row>
        <row r="241">
          <cell r="C241">
            <v>0</v>
          </cell>
        </row>
        <row r="242">
          <cell r="C242">
            <v>0</v>
          </cell>
        </row>
        <row r="243">
          <cell r="C243">
            <v>0</v>
          </cell>
        </row>
        <row r="244">
          <cell r="C244">
            <v>0</v>
          </cell>
        </row>
        <row r="245">
          <cell r="C245">
            <v>0</v>
          </cell>
        </row>
        <row r="246">
          <cell r="C246">
            <v>0</v>
          </cell>
        </row>
        <row r="247">
          <cell r="C247">
            <v>0</v>
          </cell>
        </row>
        <row r="248">
          <cell r="C248">
            <v>0</v>
          </cell>
        </row>
        <row r="249">
          <cell r="C249">
            <v>0</v>
          </cell>
        </row>
        <row r="250">
          <cell r="C250">
            <v>0</v>
          </cell>
        </row>
        <row r="251">
          <cell r="C251">
            <v>0</v>
          </cell>
        </row>
        <row r="252">
          <cell r="C252">
            <v>0</v>
          </cell>
        </row>
        <row r="253">
          <cell r="C253">
            <v>0</v>
          </cell>
        </row>
        <row r="254">
          <cell r="C254">
            <v>0</v>
          </cell>
        </row>
        <row r="255">
          <cell r="C255">
            <v>0</v>
          </cell>
        </row>
        <row r="256">
          <cell r="C256">
            <v>0</v>
          </cell>
        </row>
        <row r="257">
          <cell r="C257">
            <v>0</v>
          </cell>
        </row>
        <row r="258">
          <cell r="C258">
            <v>0</v>
          </cell>
        </row>
        <row r="259">
          <cell r="C259">
            <v>0</v>
          </cell>
        </row>
        <row r="260">
          <cell r="C260">
            <v>0</v>
          </cell>
        </row>
        <row r="261">
          <cell r="C261">
            <v>0</v>
          </cell>
        </row>
        <row r="262">
          <cell r="C262">
            <v>0</v>
          </cell>
        </row>
        <row r="263">
          <cell r="C263">
            <v>0</v>
          </cell>
        </row>
        <row r="264">
          <cell r="C264">
            <v>0</v>
          </cell>
        </row>
        <row r="265">
          <cell r="C265">
            <v>0</v>
          </cell>
        </row>
        <row r="266">
          <cell r="C266">
            <v>0</v>
          </cell>
        </row>
        <row r="267">
          <cell r="C267">
            <v>0</v>
          </cell>
        </row>
        <row r="268">
          <cell r="C268">
            <v>0</v>
          </cell>
        </row>
        <row r="269">
          <cell r="C269">
            <v>0</v>
          </cell>
        </row>
        <row r="270">
          <cell r="C270">
            <v>0</v>
          </cell>
        </row>
        <row r="271">
          <cell r="C271">
            <v>0</v>
          </cell>
        </row>
        <row r="272">
          <cell r="C272">
            <v>0</v>
          </cell>
        </row>
        <row r="273">
          <cell r="C273">
            <v>0</v>
          </cell>
        </row>
        <row r="274">
          <cell r="C274">
            <v>0</v>
          </cell>
        </row>
        <row r="275">
          <cell r="C275">
            <v>0</v>
          </cell>
        </row>
        <row r="276">
          <cell r="C276">
            <v>0</v>
          </cell>
        </row>
        <row r="277">
          <cell r="C277">
            <v>0</v>
          </cell>
        </row>
        <row r="278">
          <cell r="C278">
            <v>0</v>
          </cell>
        </row>
        <row r="279">
          <cell r="C279">
            <v>0</v>
          </cell>
        </row>
        <row r="280">
          <cell r="C280">
            <v>0</v>
          </cell>
        </row>
        <row r="281">
          <cell r="C281">
            <v>0</v>
          </cell>
        </row>
        <row r="282">
          <cell r="C282">
            <v>0</v>
          </cell>
        </row>
        <row r="283">
          <cell r="C283">
            <v>0</v>
          </cell>
        </row>
        <row r="284">
          <cell r="C284">
            <v>0</v>
          </cell>
        </row>
        <row r="285">
          <cell r="C285">
            <v>0</v>
          </cell>
        </row>
        <row r="286">
          <cell r="C286">
            <v>0</v>
          </cell>
        </row>
        <row r="287">
          <cell r="C287">
            <v>0</v>
          </cell>
        </row>
        <row r="288">
          <cell r="C288">
            <v>0</v>
          </cell>
        </row>
        <row r="289">
          <cell r="C289">
            <v>0</v>
          </cell>
        </row>
        <row r="290">
          <cell r="C290">
            <v>0</v>
          </cell>
        </row>
        <row r="291">
          <cell r="C291">
            <v>0</v>
          </cell>
        </row>
        <row r="292">
          <cell r="C292">
            <v>0</v>
          </cell>
        </row>
        <row r="293">
          <cell r="C293">
            <v>0</v>
          </cell>
        </row>
        <row r="294">
          <cell r="C294">
            <v>0</v>
          </cell>
        </row>
        <row r="295">
          <cell r="C295">
            <v>0</v>
          </cell>
        </row>
        <row r="296">
          <cell r="C296">
            <v>0</v>
          </cell>
        </row>
        <row r="297">
          <cell r="C297">
            <v>0</v>
          </cell>
        </row>
        <row r="298">
          <cell r="C298">
            <v>0</v>
          </cell>
        </row>
        <row r="299">
          <cell r="C299">
            <v>0</v>
          </cell>
        </row>
        <row r="300">
          <cell r="C300">
            <v>0</v>
          </cell>
        </row>
        <row r="301">
          <cell r="C301">
            <v>0</v>
          </cell>
        </row>
        <row r="302">
          <cell r="C302">
            <v>0</v>
          </cell>
        </row>
        <row r="303">
          <cell r="C303">
            <v>0</v>
          </cell>
        </row>
        <row r="304">
          <cell r="C304">
            <v>0</v>
          </cell>
        </row>
        <row r="305">
          <cell r="C305">
            <v>0</v>
          </cell>
        </row>
        <row r="306">
          <cell r="C306">
            <v>0</v>
          </cell>
        </row>
        <row r="307">
          <cell r="C307">
            <v>0</v>
          </cell>
        </row>
        <row r="308">
          <cell r="C308">
            <v>0</v>
          </cell>
        </row>
        <row r="309">
          <cell r="C309">
            <v>0</v>
          </cell>
        </row>
        <row r="310">
          <cell r="C310">
            <v>0</v>
          </cell>
        </row>
        <row r="311">
          <cell r="C311">
            <v>0</v>
          </cell>
        </row>
        <row r="312">
          <cell r="C312">
            <v>0</v>
          </cell>
        </row>
        <row r="313">
          <cell r="C313">
            <v>0</v>
          </cell>
        </row>
        <row r="314">
          <cell r="C314">
            <v>0</v>
          </cell>
        </row>
        <row r="315">
          <cell r="C315">
            <v>0</v>
          </cell>
        </row>
        <row r="316">
          <cell r="C316">
            <v>0</v>
          </cell>
        </row>
        <row r="317">
          <cell r="C317">
            <v>0</v>
          </cell>
        </row>
        <row r="318">
          <cell r="C318">
            <v>0</v>
          </cell>
        </row>
        <row r="319">
          <cell r="C319">
            <v>0</v>
          </cell>
        </row>
        <row r="320">
          <cell r="C320">
            <v>0</v>
          </cell>
        </row>
        <row r="321">
          <cell r="C321">
            <v>0</v>
          </cell>
        </row>
        <row r="322">
          <cell r="C322">
            <v>0</v>
          </cell>
        </row>
        <row r="323">
          <cell r="C323">
            <v>0</v>
          </cell>
        </row>
        <row r="324">
          <cell r="C324">
            <v>0</v>
          </cell>
        </row>
        <row r="325">
          <cell r="C325">
            <v>0</v>
          </cell>
        </row>
        <row r="326">
          <cell r="C326">
            <v>0</v>
          </cell>
        </row>
        <row r="327">
          <cell r="C327">
            <v>0</v>
          </cell>
        </row>
        <row r="328">
          <cell r="C328">
            <v>0</v>
          </cell>
        </row>
        <row r="329">
          <cell r="C329">
            <v>0</v>
          </cell>
        </row>
        <row r="330">
          <cell r="C330">
            <v>0</v>
          </cell>
        </row>
        <row r="331">
          <cell r="C331">
            <v>0</v>
          </cell>
        </row>
        <row r="332">
          <cell r="C332">
            <v>0</v>
          </cell>
        </row>
        <row r="333">
          <cell r="C333">
            <v>0</v>
          </cell>
        </row>
        <row r="334">
          <cell r="C334">
            <v>0</v>
          </cell>
        </row>
        <row r="335">
          <cell r="C335">
            <v>0</v>
          </cell>
        </row>
        <row r="336">
          <cell r="C336">
            <v>0</v>
          </cell>
        </row>
        <row r="337">
          <cell r="C337">
            <v>0</v>
          </cell>
        </row>
        <row r="338">
          <cell r="C338">
            <v>0</v>
          </cell>
        </row>
        <row r="339">
          <cell r="C339">
            <v>0</v>
          </cell>
        </row>
        <row r="340">
          <cell r="C340">
            <v>0</v>
          </cell>
        </row>
        <row r="341">
          <cell r="C341">
            <v>0</v>
          </cell>
        </row>
        <row r="342">
          <cell r="C342">
            <v>0</v>
          </cell>
        </row>
        <row r="343">
          <cell r="C343">
            <v>0</v>
          </cell>
        </row>
        <row r="344">
          <cell r="C344">
            <v>0</v>
          </cell>
        </row>
        <row r="345">
          <cell r="C345">
            <v>0</v>
          </cell>
        </row>
        <row r="346">
          <cell r="C346">
            <v>0</v>
          </cell>
        </row>
        <row r="347">
          <cell r="C347">
            <v>0</v>
          </cell>
        </row>
        <row r="348">
          <cell r="C348">
            <v>0</v>
          </cell>
        </row>
        <row r="349">
          <cell r="C349">
            <v>0</v>
          </cell>
        </row>
        <row r="350">
          <cell r="C350">
            <v>0</v>
          </cell>
        </row>
        <row r="351">
          <cell r="C351">
            <v>0</v>
          </cell>
        </row>
        <row r="352">
          <cell r="C352">
            <v>0</v>
          </cell>
        </row>
        <row r="353">
          <cell r="C353">
            <v>0</v>
          </cell>
        </row>
        <row r="354">
          <cell r="C354">
            <v>0</v>
          </cell>
        </row>
        <row r="355">
          <cell r="C355">
            <v>0</v>
          </cell>
        </row>
        <row r="356">
          <cell r="C356">
            <v>0</v>
          </cell>
        </row>
        <row r="357">
          <cell r="C357">
            <v>0</v>
          </cell>
        </row>
        <row r="358">
          <cell r="C358">
            <v>0</v>
          </cell>
        </row>
        <row r="359">
          <cell r="C359">
            <v>0</v>
          </cell>
        </row>
        <row r="360">
          <cell r="C360">
            <v>0</v>
          </cell>
        </row>
        <row r="361">
          <cell r="C361">
            <v>0</v>
          </cell>
        </row>
        <row r="362">
          <cell r="C362">
            <v>0</v>
          </cell>
        </row>
        <row r="363">
          <cell r="C363">
            <v>0</v>
          </cell>
        </row>
        <row r="364">
          <cell r="C364">
            <v>0</v>
          </cell>
        </row>
        <row r="365">
          <cell r="C365">
            <v>0</v>
          </cell>
        </row>
        <row r="366">
          <cell r="C366">
            <v>0</v>
          </cell>
        </row>
        <row r="367">
          <cell r="C367">
            <v>0</v>
          </cell>
        </row>
        <row r="368">
          <cell r="C368">
            <v>0</v>
          </cell>
        </row>
        <row r="369">
          <cell r="C369">
            <v>0</v>
          </cell>
        </row>
        <row r="370">
          <cell r="C370">
            <v>0</v>
          </cell>
        </row>
        <row r="371">
          <cell r="C371">
            <v>0</v>
          </cell>
        </row>
        <row r="372">
          <cell r="C372">
            <v>0</v>
          </cell>
        </row>
        <row r="373">
          <cell r="C373">
            <v>0</v>
          </cell>
        </row>
        <row r="374">
          <cell r="C374">
            <v>0</v>
          </cell>
        </row>
        <row r="375">
          <cell r="C375">
            <v>0</v>
          </cell>
        </row>
        <row r="376">
          <cell r="C376">
            <v>0</v>
          </cell>
        </row>
        <row r="377">
          <cell r="C377">
            <v>0</v>
          </cell>
        </row>
        <row r="378">
          <cell r="C378">
            <v>0</v>
          </cell>
        </row>
        <row r="379">
          <cell r="C379">
            <v>0</v>
          </cell>
        </row>
        <row r="380">
          <cell r="C380">
            <v>0</v>
          </cell>
        </row>
        <row r="381">
          <cell r="C381">
            <v>0</v>
          </cell>
        </row>
        <row r="382">
          <cell r="C382">
            <v>0</v>
          </cell>
        </row>
        <row r="383">
          <cell r="C383">
            <v>0</v>
          </cell>
        </row>
        <row r="384">
          <cell r="C384">
            <v>0</v>
          </cell>
        </row>
        <row r="385">
          <cell r="C385">
            <v>0</v>
          </cell>
        </row>
        <row r="386">
          <cell r="C386">
            <v>0</v>
          </cell>
        </row>
        <row r="387">
          <cell r="C387">
            <v>0</v>
          </cell>
        </row>
        <row r="388">
          <cell r="C388">
            <v>0</v>
          </cell>
        </row>
        <row r="389">
          <cell r="C389">
            <v>0</v>
          </cell>
        </row>
        <row r="390">
          <cell r="C390">
            <v>0</v>
          </cell>
        </row>
        <row r="391">
          <cell r="C391">
            <v>0</v>
          </cell>
        </row>
        <row r="392">
          <cell r="C392">
            <v>0</v>
          </cell>
        </row>
        <row r="393">
          <cell r="C393">
            <v>0</v>
          </cell>
        </row>
        <row r="394">
          <cell r="C394">
            <v>0</v>
          </cell>
        </row>
        <row r="395">
          <cell r="C395">
            <v>0</v>
          </cell>
        </row>
        <row r="396">
          <cell r="C396">
            <v>0</v>
          </cell>
        </row>
        <row r="397">
          <cell r="C397">
            <v>0</v>
          </cell>
        </row>
        <row r="398">
          <cell r="C398">
            <v>0</v>
          </cell>
        </row>
        <row r="399">
          <cell r="C399">
            <v>0</v>
          </cell>
        </row>
        <row r="400">
          <cell r="C400">
            <v>0</v>
          </cell>
        </row>
        <row r="401">
          <cell r="C401">
            <v>0</v>
          </cell>
        </row>
        <row r="402">
          <cell r="C402">
            <v>0</v>
          </cell>
        </row>
        <row r="403">
          <cell r="C403">
            <v>0</v>
          </cell>
        </row>
        <row r="404">
          <cell r="C404">
            <v>0</v>
          </cell>
        </row>
        <row r="405">
          <cell r="C405">
            <v>0</v>
          </cell>
        </row>
        <row r="406">
          <cell r="C406">
            <v>0</v>
          </cell>
        </row>
        <row r="407">
          <cell r="C407">
            <v>0</v>
          </cell>
        </row>
        <row r="408">
          <cell r="C408">
            <v>0</v>
          </cell>
        </row>
        <row r="409">
          <cell r="C409">
            <v>0</v>
          </cell>
        </row>
        <row r="410">
          <cell r="C410">
            <v>0</v>
          </cell>
        </row>
        <row r="411">
          <cell r="C411">
            <v>0</v>
          </cell>
        </row>
        <row r="412">
          <cell r="C412">
            <v>0</v>
          </cell>
        </row>
        <row r="413">
          <cell r="C413">
            <v>0</v>
          </cell>
        </row>
        <row r="414">
          <cell r="C414">
            <v>0</v>
          </cell>
        </row>
        <row r="415">
          <cell r="C415">
            <v>0</v>
          </cell>
        </row>
        <row r="416">
          <cell r="C416">
            <v>0</v>
          </cell>
        </row>
        <row r="417">
          <cell r="C417">
            <v>0</v>
          </cell>
        </row>
        <row r="418">
          <cell r="C418">
            <v>0</v>
          </cell>
        </row>
        <row r="419">
          <cell r="C419">
            <v>0</v>
          </cell>
        </row>
        <row r="420">
          <cell r="C420">
            <v>0</v>
          </cell>
        </row>
        <row r="421">
          <cell r="C421">
            <v>0</v>
          </cell>
        </row>
        <row r="422">
          <cell r="C422">
            <v>0</v>
          </cell>
        </row>
        <row r="423">
          <cell r="C423">
            <v>0</v>
          </cell>
        </row>
        <row r="424">
          <cell r="C424">
            <v>0</v>
          </cell>
        </row>
        <row r="425">
          <cell r="C425">
            <v>0</v>
          </cell>
        </row>
        <row r="426">
          <cell r="C426">
            <v>0</v>
          </cell>
        </row>
        <row r="427">
          <cell r="C427">
            <v>0</v>
          </cell>
        </row>
        <row r="428">
          <cell r="C428">
            <v>0</v>
          </cell>
        </row>
        <row r="429">
          <cell r="C429">
            <v>0</v>
          </cell>
        </row>
        <row r="430">
          <cell r="C430">
            <v>0</v>
          </cell>
        </row>
        <row r="431">
          <cell r="C431">
            <v>0</v>
          </cell>
        </row>
        <row r="432">
          <cell r="C432">
            <v>0</v>
          </cell>
        </row>
        <row r="433">
          <cell r="C433">
            <v>0</v>
          </cell>
        </row>
        <row r="434">
          <cell r="C434">
            <v>0</v>
          </cell>
        </row>
        <row r="435">
          <cell r="C435">
            <v>0</v>
          </cell>
        </row>
        <row r="436">
          <cell r="C436">
            <v>0</v>
          </cell>
        </row>
        <row r="437">
          <cell r="C437">
            <v>0</v>
          </cell>
        </row>
        <row r="438">
          <cell r="C438">
            <v>0</v>
          </cell>
        </row>
        <row r="439">
          <cell r="C439">
            <v>0</v>
          </cell>
        </row>
        <row r="440">
          <cell r="C440">
            <v>0</v>
          </cell>
        </row>
        <row r="441">
          <cell r="C441">
            <v>0</v>
          </cell>
        </row>
        <row r="442">
          <cell r="C442">
            <v>0</v>
          </cell>
        </row>
        <row r="443">
          <cell r="C443">
            <v>0</v>
          </cell>
        </row>
        <row r="444">
          <cell r="C444">
            <v>0</v>
          </cell>
        </row>
        <row r="445">
          <cell r="C445">
            <v>0</v>
          </cell>
        </row>
        <row r="446">
          <cell r="C446">
            <v>0</v>
          </cell>
        </row>
        <row r="447">
          <cell r="C447">
            <v>0</v>
          </cell>
        </row>
        <row r="448">
          <cell r="C448">
            <v>0</v>
          </cell>
        </row>
        <row r="449">
          <cell r="C449">
            <v>0</v>
          </cell>
        </row>
        <row r="450">
          <cell r="C450">
            <v>0</v>
          </cell>
        </row>
        <row r="451">
          <cell r="C451">
            <v>0</v>
          </cell>
        </row>
        <row r="452">
          <cell r="C452">
            <v>0</v>
          </cell>
        </row>
        <row r="453">
          <cell r="C453">
            <v>0</v>
          </cell>
        </row>
        <row r="454">
          <cell r="C454">
            <v>0</v>
          </cell>
        </row>
        <row r="455">
          <cell r="C455">
            <v>0</v>
          </cell>
        </row>
        <row r="456">
          <cell r="C456">
            <v>0</v>
          </cell>
        </row>
        <row r="457">
          <cell r="C457">
            <v>0</v>
          </cell>
        </row>
        <row r="458">
          <cell r="C458">
            <v>0</v>
          </cell>
        </row>
        <row r="459">
          <cell r="C459">
            <v>0</v>
          </cell>
        </row>
        <row r="460">
          <cell r="C460">
            <v>0</v>
          </cell>
        </row>
        <row r="461">
          <cell r="C461">
            <v>0</v>
          </cell>
        </row>
        <row r="462">
          <cell r="C462">
            <v>0</v>
          </cell>
        </row>
        <row r="463">
          <cell r="C463">
            <v>0</v>
          </cell>
        </row>
        <row r="464">
          <cell r="C464">
            <v>0</v>
          </cell>
        </row>
        <row r="465">
          <cell r="C465">
            <v>0</v>
          </cell>
        </row>
        <row r="466">
          <cell r="C466">
            <v>0</v>
          </cell>
        </row>
        <row r="467">
          <cell r="C467">
            <v>0</v>
          </cell>
        </row>
        <row r="468">
          <cell r="C468">
            <v>0</v>
          </cell>
        </row>
        <row r="469">
          <cell r="C469">
            <v>0</v>
          </cell>
        </row>
        <row r="470">
          <cell r="C470">
            <v>0</v>
          </cell>
        </row>
        <row r="471">
          <cell r="C471">
            <v>0</v>
          </cell>
        </row>
        <row r="472">
          <cell r="C472">
            <v>0</v>
          </cell>
        </row>
        <row r="473">
          <cell r="C473">
            <v>0</v>
          </cell>
        </row>
        <row r="474">
          <cell r="C474">
            <v>0</v>
          </cell>
        </row>
        <row r="475">
          <cell r="C475">
            <v>0</v>
          </cell>
        </row>
        <row r="476">
          <cell r="C476">
            <v>0</v>
          </cell>
        </row>
        <row r="477">
          <cell r="C477">
            <v>0</v>
          </cell>
        </row>
        <row r="478">
          <cell r="C478">
            <v>0</v>
          </cell>
        </row>
        <row r="479">
          <cell r="C479">
            <v>0</v>
          </cell>
        </row>
        <row r="480">
          <cell r="C480">
            <v>0</v>
          </cell>
        </row>
        <row r="481">
          <cell r="C481">
            <v>0</v>
          </cell>
        </row>
        <row r="482">
          <cell r="C482">
            <v>0</v>
          </cell>
        </row>
        <row r="483">
          <cell r="C483">
            <v>0</v>
          </cell>
        </row>
        <row r="484">
          <cell r="C484">
            <v>0</v>
          </cell>
        </row>
        <row r="485">
          <cell r="C485">
            <v>0</v>
          </cell>
        </row>
        <row r="486">
          <cell r="C486">
            <v>0</v>
          </cell>
        </row>
        <row r="487">
          <cell r="C487">
            <v>0</v>
          </cell>
        </row>
        <row r="488">
          <cell r="C488">
            <v>0</v>
          </cell>
        </row>
        <row r="489">
          <cell r="C489">
            <v>0</v>
          </cell>
        </row>
        <row r="490">
          <cell r="C490">
            <v>0</v>
          </cell>
        </row>
        <row r="491">
          <cell r="C491">
            <v>0</v>
          </cell>
        </row>
        <row r="492">
          <cell r="C492">
            <v>0</v>
          </cell>
        </row>
        <row r="493">
          <cell r="C493">
            <v>0</v>
          </cell>
        </row>
        <row r="494">
          <cell r="C494">
            <v>0</v>
          </cell>
        </row>
        <row r="495">
          <cell r="C495">
            <v>0</v>
          </cell>
        </row>
        <row r="496">
          <cell r="C496">
            <v>0</v>
          </cell>
        </row>
        <row r="497">
          <cell r="C497">
            <v>0</v>
          </cell>
        </row>
      </sheetData>
      <sheetData sheetId="16" refreshError="1"/>
      <sheetData sheetId="17" refreshError="1"/>
      <sheetData sheetId="1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unity"/>
      <sheetName val="الادارات المساعدة"/>
      <sheetName val="المدرين"/>
      <sheetName val="infection control"/>
      <sheetName val="security"/>
      <sheetName val="الحركة"/>
      <sheetName val="السلامة و الصحة المهنية"/>
      <sheetName val="الصيانة"/>
      <sheetName val="استقبال العيادات"/>
      <sheetName val="التسويق"/>
      <sheetName val="تمريض"/>
      <sheetName val="عيادات"/>
      <sheetName val="الادارة التمريضية"/>
      <sheetName val="التعقييم"/>
      <sheetName val="الداخلى"/>
      <sheetName val="الطوارىء"/>
      <sheetName val="العمليات"/>
      <sheetName val="العناية"/>
      <sheetName val="عنايةى الاطفال"/>
      <sheetName val="IT"/>
      <sheetName val="Accounting"/>
      <sheetName val="pharmacy"/>
      <sheetName val="hospitality"/>
      <sheetName val="medical record"/>
      <sheetName val="lab"/>
      <sheetName val="duty manager"/>
      <sheetName val="medical managers"/>
      <sheetName val="purchasing and store"/>
      <sheetName val="HR"/>
      <sheetName val="ALL"/>
      <sheetName val="Data"/>
      <sheetName val="Final Sheet "/>
      <sheetName val="تاخير 20"/>
      <sheetName val="عدد ايام الغيابات"/>
      <sheetName val="60"/>
      <sheetName val="الاجازات المرضى "/>
      <sheetName val="Sheet2"/>
      <sheetName val="Sheet1"/>
      <sheetName val="KSA"/>
      <sheetName val="over view"/>
      <sheetName val="Digital Volume Contribution "/>
      <sheetName val="HJH"/>
      <sheetName val="Payment Type "/>
      <sheetName val="HJH OVERVIEW "/>
      <sheetName val="AKW"/>
      <sheetName val="OPD Analysis  (2)"/>
      <sheetName val="ADC"/>
      <sheetName val="Polyclinic "/>
      <sheetName val="  target per Specialty  "/>
      <sheetName val="Target per Doctor "/>
      <sheetName val="OPD BI "/>
      <sheetName val="IP BI "/>
      <sheetName val="OPD Comparision "/>
      <sheetName val="OPD Comparision  (2)"/>
      <sheetName val="IP Specialty "/>
      <sheetName val="IP payment type "/>
      <sheetName val="Companies "/>
      <sheetName val="Cash Contract "/>
      <sheetName val="OPD Exclusive Contrubiation "/>
      <sheetName val="IP Exclusive Contrubiotion "/>
      <sheetName val="Services "/>
      <sheetName val="Sheet3"/>
      <sheetName val="Procedure Analysis "/>
      <sheetName val="No of Service per Patient"/>
      <sheetName val="OPD Analysis  (3)"/>
      <sheetName val="Sheet4"/>
      <sheetName val="Medical Record "/>
      <sheetName val="الادارات_المساعدة1"/>
      <sheetName val="infection_control1"/>
      <sheetName val="السلامة_و_الصحة_المهنية1"/>
      <sheetName val="استقبال_العيادات1"/>
      <sheetName val="الادارة_التمريضية1"/>
      <sheetName val="عنايةى_الاطفال1"/>
      <sheetName val="medical_record1"/>
      <sheetName val="duty_manager1"/>
      <sheetName val="medical_managers1"/>
      <sheetName val="purchasing_and_store1"/>
      <sheetName val="Final_Sheet_1"/>
      <sheetName val="تاخير_201"/>
      <sheetName val="عدد_ايام_الغيابات1"/>
      <sheetName val="الاجازات_المرضى_1"/>
      <sheetName val="الادارات_المساعدة"/>
      <sheetName val="infection_control"/>
      <sheetName val="السلامة_و_الصحة_المهنية"/>
      <sheetName val="استقبال_العيادات"/>
      <sheetName val="الادارة_التمريضية"/>
      <sheetName val="عنايةى_الاطفال"/>
      <sheetName val="medical_record"/>
      <sheetName val="duty_manager"/>
      <sheetName val="medical_managers"/>
      <sheetName val="purchasing_and_store"/>
      <sheetName val="Final_Sheet_"/>
      <sheetName val="تاخير_20"/>
      <sheetName val="عدد_ايام_الغيابات"/>
      <sheetName val="الاجازات_المرضى_"/>
      <sheetName val="الادارات_المساعدة2"/>
      <sheetName val="infection_control2"/>
      <sheetName val="السلامة_و_الصحة_المهنية2"/>
      <sheetName val="استقبال_العيادات2"/>
      <sheetName val="الادارة_التمريضية2"/>
      <sheetName val="عنايةى_الاطفال2"/>
      <sheetName val="medical_record2"/>
      <sheetName val="duty_manager2"/>
      <sheetName val="medical_managers2"/>
      <sheetName val="purchasing_and_store2"/>
      <sheetName val="Final_Sheet_2"/>
      <sheetName val="تاخير_202"/>
      <sheetName val="عدد_ايام_الغيابات2"/>
      <sheetName val="الاجازات_المرضى_2"/>
      <sheetName val="الادارات_المساعدة3"/>
      <sheetName val="infection_control3"/>
      <sheetName val="السلامة_و_الصحة_المهنية3"/>
      <sheetName val="استقبال_العيادات3"/>
      <sheetName val="الادارة_التمريضية3"/>
      <sheetName val="عنايةى_الاطفال3"/>
      <sheetName val="medical_record3"/>
      <sheetName val="duty_manager3"/>
      <sheetName val="medical_managers3"/>
      <sheetName val="purchasing_and_store3"/>
      <sheetName val="Final_Sheet_3"/>
      <sheetName val="تاخير_203"/>
      <sheetName val="عدد_ايام_الغيابات3"/>
      <sheetName val="الاجازات_المرضى_3"/>
      <sheetName val="over_view"/>
      <sheetName val="Digital_Volume_Contribution_"/>
      <sheetName val="Payment_Type_"/>
      <sheetName val="HJH_OVERVIEW_"/>
      <sheetName val="OPD_Analysis__(2)"/>
      <sheetName val="Polyclinic_"/>
      <sheetName val="__target_per_Specialty__"/>
      <sheetName val="Target_per_Doctor_"/>
      <sheetName val="OPD_BI_"/>
      <sheetName val="IP_BI_"/>
      <sheetName val="OPD_Comparision_"/>
      <sheetName val="OPD_Comparision__(2)"/>
      <sheetName val="IP_Specialty_"/>
      <sheetName val="IP_payment_type_"/>
      <sheetName val="Companies_"/>
      <sheetName val="Cash_Contract_"/>
      <sheetName val="OPD_Exclusive_Contrubiation_"/>
      <sheetName val="IP_Exclusive_Contrubiotion_"/>
      <sheetName val="Services_"/>
      <sheetName val="Procedure_Analysis_"/>
      <sheetName val="No_of_Service_per_Patient"/>
      <sheetName val="OPD_Analysis__(3)"/>
      <sheetName val="Medical_Record_"/>
      <sheetName val="الادارات_المساعدة4"/>
      <sheetName val="infection_control4"/>
      <sheetName val="السلامة_و_الصحة_المهنية4"/>
      <sheetName val="استقبال_العيادات4"/>
      <sheetName val="الادارة_التمريضية4"/>
      <sheetName val="عنايةى_الاطفال4"/>
      <sheetName val="medical_record4"/>
      <sheetName val="duty_manager4"/>
      <sheetName val="medical_managers4"/>
      <sheetName val="purchasing_and_store4"/>
      <sheetName val="Final_Sheet_4"/>
      <sheetName val="تاخير_204"/>
      <sheetName val="عدد_ايام_الغيابات4"/>
      <sheetName val="الاجازات_المرضى_4"/>
      <sheetName val="over_view1"/>
      <sheetName val="Digital_Volume_Contribution_1"/>
      <sheetName val="Payment_Type_1"/>
      <sheetName val="HJH_OVERVIEW_1"/>
      <sheetName val="OPD_Analysis__(2)1"/>
      <sheetName val="Polyclinic_1"/>
      <sheetName val="__target_per_Specialty__1"/>
      <sheetName val="Target_per_Doctor_1"/>
      <sheetName val="OPD_BI_1"/>
      <sheetName val="IP_BI_1"/>
      <sheetName val="OPD_Comparision_1"/>
      <sheetName val="OPD_Comparision__(2)1"/>
      <sheetName val="IP_Specialty_1"/>
      <sheetName val="IP_payment_type_1"/>
      <sheetName val="Companies_1"/>
      <sheetName val="Cash_Contract_1"/>
      <sheetName val="OPD_Exclusive_Contrubiation_1"/>
      <sheetName val="IP_Exclusive_Contrubiotion_1"/>
      <sheetName val="Services_1"/>
      <sheetName val="Procedure_Analysis_1"/>
      <sheetName val="No_of_Service_per_Patient1"/>
      <sheetName val="OPD_Analysis__(3)1"/>
      <sheetName val="Medical_Record_1"/>
      <sheetName val="الادارات_المساعدة5"/>
      <sheetName val="infection_control5"/>
      <sheetName val="السلامة_و_الصحة_المهنية5"/>
      <sheetName val="استقبال_العيادات5"/>
      <sheetName val="الادارة_التمريضية5"/>
      <sheetName val="عنايةى_الاطفال5"/>
      <sheetName val="medical_record5"/>
      <sheetName val="duty_manager5"/>
      <sheetName val="medical_managers5"/>
      <sheetName val="purchasing_and_store5"/>
      <sheetName val="Final_Sheet_5"/>
      <sheetName val="تاخير_205"/>
      <sheetName val="عدد_ايام_الغيابات5"/>
      <sheetName val="الاجازات_المرضى_5"/>
      <sheetName val="over_view2"/>
      <sheetName val="Digital_Volume_Contribution_2"/>
      <sheetName val="Payment_Type_2"/>
      <sheetName val="HJH_OVERVIEW_2"/>
      <sheetName val="OPD_Analysis__(2)2"/>
      <sheetName val="Polyclinic_2"/>
      <sheetName val="__target_per_Specialty__2"/>
      <sheetName val="Target_per_Doctor_2"/>
      <sheetName val="OPD_BI_2"/>
      <sheetName val="IP_BI_2"/>
      <sheetName val="OPD_Comparision_2"/>
      <sheetName val="OPD_Comparision__(2)2"/>
      <sheetName val="IP_Specialty_2"/>
      <sheetName val="IP_payment_type_2"/>
      <sheetName val="Companies_2"/>
      <sheetName val="Cash_Contract_2"/>
      <sheetName val="OPD_Exclusive_Contrubiation_2"/>
      <sheetName val="IP_Exclusive_Contrubiotion_2"/>
      <sheetName val="Services_2"/>
      <sheetName val="Procedure_Analysis_2"/>
      <sheetName val="No_of_Service_per_Patient2"/>
      <sheetName val="OPD_Analysis__(3)2"/>
      <sheetName val="Medical_Record_2"/>
      <sheetName val="الادارات_المساعدة6"/>
      <sheetName val="infection_control6"/>
      <sheetName val="السلامة_و_الصحة_المهنية6"/>
      <sheetName val="استقبال_العيادات6"/>
      <sheetName val="الادارة_التمريضية6"/>
      <sheetName val="عنايةى_الاطفال6"/>
      <sheetName val="medical_record6"/>
      <sheetName val="duty_manager6"/>
      <sheetName val="medical_managers6"/>
      <sheetName val="purchasing_and_store6"/>
      <sheetName val="Final_Sheet_6"/>
      <sheetName val="تاخير_206"/>
      <sheetName val="عدد_ايام_الغيابات6"/>
      <sheetName val="الاجازات_المرضى_6"/>
      <sheetName val="over_view3"/>
      <sheetName val="Digital_Volume_Contribution_3"/>
      <sheetName val="Payment_Type_3"/>
      <sheetName val="HJH_OVERVIEW_3"/>
      <sheetName val="OPD_Analysis__(2)3"/>
      <sheetName val="Polyclinic_3"/>
      <sheetName val="__target_per_Specialty__3"/>
      <sheetName val="Target_per_Doctor_3"/>
      <sheetName val="OPD_BI_3"/>
      <sheetName val="IP_BI_3"/>
      <sheetName val="OPD_Comparision_3"/>
      <sheetName val="OPD_Comparision__(2)3"/>
      <sheetName val="IP_Specialty_3"/>
      <sheetName val="IP_payment_type_3"/>
      <sheetName val="Companies_3"/>
      <sheetName val="Cash_Contract_3"/>
      <sheetName val="OPD_Exclusive_Contrubiation_3"/>
      <sheetName val="IP_Exclusive_Contrubiotion_3"/>
      <sheetName val="Services_3"/>
      <sheetName val="Procedure_Analysis_3"/>
      <sheetName val="No_of_Service_per_Patient3"/>
      <sheetName val="OPD_Analysis__(3)3"/>
      <sheetName val="Medical_Record_3"/>
      <sheetName val="BE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1">
          <cell r="E1">
            <v>41424</v>
          </cell>
        </row>
      </sheetData>
      <sheetData sheetId="32"/>
      <sheetData sheetId="33"/>
      <sheetData sheetId="34"/>
      <sheetData sheetId="35"/>
      <sheetData sheetId="36"/>
      <sheetData sheetId="37"/>
      <sheetData sheetId="38">
        <row r="1">
          <cell r="E1">
            <v>0</v>
          </cell>
        </row>
      </sheetData>
      <sheetData sheetId="39"/>
      <sheetData sheetId="40"/>
      <sheetData sheetId="41"/>
      <sheetData sheetId="42"/>
      <sheetData sheetId="43"/>
      <sheetData sheetId="44"/>
      <sheetData sheetId="45"/>
      <sheetData sheetId="46"/>
      <sheetData sheetId="47">
        <row r="1">
          <cell r="E1">
            <v>41424</v>
          </cell>
        </row>
      </sheetData>
      <sheetData sheetId="48">
        <row r="1">
          <cell r="E1">
            <v>0</v>
          </cell>
        </row>
      </sheetData>
      <sheetData sheetId="49">
        <row r="1">
          <cell r="E1">
            <v>41424</v>
          </cell>
        </row>
      </sheetData>
      <sheetData sheetId="50">
        <row r="1">
          <cell r="E1">
            <v>41424</v>
          </cell>
        </row>
      </sheetData>
      <sheetData sheetId="51">
        <row r="1">
          <cell r="E1">
            <v>0</v>
          </cell>
        </row>
      </sheetData>
      <sheetData sheetId="52"/>
      <sheetData sheetId="53"/>
      <sheetData sheetId="54">
        <row r="1">
          <cell r="E1">
            <v>0</v>
          </cell>
        </row>
      </sheetData>
      <sheetData sheetId="55"/>
      <sheetData sheetId="56"/>
      <sheetData sheetId="57"/>
      <sheetData sheetId="58"/>
      <sheetData sheetId="59"/>
      <sheetData sheetId="60"/>
      <sheetData sheetId="61">
        <row r="1">
          <cell r="E1">
            <v>0</v>
          </cell>
        </row>
      </sheetData>
      <sheetData sheetId="62">
        <row r="1">
          <cell r="E1">
            <v>41424</v>
          </cell>
        </row>
      </sheetData>
      <sheetData sheetId="63">
        <row r="1">
          <cell r="E1">
            <v>41424</v>
          </cell>
        </row>
      </sheetData>
      <sheetData sheetId="64">
        <row r="1">
          <cell r="E1">
            <v>41424</v>
          </cell>
        </row>
      </sheetData>
      <sheetData sheetId="65">
        <row r="1">
          <cell r="E1">
            <v>41424</v>
          </cell>
        </row>
      </sheetData>
      <sheetData sheetId="66"/>
      <sheetData sheetId="67">
        <row r="1">
          <cell r="E1">
            <v>0</v>
          </cell>
        </row>
      </sheetData>
      <sheetData sheetId="68"/>
      <sheetData sheetId="69"/>
      <sheetData sheetId="70"/>
      <sheetData sheetId="71"/>
      <sheetData sheetId="72"/>
      <sheetData sheetId="73"/>
      <sheetData sheetId="74"/>
      <sheetData sheetId="75"/>
      <sheetData sheetId="76">
        <row r="1">
          <cell r="E1">
            <v>41424</v>
          </cell>
        </row>
      </sheetData>
      <sheetData sheetId="77">
        <row r="1">
          <cell r="E1">
            <v>41424</v>
          </cell>
        </row>
      </sheetData>
      <sheetData sheetId="78">
        <row r="1">
          <cell r="E1">
            <v>41424</v>
          </cell>
        </row>
      </sheetData>
      <sheetData sheetId="79">
        <row r="1">
          <cell r="E1">
            <v>41424</v>
          </cell>
        </row>
      </sheetData>
      <sheetData sheetId="80">
        <row r="1">
          <cell r="E1">
            <v>0</v>
          </cell>
        </row>
      </sheetData>
      <sheetData sheetId="81"/>
      <sheetData sheetId="82"/>
      <sheetData sheetId="83">
        <row r="1">
          <cell r="E1">
            <v>0</v>
          </cell>
        </row>
      </sheetData>
      <sheetData sheetId="84"/>
      <sheetData sheetId="85"/>
      <sheetData sheetId="86"/>
      <sheetData sheetId="87"/>
      <sheetData sheetId="88"/>
      <sheetData sheetId="89"/>
      <sheetData sheetId="90">
        <row r="1">
          <cell r="E1">
            <v>0</v>
          </cell>
        </row>
      </sheetData>
      <sheetData sheetId="91">
        <row r="1">
          <cell r="E1">
            <v>41424</v>
          </cell>
        </row>
      </sheetData>
      <sheetData sheetId="92">
        <row r="1">
          <cell r="E1">
            <v>41424</v>
          </cell>
        </row>
      </sheetData>
      <sheetData sheetId="93">
        <row r="1">
          <cell r="E1">
            <v>41424</v>
          </cell>
        </row>
      </sheetData>
      <sheetData sheetId="94"/>
      <sheetData sheetId="95"/>
      <sheetData sheetId="96">
        <row r="1">
          <cell r="E1">
            <v>0</v>
          </cell>
        </row>
      </sheetData>
      <sheetData sheetId="97"/>
      <sheetData sheetId="98"/>
      <sheetData sheetId="99"/>
      <sheetData sheetId="100"/>
      <sheetData sheetId="101"/>
      <sheetData sheetId="102"/>
      <sheetData sheetId="103"/>
      <sheetData sheetId="104">
        <row r="1">
          <cell r="E1">
            <v>41424</v>
          </cell>
        </row>
      </sheetData>
      <sheetData sheetId="105">
        <row r="1">
          <cell r="E1">
            <v>41424</v>
          </cell>
        </row>
      </sheetData>
      <sheetData sheetId="106">
        <row r="1">
          <cell r="E1">
            <v>41424</v>
          </cell>
        </row>
      </sheetData>
      <sheetData sheetId="107">
        <row r="1">
          <cell r="E1">
            <v>41424</v>
          </cell>
        </row>
      </sheetData>
      <sheetData sheetId="108"/>
      <sheetData sheetId="109"/>
      <sheetData sheetId="110"/>
      <sheetData sheetId="111"/>
      <sheetData sheetId="112"/>
      <sheetData sheetId="113"/>
      <sheetData sheetId="114"/>
      <sheetData sheetId="115"/>
      <sheetData sheetId="116"/>
      <sheetData sheetId="117"/>
      <sheetData sheetId="118"/>
      <sheetData sheetId="119">
        <row r="1">
          <cell r="E1">
            <v>41424</v>
          </cell>
        </row>
      </sheetData>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row r="1">
          <cell r="E1">
            <v>41424</v>
          </cell>
        </row>
      </sheetData>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row r="1">
          <cell r="E1">
            <v>41424</v>
          </cell>
        </row>
      </sheetData>
      <sheetData sheetId="194"/>
      <sheetData sheetId="195"/>
      <sheetData sheetId="196"/>
      <sheetData sheetId="197"/>
      <sheetData sheetId="198"/>
      <sheetData sheetId="199"/>
      <sheetData sheetId="200"/>
      <sheetData sheetId="201"/>
      <sheetData sheetId="202"/>
      <sheetData sheetId="203">
        <row r="1">
          <cell r="E1">
            <v>0</v>
          </cell>
        </row>
      </sheetData>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row r="1">
          <cell r="E1">
            <v>41424</v>
          </cell>
        </row>
      </sheetData>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KSA"/>
      <sheetName val="over view"/>
      <sheetName val="Sheet1"/>
      <sheetName val="HJH"/>
      <sheetName val="HJH OVERVIEW "/>
      <sheetName val="  target per Specialty  "/>
      <sheetName val="AKW"/>
      <sheetName val="OPD Analysis  (2)"/>
      <sheetName val="ADC"/>
      <sheetName val="Polyclinic "/>
      <sheetName val="Target per Doctor "/>
      <sheetName val="OPD BI "/>
      <sheetName val="IP BI "/>
      <sheetName val="OPD Comparision "/>
      <sheetName val="OPD Comparision  (2)"/>
      <sheetName val="IP Specialty "/>
      <sheetName val="IP payment type "/>
      <sheetName val="Companies "/>
      <sheetName val="Cash Contract "/>
      <sheetName val="OPD Exclusive Contrubiation "/>
      <sheetName val="Digital Volume Contribution "/>
      <sheetName val="Payment Type "/>
      <sheetName val="Medical Record "/>
      <sheetName val="IP Exclusive Contrubiotion "/>
      <sheetName val="Services "/>
      <sheetName val="Sheet3"/>
      <sheetName val="Procedure Analysis "/>
      <sheetName val="No of Service per Patient"/>
      <sheetName val="OPD Analysis  (3)"/>
      <sheetName val="Sheet4"/>
      <sheetName val="over_view2"/>
      <sheetName val="HJH_OVERVIEW_2"/>
      <sheetName val="__target_per_Specialty__2"/>
      <sheetName val="OPD_Analysis__(2)2"/>
      <sheetName val="Polyclinic_2"/>
      <sheetName val="Target_per_Doctor_2"/>
      <sheetName val="OPD_BI_2"/>
      <sheetName val="IP_BI_2"/>
      <sheetName val="OPD_Comparision_2"/>
      <sheetName val="OPD_Comparision__(2)2"/>
      <sheetName val="IP_Specialty_2"/>
      <sheetName val="IP_payment_type_2"/>
      <sheetName val="Companies_2"/>
      <sheetName val="Cash_Contract_2"/>
      <sheetName val="OPD_Exclusive_Contrubiation_2"/>
      <sheetName val="Digital_Volume_Contribution_2"/>
      <sheetName val="Payment_Type_2"/>
      <sheetName val="Medical_Record_2"/>
      <sheetName val="IP_Exclusive_Contrubiotion_2"/>
      <sheetName val="Services_2"/>
      <sheetName val="Procedure_Analysis_2"/>
      <sheetName val="No_of_Service_per_Patient2"/>
      <sheetName val="OPD_Analysis__(3)2"/>
      <sheetName val="over_view"/>
      <sheetName val="HJH_OVERVIEW_"/>
      <sheetName val="__target_per_Specialty__"/>
      <sheetName val="OPD_Analysis__(2)"/>
      <sheetName val="Polyclinic_"/>
      <sheetName val="Target_per_Doctor_"/>
      <sheetName val="OPD_BI_"/>
      <sheetName val="IP_BI_"/>
      <sheetName val="OPD_Comparision_"/>
      <sheetName val="OPD_Comparision__(2)"/>
      <sheetName val="IP_Specialty_"/>
      <sheetName val="IP_payment_type_"/>
      <sheetName val="Companies_"/>
      <sheetName val="Cash_Contract_"/>
      <sheetName val="OPD_Exclusive_Contrubiation_"/>
      <sheetName val="Digital_Volume_Contribution_"/>
      <sheetName val="Payment_Type_"/>
      <sheetName val="Medical_Record_"/>
      <sheetName val="IP_Exclusive_Contrubiotion_"/>
      <sheetName val="Services_"/>
      <sheetName val="Procedure_Analysis_"/>
      <sheetName val="No_of_Service_per_Patient"/>
      <sheetName val="OPD_Analysis__(3)"/>
      <sheetName val="over_view1"/>
      <sheetName val="HJH_OVERVIEW_1"/>
      <sheetName val="__target_per_Specialty__1"/>
      <sheetName val="OPD_Analysis__(2)1"/>
      <sheetName val="Polyclinic_1"/>
      <sheetName val="Target_per_Doctor_1"/>
      <sheetName val="OPD_BI_1"/>
      <sheetName val="IP_BI_1"/>
      <sheetName val="OPD_Comparision_1"/>
      <sheetName val="OPD_Comparision__(2)1"/>
      <sheetName val="IP_Specialty_1"/>
      <sheetName val="IP_payment_type_1"/>
      <sheetName val="Companies_1"/>
      <sheetName val="Cash_Contract_1"/>
      <sheetName val="OPD_Exclusive_Contrubiation_1"/>
      <sheetName val="Digital_Volume_Contribution_1"/>
      <sheetName val="Payment_Type_1"/>
      <sheetName val="Medical_Record_1"/>
      <sheetName val="IP_Exclusive_Contrubiotion_1"/>
      <sheetName val="Services_1"/>
      <sheetName val="Procedure_Analysis_1"/>
      <sheetName val="No_of_Service_per_Patient1"/>
      <sheetName val="OPD_Analysis__(3)1"/>
      <sheetName val="over_view3"/>
      <sheetName val="HJH_OVERVIEW_3"/>
      <sheetName val="__target_per_Specialty__3"/>
      <sheetName val="OPD_Analysis__(2)3"/>
      <sheetName val="Polyclinic_3"/>
      <sheetName val="Target_per_Doctor_3"/>
      <sheetName val="OPD_BI_3"/>
      <sheetName val="IP_BI_3"/>
      <sheetName val="OPD_Comparision_3"/>
      <sheetName val="OPD_Comparision__(2)3"/>
      <sheetName val="IP_Specialty_3"/>
      <sheetName val="IP_payment_type_3"/>
      <sheetName val="Companies_3"/>
      <sheetName val="Cash_Contract_3"/>
      <sheetName val="OPD_Exclusive_Contrubiation_3"/>
      <sheetName val="Digital_Volume_Contribution_3"/>
      <sheetName val="Payment_Type_3"/>
      <sheetName val="Medical_Record_3"/>
      <sheetName val="IP_Exclusive_Contrubiotion_3"/>
      <sheetName val="Services_3"/>
      <sheetName val="Procedure_Analysis_3"/>
      <sheetName val="No_of_Service_per_Patient3"/>
      <sheetName val="OPD_Analysis__(3)3"/>
      <sheetName val="over_view4"/>
      <sheetName val="HJH_OVERVIEW_4"/>
      <sheetName val="__target_per_Specialty__4"/>
      <sheetName val="OPD_Analysis__(2)4"/>
      <sheetName val="Polyclinic_4"/>
      <sheetName val="Target_per_Doctor_4"/>
      <sheetName val="OPD_BI_4"/>
      <sheetName val="IP_BI_4"/>
      <sheetName val="OPD_Comparision_4"/>
      <sheetName val="OPD_Comparision__(2)4"/>
      <sheetName val="IP_Specialty_4"/>
      <sheetName val="IP_payment_type_4"/>
      <sheetName val="Companies_4"/>
      <sheetName val="Cash_Contract_4"/>
      <sheetName val="OPD_Exclusive_Contrubiation_4"/>
      <sheetName val="Digital_Volume_Contribution_4"/>
      <sheetName val="Payment_Type_4"/>
      <sheetName val="Medical_Record_4"/>
      <sheetName val="IP_Exclusive_Contrubiotion_4"/>
      <sheetName val="Services_4"/>
      <sheetName val="Procedure_Analysis_4"/>
      <sheetName val="No_of_Service_per_Patient4"/>
      <sheetName val="OPD_Analysis__(3)4"/>
      <sheetName val="over_view5"/>
      <sheetName val="HJH_OVERVIEW_5"/>
      <sheetName val="__target_per_Specialty__5"/>
      <sheetName val="OPD_Analysis__(2)5"/>
      <sheetName val="Polyclinic_5"/>
      <sheetName val="Target_per_Doctor_5"/>
      <sheetName val="OPD_BI_5"/>
      <sheetName val="IP_BI_5"/>
      <sheetName val="OPD_Comparision_5"/>
      <sheetName val="OPD_Comparision__(2)5"/>
      <sheetName val="IP_Specialty_5"/>
      <sheetName val="IP_payment_type_5"/>
      <sheetName val="Companies_5"/>
      <sheetName val="Cash_Contract_5"/>
      <sheetName val="OPD_Exclusive_Contrubiation_5"/>
      <sheetName val="Digital_Volume_Contribution_5"/>
      <sheetName val="Payment_Type_5"/>
      <sheetName val="Medical_Record_5"/>
      <sheetName val="IP_Exclusive_Contrubiotion_5"/>
      <sheetName val="Services_5"/>
      <sheetName val="Procedure_Analysis_5"/>
      <sheetName val="No_of_Service_per_Patient5"/>
      <sheetName val="OPD_Analysis__(3)5"/>
      <sheetName val="over_view6"/>
      <sheetName val="HJH_OVERVIEW_6"/>
      <sheetName val="__target_per_Specialty__6"/>
      <sheetName val="OPD_Analysis__(2)6"/>
      <sheetName val="Polyclinic_6"/>
      <sheetName val="Target_per_Doctor_6"/>
      <sheetName val="OPD_BI_6"/>
      <sheetName val="IP_BI_6"/>
      <sheetName val="OPD_Comparision_6"/>
      <sheetName val="OPD_Comparision__(2)6"/>
      <sheetName val="IP_Specialty_6"/>
      <sheetName val="IP_payment_type_6"/>
      <sheetName val="Companies_6"/>
      <sheetName val="Cash_Contract_6"/>
      <sheetName val="OPD_Exclusive_Contrubiation_6"/>
      <sheetName val="Digital_Volume_Contribution_6"/>
      <sheetName val="Payment_Type_6"/>
      <sheetName val="Medical_Record_6"/>
      <sheetName val="IP_Exclusive_Contrubiotion_6"/>
      <sheetName val="Services_6"/>
      <sheetName val="Procedure_Analysis_6"/>
      <sheetName val="No_of_Service_per_Patient6"/>
      <sheetName val="OPD_Analysis__(3)6"/>
      <sheetName val="over_view7"/>
      <sheetName val="HJH_OVERVIEW_7"/>
      <sheetName val="__target_per_Specialty__7"/>
      <sheetName val="OPD_Analysis__(2)7"/>
      <sheetName val="Polyclinic_7"/>
      <sheetName val="Target_per_Doctor_7"/>
      <sheetName val="OPD_BI_7"/>
      <sheetName val="IP_BI_7"/>
      <sheetName val="OPD_Comparision_7"/>
      <sheetName val="OPD_Comparision__(2)7"/>
      <sheetName val="IP_Specialty_7"/>
      <sheetName val="IP_payment_type_7"/>
      <sheetName val="Companies_7"/>
      <sheetName val="Cash_Contract_7"/>
      <sheetName val="OPD_Exclusive_Contrubiation_7"/>
      <sheetName val="Digital_Volume_Contribution_7"/>
      <sheetName val="Payment_Type_7"/>
      <sheetName val="Medical_Record_7"/>
      <sheetName val="IP_Exclusive_Contrubiotion_7"/>
      <sheetName val="Services_7"/>
      <sheetName val="Procedure_Analysis_7"/>
      <sheetName val="No_of_Service_per_Patient7"/>
      <sheetName val="OPD_Analysis__(3)7"/>
      <sheetName val="target 2014 delta team"/>
    </sheetNames>
    <sheetDataSet>
      <sheetData sheetId="0" refreshError="1"/>
      <sheetData sheetId="1" refreshError="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Loan Amortization Schedule"/>
    </sheetNames>
    <sheetDataSet>
      <sheetData sheetId="0" refreshError="1"/>
      <sheetData sheetId="1" refreshError="1"/>
      <sheetData sheetId="2"/>
      <sheetData sheetId="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Data"/>
      <sheetName val="Lists"/>
      <sheetName val="budget"/>
      <sheetName val="Calender"/>
      <sheetName val="WPS"/>
    </sheetNames>
    <sheetDataSet>
      <sheetData sheetId="0"/>
      <sheetData sheetId="1"/>
      <sheetData sheetId="2"/>
      <sheetData sheetId="3" refreshError="1"/>
      <sheetData sheetId="4" refreshError="1"/>
      <sheetData sheetId="5"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ايام الدنيا"/>
      <sheetName val="التاخيرات"/>
      <sheetName val="KSA"/>
      <sheetName val="over view"/>
      <sheetName val="Digital Volume Contribution "/>
      <sheetName val="HJH"/>
      <sheetName val="Payment Type "/>
      <sheetName val="HJH OVERVIEW "/>
      <sheetName val="AKW"/>
      <sheetName val="OPD Analysis  (2)"/>
      <sheetName val="ADC"/>
      <sheetName val="Polyclinic "/>
      <sheetName val="Sheet1"/>
      <sheetName val="  target per Specialty  "/>
      <sheetName val="Medical Record "/>
      <sheetName val="ايام_الدنيا"/>
      <sheetName val="ايام_الدنيا1"/>
      <sheetName val="over_view"/>
      <sheetName val="Digital_Volume_Contribution_"/>
      <sheetName val="Payment_Type_"/>
      <sheetName val="HJH_OVERVIEW_"/>
      <sheetName val="OPD_Analysis__(2)"/>
      <sheetName val="Polyclinic_"/>
      <sheetName val="__target_per_Specialty__"/>
      <sheetName val="Medical_Record_"/>
      <sheetName val="ايام_الدنيا2"/>
      <sheetName val="over_view1"/>
      <sheetName val="Digital_Volume_Contribution_1"/>
      <sheetName val="Payment_Type_1"/>
      <sheetName val="HJH_OVERVIEW_1"/>
      <sheetName val="OPD_Analysis__(2)1"/>
      <sheetName val="Polyclinic_1"/>
      <sheetName val="__target_per_Specialty__1"/>
      <sheetName val="Medical_Record_1"/>
      <sheetName val="المستشفى"/>
    </sheetNames>
    <sheetDataSet>
      <sheetData sheetId="0"/>
      <sheetData sheetId="1">
        <row r="2">
          <cell r="U2">
            <v>4.2349537037037033E-2</v>
          </cell>
        </row>
      </sheetData>
      <sheetData sheetId="2"/>
      <sheetData sheetId="3">
        <row r="2">
          <cell r="U2">
            <v>4.2349537037037033E-2</v>
          </cell>
        </row>
      </sheetData>
      <sheetData sheetId="4"/>
      <sheetData sheetId="5"/>
      <sheetData sheetId="6"/>
      <sheetData sheetId="7"/>
      <sheetData sheetId="8"/>
      <sheetData sheetId="9"/>
      <sheetData sheetId="10"/>
      <sheetData sheetId="11"/>
      <sheetData sheetId="12"/>
      <sheetData sheetId="13" refreshError="1"/>
      <sheetData sheetId="14">
        <row r="2">
          <cell r="U2">
            <v>4.2349537037037033E-2</v>
          </cell>
        </row>
      </sheetData>
      <sheetData sheetId="15">
        <row r="2">
          <cell r="U2">
            <v>4.2349537037037033E-2</v>
          </cell>
        </row>
      </sheetData>
      <sheetData sheetId="16">
        <row r="2">
          <cell r="U2">
            <v>4.2349537037037033E-2</v>
          </cell>
        </row>
      </sheetData>
      <sheetData sheetId="17">
        <row r="2">
          <cell r="U2">
            <v>4.2349537037037033E-2</v>
          </cell>
        </row>
      </sheetData>
      <sheetData sheetId="18"/>
      <sheetData sheetId="19"/>
      <sheetData sheetId="20"/>
      <sheetData sheetId="21"/>
      <sheetData sheetId="22"/>
      <sheetData sheetId="23"/>
      <sheetData sheetId="24"/>
      <sheetData sheetId="25"/>
      <sheetData sheetId="26">
        <row r="2">
          <cell r="U2">
            <v>4.2349537037037033E-2</v>
          </cell>
        </row>
      </sheetData>
      <sheetData sheetId="27"/>
      <sheetData sheetId="28"/>
      <sheetData sheetId="29"/>
      <sheetData sheetId="30"/>
      <sheetData sheetId="31"/>
      <sheetData sheetId="32"/>
      <sheetData sheetId="33"/>
      <sheetData sheetId="34"/>
      <sheetData sheetId="3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D # (2)"/>
      <sheetName val="Sheet2"/>
      <sheetName val="Friday clinic"/>
      <sheetName val="OPD_#_(2)1"/>
      <sheetName val="Friday_clinic1"/>
      <sheetName val="OPD_#_(2)"/>
      <sheetName val="Friday_clinic"/>
      <sheetName val="Friday_clinic2"/>
      <sheetName val="OPD_#_(2)2"/>
      <sheetName val="Friday_clinic7"/>
      <sheetName val="OPD_#_(2)6"/>
      <sheetName val="Friday_clinic3"/>
      <sheetName val="OPD_#_(2)3"/>
      <sheetName val="Friday_clinic4"/>
      <sheetName val="OPD_#_(2)4"/>
      <sheetName val="Friday_clinic5"/>
      <sheetName val="OPD_#_(2)5"/>
      <sheetName val="Friday_clinic6"/>
      <sheetName val="Friday_clinic8"/>
      <sheetName val="Friday_clinic9"/>
      <sheetName val="OPD_#_(2)7"/>
      <sheetName val="Friday_clinic10"/>
      <sheetName val="OPD_#_(2)8"/>
      <sheetName val="OPD_#_(2)9"/>
      <sheetName val="Friday_clinic11"/>
      <sheetName val="OPD_#_(2)10"/>
      <sheetName val="Friday_clinic12"/>
      <sheetName val="OPD_#_(2)11"/>
      <sheetName val="Friday_clinic13"/>
      <sheetName val="OPD_#_(2)12"/>
      <sheetName val="Friday_clinic14"/>
      <sheetName val="Friday_clinic15"/>
    </sheetNames>
    <definedNames>
      <definedName name="Interest_Rate" refersTo="#REF!"/>
      <definedName name="Loan_Amount" refersTo="#REF!"/>
      <definedName name="Loan_Start" refersTo="#REF!"/>
      <definedName name="Loan_Years" refersTo="#REF!"/>
    </defined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Any year calendar1"/>
      <sheetName val="Any_year_calendar1"/>
      <sheetName val="Any_year_calendar11"/>
      <sheetName val="Any_year_calendar12"/>
      <sheetName val="Factors"/>
    </sheetNames>
    <sheetDataSet>
      <sheetData sheetId="0">
        <row r="3">
          <cell r="X3">
            <v>2014</v>
          </cell>
        </row>
      </sheetData>
      <sheetData sheetId="1" refreshError="1"/>
      <sheetData sheetId="2"/>
      <sheetData sheetId="3"/>
      <sheetData sheetId="4"/>
      <sheetData sheetId="5"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 val="Calendar"/>
      <sheetName val="KSA"/>
      <sheetName val="over view"/>
      <sheetName val="Digital Volume Contribution "/>
      <sheetName val="HJH"/>
      <sheetName val="Payment Type "/>
      <sheetName val="HJH OVERVIEW "/>
      <sheetName val="AKW"/>
      <sheetName val="OPD Analysis  (2)"/>
      <sheetName val="ADC"/>
      <sheetName val="Polyclinic "/>
      <sheetName val="Sheet3"/>
      <sheetName val="over_view2"/>
      <sheetName val="Digital_Volume_Contribution_2"/>
      <sheetName val="Payment_Type_2"/>
      <sheetName val="HJH_OVERVIEW_2"/>
      <sheetName val="OPD_Analysis__(2)2"/>
      <sheetName val="Polyclinic_2"/>
      <sheetName val="over_view"/>
      <sheetName val="Digital_Volume_Contribution_"/>
      <sheetName val="Payment_Type_"/>
      <sheetName val="HJH_OVERVIEW_"/>
      <sheetName val="OPD_Analysis__(2)"/>
      <sheetName val="Polyclinic_"/>
      <sheetName val="over_view1"/>
      <sheetName val="Digital_Volume_Contribution_1"/>
      <sheetName val="Payment_Type_1"/>
      <sheetName val="HJH_OVERVIEW_1"/>
      <sheetName val="OPD_Analysis__(2)1"/>
      <sheetName val="Polyclinic_1"/>
      <sheetName val="over_view3"/>
      <sheetName val="Digital_Volume_Contribution_3"/>
      <sheetName val="Payment_Type_3"/>
      <sheetName val="HJH_OVERVIEW_3"/>
      <sheetName val="OPD_Analysis__(2)3"/>
      <sheetName val="Polyclinic_3"/>
      <sheetName val="over_view4"/>
      <sheetName val="Digital_Volume_Contribution_4"/>
      <sheetName val="Payment_Type_4"/>
      <sheetName val="HJH_OVERVIEW_4"/>
      <sheetName val="OPD_Analysis__(2)4"/>
      <sheetName val="Polyclinic_4"/>
      <sheetName val="over_view5"/>
      <sheetName val="Digital_Volume_Contribution_5"/>
      <sheetName val="Payment_Type_5"/>
      <sheetName val="HJH_OVERVIEW_5"/>
      <sheetName val="OPD_Analysis__(2)5"/>
      <sheetName val="Polyclinic_5"/>
      <sheetName val="over_view6"/>
      <sheetName val="Digital_Volume_Contribution_6"/>
      <sheetName val="Payment_Type_6"/>
      <sheetName val="HJH_OVERVIEW_6"/>
      <sheetName val="OPD_Analysis__(2)6"/>
      <sheetName val="Polyclinic_6"/>
      <sheetName val="over_view7"/>
      <sheetName val="Digital_Volume_Contribution_7"/>
      <sheetName val="Payment_Type_7"/>
      <sheetName val="HJH_OVERVIEW_7"/>
      <sheetName val="OPD_Analysis__(2)7"/>
      <sheetName val="Polyclinic_7"/>
      <sheetName val="Lists"/>
      <sheetName val="Sheet17"/>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W-MTD"/>
      <sheetName val="AFW-DTD"/>
      <sheetName val="AFW Plan"/>
      <sheetName val="AFW HC"/>
      <sheetName val="Cash-Credit Ratio"/>
      <sheetName val="Piv"/>
      <sheetName val="Retention"/>
    </sheetNames>
    <sheetDataSet>
      <sheetData sheetId="0"/>
      <sheetData sheetId="1"/>
      <sheetData sheetId="2">
        <row r="4">
          <cell r="J4">
            <v>0.21739130434782608</v>
          </cell>
        </row>
      </sheetData>
      <sheetData sheetId="3"/>
      <sheetData sheetId="4"/>
      <sheetData sheetId="5"/>
      <sheetData sheetId="6"/>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H"/>
      <sheetName val="SMH"/>
      <sheetName val="Calender"/>
    </sheetNames>
    <sheetDataSet>
      <sheetData sheetId="0" refreshError="1"/>
      <sheetData sheetId="1" refreshError="1"/>
      <sheetData sheetId="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sheetName val="Cash flow"/>
      <sheetName val="ER"/>
      <sheetName val="External &amp; Outpatient"/>
      <sheetName val="Inpatient"/>
      <sheetName val="Cath lab"/>
      <sheetName val="ASH Target"/>
      <sheetName val="ASSH TARget"/>
      <sheetName val="Drugs"/>
      <sheetName val="operational exp."/>
      <sheetName val="Expenses"/>
      <sheetName val="Taxes"/>
      <sheetName val="Markting Exp."/>
      <sheetName val="H.R Plan"/>
      <sheetName val="Revenue"/>
      <sheetName val="Loan Amortization Schedule"/>
      <sheetName val="Sheet6"/>
      <sheetName val="Sheet2"/>
      <sheetName val="Calend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Loan Amortization Schedule</v>
          </cell>
        </row>
        <row r="4">
          <cell r="B4" t="str">
            <v>Enter values</v>
          </cell>
          <cell r="H4" t="str">
            <v>Loan summary</v>
          </cell>
        </row>
        <row r="5">
          <cell r="C5" t="str">
            <v>Loan amount</v>
          </cell>
          <cell r="D5">
            <v>3300000</v>
          </cell>
          <cell r="I5" t="str">
            <v>Scheduled payment</v>
          </cell>
          <cell r="J5">
            <v>272859.94110595033</v>
          </cell>
        </row>
        <row r="6">
          <cell r="C6" t="str">
            <v>Annual interest rate</v>
          </cell>
          <cell r="D6">
            <v>0.14000000000000001</v>
          </cell>
          <cell r="I6" t="str">
            <v>Scheduled number of payments</v>
          </cell>
          <cell r="J6">
            <v>16</v>
          </cell>
        </row>
        <row r="7">
          <cell r="C7" t="str">
            <v>Loan period in years</v>
          </cell>
          <cell r="D7">
            <v>4</v>
          </cell>
          <cell r="I7" t="str">
            <v>Actual number of payments</v>
          </cell>
          <cell r="J7">
            <v>16</v>
          </cell>
        </row>
        <row r="8">
          <cell r="C8" t="str">
            <v>Number of payments per year</v>
          </cell>
          <cell r="D8">
            <v>4</v>
          </cell>
          <cell r="I8" t="str">
            <v>Total early payments</v>
          </cell>
          <cell r="J8">
            <v>0</v>
          </cell>
        </row>
        <row r="9">
          <cell r="C9" t="str">
            <v>Start date of loan</v>
          </cell>
          <cell r="D9">
            <v>40238</v>
          </cell>
          <cell r="I9" t="str">
            <v>Total interest</v>
          </cell>
          <cell r="J9">
            <v>1065759.0576951939</v>
          </cell>
        </row>
        <row r="10">
          <cell r="C10" t="str">
            <v>Optional extra payments</v>
          </cell>
        </row>
        <row r="12">
          <cell r="B12" t="str">
            <v>Lender name:</v>
          </cell>
        </row>
        <row r="16">
          <cell r="A16" t="str">
            <v>Pmt. No.</v>
          </cell>
          <cell r="B16" t="str">
            <v>Payment Date</v>
          </cell>
          <cell r="C16" t="str">
            <v>Beginning Balance</v>
          </cell>
          <cell r="D16" t="str">
            <v>Scheduled Payment</v>
          </cell>
          <cell r="E16" t="str">
            <v>Extra Payment</v>
          </cell>
          <cell r="F16" t="str">
            <v>Total Payment</v>
          </cell>
          <cell r="G16" t="str">
            <v>Principal</v>
          </cell>
          <cell r="H16" t="str">
            <v>Interest</v>
          </cell>
          <cell r="I16" t="str">
            <v>Ending Balance</v>
          </cell>
          <cell r="J16" t="str">
            <v>Cumulative Interest</v>
          </cell>
        </row>
        <row r="18">
          <cell r="A18">
            <v>1</v>
          </cell>
          <cell r="B18">
            <v>40330</v>
          </cell>
          <cell r="C18">
            <v>3300000</v>
          </cell>
          <cell r="D18">
            <v>272859.94110595033</v>
          </cell>
          <cell r="E18">
            <v>0</v>
          </cell>
          <cell r="F18">
            <v>272859.94110595033</v>
          </cell>
          <cell r="G18">
            <v>157359.94110595033</v>
          </cell>
          <cell r="H18">
            <v>115500.00000000001</v>
          </cell>
          <cell r="I18">
            <v>3142640.0588940498</v>
          </cell>
          <cell r="J18">
            <v>115500.00000000001</v>
          </cell>
        </row>
        <row r="19">
          <cell r="A19">
            <v>2</v>
          </cell>
          <cell r="B19">
            <v>40422</v>
          </cell>
          <cell r="C19">
            <v>3142640.0588940498</v>
          </cell>
          <cell r="D19">
            <v>272859.94110595033</v>
          </cell>
          <cell r="E19">
            <v>0</v>
          </cell>
          <cell r="F19">
            <v>272859.94110595033</v>
          </cell>
          <cell r="G19">
            <v>162867.5390446586</v>
          </cell>
          <cell r="H19">
            <v>109992.40206129175</v>
          </cell>
          <cell r="I19">
            <v>2979772.5198493912</v>
          </cell>
          <cell r="J19">
            <v>225492.40206129177</v>
          </cell>
        </row>
        <row r="20">
          <cell r="A20">
            <v>3</v>
          </cell>
          <cell r="B20">
            <v>40513</v>
          </cell>
          <cell r="C20">
            <v>2979772.5198493912</v>
          </cell>
          <cell r="D20">
            <v>272859.94110595033</v>
          </cell>
          <cell r="E20">
            <v>0</v>
          </cell>
          <cell r="F20">
            <v>272859.94110595033</v>
          </cell>
          <cell r="G20">
            <v>168567.90291122164</v>
          </cell>
          <cell r="H20">
            <v>104292.0381947287</v>
          </cell>
          <cell r="I20">
            <v>2811204.6169381696</v>
          </cell>
          <cell r="J20">
            <v>329784.44025602046</v>
          </cell>
        </row>
        <row r="21">
          <cell r="A21">
            <v>4</v>
          </cell>
          <cell r="B21">
            <v>40603</v>
          </cell>
          <cell r="C21">
            <v>2811204.6169381696</v>
          </cell>
          <cell r="D21">
            <v>272859.94110595033</v>
          </cell>
          <cell r="E21">
            <v>0</v>
          </cell>
          <cell r="F21">
            <v>272859.94110595033</v>
          </cell>
          <cell r="G21">
            <v>174467.77951311439</v>
          </cell>
          <cell r="H21">
            <v>98392.161592835939</v>
          </cell>
          <cell r="I21">
            <v>2636736.837425055</v>
          </cell>
          <cell r="J21">
            <v>428176.60184885643</v>
          </cell>
        </row>
        <row r="22">
          <cell r="A22">
            <v>5</v>
          </cell>
          <cell r="B22">
            <v>40695</v>
          </cell>
          <cell r="C22">
            <v>2636736.837425055</v>
          </cell>
          <cell r="D22">
            <v>272859.94110595033</v>
          </cell>
          <cell r="E22">
            <v>0</v>
          </cell>
          <cell r="F22">
            <v>272859.94110595033</v>
          </cell>
          <cell r="G22">
            <v>180574.15179607342</v>
          </cell>
          <cell r="H22">
            <v>92285.789309876927</v>
          </cell>
          <cell r="I22">
            <v>2456162.6856289813</v>
          </cell>
          <cell r="J22">
            <v>520462.39115873334</v>
          </cell>
        </row>
        <row r="23">
          <cell r="A23">
            <v>6</v>
          </cell>
          <cell r="B23">
            <v>40787</v>
          </cell>
          <cell r="C23">
            <v>2456162.6856289813</v>
          </cell>
          <cell r="D23">
            <v>272859.94110595033</v>
          </cell>
          <cell r="E23">
            <v>0</v>
          </cell>
          <cell r="F23">
            <v>272859.94110595033</v>
          </cell>
          <cell r="G23">
            <v>186894.24710893596</v>
          </cell>
          <cell r="H23">
            <v>85965.693997014358</v>
          </cell>
          <cell r="I23">
            <v>2269268.4385200455</v>
          </cell>
          <cell r="J23">
            <v>606428.08515574771</v>
          </cell>
        </row>
        <row r="24">
          <cell r="A24">
            <v>7</v>
          </cell>
          <cell r="B24">
            <v>40878</v>
          </cell>
          <cell r="C24">
            <v>2269268.4385200455</v>
          </cell>
          <cell r="D24">
            <v>272859.94110595033</v>
          </cell>
          <cell r="E24">
            <v>0</v>
          </cell>
          <cell r="F24">
            <v>272859.94110595033</v>
          </cell>
          <cell r="G24">
            <v>193435.54575774874</v>
          </cell>
          <cell r="H24">
            <v>79424.395348201593</v>
          </cell>
          <cell r="I24">
            <v>2075832.8927622968</v>
          </cell>
          <cell r="J24">
            <v>685852.48050394934</v>
          </cell>
        </row>
        <row r="25">
          <cell r="A25">
            <v>8</v>
          </cell>
          <cell r="B25">
            <v>40969</v>
          </cell>
          <cell r="C25">
            <v>2075832.8927622968</v>
          </cell>
          <cell r="D25">
            <v>272859.94110595033</v>
          </cell>
          <cell r="E25">
            <v>0</v>
          </cell>
          <cell r="F25">
            <v>272859.94110595033</v>
          </cell>
          <cell r="G25">
            <v>200205.78985926992</v>
          </cell>
          <cell r="H25">
            <v>72654.151246680398</v>
          </cell>
          <cell r="I25">
            <v>1875627.1029030269</v>
          </cell>
          <cell r="J25">
            <v>758506.63175062975</v>
          </cell>
        </row>
        <row r="26">
          <cell r="A26">
            <v>9</v>
          </cell>
          <cell r="B26">
            <v>41061</v>
          </cell>
          <cell r="C26">
            <v>1875627.1029030269</v>
          </cell>
          <cell r="D26">
            <v>272859.94110595033</v>
          </cell>
          <cell r="E26">
            <v>0</v>
          </cell>
          <cell r="F26">
            <v>272859.94110595033</v>
          </cell>
          <cell r="G26">
            <v>207212.99250434438</v>
          </cell>
          <cell r="H26">
            <v>65646.948601605953</v>
          </cell>
          <cell r="I26">
            <v>1668414.1103986825</v>
          </cell>
          <cell r="J26">
            <v>824153.5803522357</v>
          </cell>
        </row>
        <row r="27">
          <cell r="A27">
            <v>10</v>
          </cell>
          <cell r="B27">
            <v>41153</v>
          </cell>
          <cell r="C27">
            <v>1668414.1103986825</v>
          </cell>
          <cell r="D27">
            <v>272859.94110595033</v>
          </cell>
          <cell r="E27">
            <v>0</v>
          </cell>
          <cell r="F27">
            <v>272859.94110595033</v>
          </cell>
          <cell r="G27">
            <v>214465.44724199644</v>
          </cell>
          <cell r="H27">
            <v>58394.493863953896</v>
          </cell>
          <cell r="I27">
            <v>1453948.6631566861</v>
          </cell>
          <cell r="J27">
            <v>882548.07421618956</v>
          </cell>
        </row>
        <row r="28">
          <cell r="A28">
            <v>11</v>
          </cell>
          <cell r="B28">
            <v>41244</v>
          </cell>
          <cell r="C28">
            <v>1453948.6631566861</v>
          </cell>
          <cell r="D28">
            <v>272859.94110595033</v>
          </cell>
          <cell r="E28">
            <v>0</v>
          </cell>
          <cell r="F28">
            <v>272859.94110595033</v>
          </cell>
          <cell r="G28">
            <v>221971.73789546633</v>
          </cell>
          <cell r="H28">
            <v>50888.203210484018</v>
          </cell>
          <cell r="I28">
            <v>1231976.9252612197</v>
          </cell>
          <cell r="J28">
            <v>933436.27742667357</v>
          </cell>
        </row>
        <row r="29">
          <cell r="A29">
            <v>12</v>
          </cell>
          <cell r="B29">
            <v>41334</v>
          </cell>
          <cell r="C29">
            <v>1231976.9252612197</v>
          </cell>
          <cell r="D29">
            <v>272859.94110595033</v>
          </cell>
          <cell r="E29">
            <v>0</v>
          </cell>
          <cell r="F29">
            <v>272859.94110595033</v>
          </cell>
          <cell r="G29">
            <v>229740.74872180764</v>
          </cell>
          <cell r="H29">
            <v>43119.192384142698</v>
          </cell>
          <cell r="I29">
            <v>1002236.1765394121</v>
          </cell>
          <cell r="J29">
            <v>976555.46981081623</v>
          </cell>
        </row>
        <row r="30">
          <cell r="A30">
            <v>13</v>
          </cell>
          <cell r="B30">
            <v>41426</v>
          </cell>
          <cell r="C30">
            <v>1002236.1765394121</v>
          </cell>
          <cell r="D30">
            <v>272859.94110595033</v>
          </cell>
          <cell r="E30">
            <v>0</v>
          </cell>
          <cell r="F30">
            <v>272859.94110595033</v>
          </cell>
          <cell r="G30">
            <v>237781.67492707091</v>
          </cell>
          <cell r="H30">
            <v>35078.266178879428</v>
          </cell>
          <cell r="I30">
            <v>764454.50161234126</v>
          </cell>
          <cell r="J30">
            <v>1011633.7359896956</v>
          </cell>
        </row>
        <row r="31">
          <cell r="A31">
            <v>14</v>
          </cell>
          <cell r="B31">
            <v>41518</v>
          </cell>
          <cell r="C31">
            <v>764454.50161234126</v>
          </cell>
          <cell r="D31">
            <v>272859.94110595033</v>
          </cell>
          <cell r="E31">
            <v>0</v>
          </cell>
          <cell r="F31">
            <v>272859.94110595033</v>
          </cell>
          <cell r="G31">
            <v>246104.03354951838</v>
          </cell>
          <cell r="H31">
            <v>26755.907556431946</v>
          </cell>
          <cell r="I31">
            <v>518350.46806282288</v>
          </cell>
          <cell r="J31">
            <v>1038389.6435461276</v>
          </cell>
        </row>
        <row r="32">
          <cell r="A32">
            <v>15</v>
          </cell>
          <cell r="B32">
            <v>41609</v>
          </cell>
          <cell r="C32">
            <v>518350.46806282288</v>
          </cell>
          <cell r="D32">
            <v>272859.94110595033</v>
          </cell>
          <cell r="E32">
            <v>0</v>
          </cell>
          <cell r="F32">
            <v>272859.94110595033</v>
          </cell>
          <cell r="G32">
            <v>254717.67472375152</v>
          </cell>
          <cell r="H32">
            <v>18142.266382198803</v>
          </cell>
          <cell r="I32">
            <v>263632.79333907133</v>
          </cell>
          <cell r="J32">
            <v>1056531.9099283265</v>
          </cell>
        </row>
        <row r="33">
          <cell r="A33">
            <v>16</v>
          </cell>
          <cell r="B33">
            <v>41699</v>
          </cell>
          <cell r="C33">
            <v>263632.79333907133</v>
          </cell>
          <cell r="D33">
            <v>272859.94110595033</v>
          </cell>
          <cell r="E33">
            <v>0</v>
          </cell>
          <cell r="F33">
            <v>263632.79333907133</v>
          </cell>
          <cell r="G33">
            <v>254405.64557220382</v>
          </cell>
          <cell r="H33">
            <v>9227.1477668674979</v>
          </cell>
          <cell r="I33">
            <v>0</v>
          </cell>
          <cell r="J33">
            <v>1065759.0576951939</v>
          </cell>
        </row>
        <row r="34">
          <cell r="A34">
            <v>17</v>
          </cell>
          <cell r="B34">
            <v>41791</v>
          </cell>
          <cell r="C34">
            <v>0</v>
          </cell>
          <cell r="D34">
            <v>272859.94110595033</v>
          </cell>
          <cell r="E34">
            <v>0</v>
          </cell>
          <cell r="F34">
            <v>0</v>
          </cell>
          <cell r="G34">
            <v>0</v>
          </cell>
          <cell r="H34">
            <v>0</v>
          </cell>
          <cell r="I34">
            <v>0</v>
          </cell>
          <cell r="J34">
            <v>1065759.0576951939</v>
          </cell>
        </row>
        <row r="35">
          <cell r="A35">
            <v>18</v>
          </cell>
          <cell r="B35">
            <v>41883</v>
          </cell>
          <cell r="C35">
            <v>0</v>
          </cell>
          <cell r="D35">
            <v>272859.94110595033</v>
          </cell>
          <cell r="E35">
            <v>0</v>
          </cell>
          <cell r="F35">
            <v>0</v>
          </cell>
          <cell r="G35">
            <v>0</v>
          </cell>
          <cell r="H35">
            <v>0</v>
          </cell>
          <cell r="I35">
            <v>0</v>
          </cell>
          <cell r="J35">
            <v>1065759.0576951939</v>
          </cell>
        </row>
        <row r="36">
          <cell r="A36">
            <v>19</v>
          </cell>
          <cell r="B36">
            <v>41974</v>
          </cell>
          <cell r="C36">
            <v>0</v>
          </cell>
          <cell r="D36">
            <v>272859.94110595033</v>
          </cell>
          <cell r="E36">
            <v>0</v>
          </cell>
          <cell r="F36">
            <v>0</v>
          </cell>
          <cell r="G36">
            <v>0</v>
          </cell>
          <cell r="H36">
            <v>0</v>
          </cell>
          <cell r="I36">
            <v>0</v>
          </cell>
          <cell r="J36">
            <v>1065759.0576951939</v>
          </cell>
        </row>
        <row r="37">
          <cell r="A37">
            <v>20</v>
          </cell>
          <cell r="B37">
            <v>42064</v>
          </cell>
          <cell r="C37">
            <v>0</v>
          </cell>
          <cell r="D37">
            <v>272859.94110595033</v>
          </cell>
          <cell r="E37">
            <v>0</v>
          </cell>
          <cell r="F37">
            <v>0</v>
          </cell>
          <cell r="G37">
            <v>0</v>
          </cell>
          <cell r="H37">
            <v>0</v>
          </cell>
          <cell r="I37">
            <v>0</v>
          </cell>
          <cell r="J37">
            <v>1065759.0576951939</v>
          </cell>
        </row>
        <row r="38">
          <cell r="A38">
            <v>21</v>
          </cell>
          <cell r="B38">
            <v>42156</v>
          </cell>
          <cell r="C38">
            <v>0</v>
          </cell>
          <cell r="D38">
            <v>272859.94110595033</v>
          </cell>
          <cell r="E38">
            <v>0</v>
          </cell>
          <cell r="F38">
            <v>0</v>
          </cell>
          <cell r="G38">
            <v>0</v>
          </cell>
          <cell r="H38">
            <v>0</v>
          </cell>
          <cell r="I38">
            <v>0</v>
          </cell>
          <cell r="J38">
            <v>1065759.0576951939</v>
          </cell>
        </row>
        <row r="39">
          <cell r="A39">
            <v>22</v>
          </cell>
          <cell r="B39">
            <v>42248</v>
          </cell>
          <cell r="C39">
            <v>0</v>
          </cell>
          <cell r="D39">
            <v>272859.94110595033</v>
          </cell>
          <cell r="E39">
            <v>0</v>
          </cell>
          <cell r="F39">
            <v>0</v>
          </cell>
          <cell r="G39">
            <v>0</v>
          </cell>
          <cell r="H39">
            <v>0</v>
          </cell>
          <cell r="I39">
            <v>0</v>
          </cell>
          <cell r="J39">
            <v>1065759.0576951939</v>
          </cell>
        </row>
        <row r="40">
          <cell r="A40">
            <v>23</v>
          </cell>
          <cell r="B40">
            <v>42339</v>
          </cell>
          <cell r="C40">
            <v>0</v>
          </cell>
          <cell r="D40">
            <v>272859.94110595033</v>
          </cell>
          <cell r="E40">
            <v>0</v>
          </cell>
          <cell r="F40">
            <v>0</v>
          </cell>
          <cell r="G40">
            <v>0</v>
          </cell>
          <cell r="H40">
            <v>0</v>
          </cell>
          <cell r="I40">
            <v>0</v>
          </cell>
          <cell r="J40">
            <v>1065759.0576951939</v>
          </cell>
        </row>
        <row r="41">
          <cell r="A41">
            <v>24</v>
          </cell>
          <cell r="B41">
            <v>42430</v>
          </cell>
          <cell r="C41">
            <v>0</v>
          </cell>
          <cell r="D41">
            <v>272859.94110595033</v>
          </cell>
          <cell r="E41">
            <v>0</v>
          </cell>
          <cell r="F41">
            <v>0</v>
          </cell>
          <cell r="G41">
            <v>0</v>
          </cell>
          <cell r="H41">
            <v>0</v>
          </cell>
          <cell r="I41">
            <v>0</v>
          </cell>
          <cell r="J41">
            <v>1065759.0576951939</v>
          </cell>
        </row>
        <row r="42">
          <cell r="A42">
            <v>25</v>
          </cell>
          <cell r="B42">
            <v>42522</v>
          </cell>
          <cell r="C42">
            <v>0</v>
          </cell>
          <cell r="D42">
            <v>272859.94110595033</v>
          </cell>
          <cell r="E42">
            <v>0</v>
          </cell>
          <cell r="F42">
            <v>0</v>
          </cell>
          <cell r="G42">
            <v>0</v>
          </cell>
          <cell r="H42">
            <v>0</v>
          </cell>
          <cell r="I42">
            <v>0</v>
          </cell>
          <cell r="J42">
            <v>1065759.0576951939</v>
          </cell>
        </row>
        <row r="43">
          <cell r="A43">
            <v>26</v>
          </cell>
          <cell r="B43">
            <v>42614</v>
          </cell>
          <cell r="C43">
            <v>0</v>
          </cell>
          <cell r="D43">
            <v>272859.94110595033</v>
          </cell>
          <cell r="E43">
            <v>0</v>
          </cell>
          <cell r="F43">
            <v>0</v>
          </cell>
          <cell r="G43">
            <v>0</v>
          </cell>
          <cell r="H43">
            <v>0</v>
          </cell>
          <cell r="I43">
            <v>0</v>
          </cell>
          <cell r="J43">
            <v>1065759.0576951939</v>
          </cell>
        </row>
        <row r="44">
          <cell r="A44">
            <v>27</v>
          </cell>
          <cell r="B44">
            <v>42705</v>
          </cell>
          <cell r="C44">
            <v>0</v>
          </cell>
          <cell r="D44">
            <v>272859.94110595033</v>
          </cell>
          <cell r="E44">
            <v>0</v>
          </cell>
          <cell r="F44">
            <v>0</v>
          </cell>
          <cell r="G44">
            <v>0</v>
          </cell>
          <cell r="H44">
            <v>0</v>
          </cell>
          <cell r="I44">
            <v>0</v>
          </cell>
          <cell r="J44">
            <v>1065759.0576951939</v>
          </cell>
        </row>
        <row r="45">
          <cell r="A45">
            <v>28</v>
          </cell>
          <cell r="B45">
            <v>42795</v>
          </cell>
          <cell r="C45">
            <v>0</v>
          </cell>
          <cell r="D45">
            <v>272859.94110595033</v>
          </cell>
          <cell r="E45">
            <v>0</v>
          </cell>
          <cell r="F45">
            <v>0</v>
          </cell>
          <cell r="G45">
            <v>0</v>
          </cell>
          <cell r="H45">
            <v>0</v>
          </cell>
          <cell r="I45">
            <v>0</v>
          </cell>
          <cell r="J45">
            <v>1065759.0576951939</v>
          </cell>
        </row>
        <row r="46">
          <cell r="A46">
            <v>29</v>
          </cell>
          <cell r="B46">
            <v>42887</v>
          </cell>
          <cell r="C46">
            <v>0</v>
          </cell>
          <cell r="D46">
            <v>272859.94110595033</v>
          </cell>
          <cell r="E46">
            <v>0</v>
          </cell>
          <cell r="F46">
            <v>0</v>
          </cell>
          <cell r="G46">
            <v>0</v>
          </cell>
          <cell r="H46">
            <v>0</v>
          </cell>
          <cell r="I46">
            <v>0</v>
          </cell>
          <cell r="J46">
            <v>1065759.0576951939</v>
          </cell>
        </row>
        <row r="47">
          <cell r="A47">
            <v>30</v>
          </cell>
          <cell r="B47">
            <v>42979</v>
          </cell>
          <cell r="C47">
            <v>0</v>
          </cell>
          <cell r="D47">
            <v>272859.94110595033</v>
          </cell>
          <cell r="E47">
            <v>0</v>
          </cell>
          <cell r="F47">
            <v>0</v>
          </cell>
          <cell r="G47">
            <v>0</v>
          </cell>
          <cell r="H47">
            <v>0</v>
          </cell>
          <cell r="I47">
            <v>0</v>
          </cell>
          <cell r="J47">
            <v>1065759.0576951939</v>
          </cell>
        </row>
        <row r="48">
          <cell r="A48">
            <v>31</v>
          </cell>
          <cell r="B48">
            <v>43070</v>
          </cell>
          <cell r="C48">
            <v>0</v>
          </cell>
          <cell r="D48">
            <v>272859.94110595033</v>
          </cell>
          <cell r="E48">
            <v>0</v>
          </cell>
          <cell r="F48">
            <v>0</v>
          </cell>
          <cell r="G48">
            <v>0</v>
          </cell>
          <cell r="H48">
            <v>0</v>
          </cell>
          <cell r="I48">
            <v>0</v>
          </cell>
          <cell r="J48">
            <v>1065759.0576951939</v>
          </cell>
        </row>
        <row r="49">
          <cell r="A49">
            <v>32</v>
          </cell>
          <cell r="B49">
            <v>43160</v>
          </cell>
          <cell r="C49">
            <v>0</v>
          </cell>
          <cell r="D49">
            <v>272859.94110595033</v>
          </cell>
          <cell r="E49">
            <v>0</v>
          </cell>
          <cell r="F49">
            <v>0</v>
          </cell>
          <cell r="G49">
            <v>0</v>
          </cell>
          <cell r="H49">
            <v>0</v>
          </cell>
          <cell r="I49">
            <v>0</v>
          </cell>
          <cell r="J49">
            <v>1065759.0576951939</v>
          </cell>
        </row>
        <row r="50">
          <cell r="A50">
            <v>33</v>
          </cell>
          <cell r="B50">
            <v>43252</v>
          </cell>
          <cell r="C50">
            <v>0</v>
          </cell>
          <cell r="D50">
            <v>272859.94110595033</v>
          </cell>
          <cell r="E50">
            <v>0</v>
          </cell>
          <cell r="F50">
            <v>0</v>
          </cell>
          <cell r="G50">
            <v>0</v>
          </cell>
          <cell r="H50">
            <v>0</v>
          </cell>
          <cell r="I50">
            <v>0</v>
          </cell>
          <cell r="J50">
            <v>1065759.0576951939</v>
          </cell>
        </row>
        <row r="51">
          <cell r="A51">
            <v>34</v>
          </cell>
          <cell r="B51">
            <v>43344</v>
          </cell>
          <cell r="C51">
            <v>0</v>
          </cell>
          <cell r="D51">
            <v>272859.94110595033</v>
          </cell>
          <cell r="E51">
            <v>0</v>
          </cell>
          <cell r="F51">
            <v>0</v>
          </cell>
          <cell r="G51">
            <v>0</v>
          </cell>
          <cell r="H51">
            <v>0</v>
          </cell>
          <cell r="I51">
            <v>0</v>
          </cell>
          <cell r="J51">
            <v>1065759.0576951939</v>
          </cell>
        </row>
        <row r="52">
          <cell r="A52">
            <v>35</v>
          </cell>
          <cell r="B52">
            <v>43435</v>
          </cell>
          <cell r="C52">
            <v>0</v>
          </cell>
          <cell r="D52">
            <v>272859.94110595033</v>
          </cell>
          <cell r="E52">
            <v>0</v>
          </cell>
          <cell r="F52">
            <v>0</v>
          </cell>
          <cell r="G52">
            <v>0</v>
          </cell>
          <cell r="H52">
            <v>0</v>
          </cell>
          <cell r="I52">
            <v>0</v>
          </cell>
          <cell r="J52">
            <v>1065759.0576951939</v>
          </cell>
        </row>
        <row r="53">
          <cell r="A53">
            <v>36</v>
          </cell>
          <cell r="B53">
            <v>43525</v>
          </cell>
          <cell r="C53">
            <v>0</v>
          </cell>
          <cell r="D53">
            <v>272859.94110595033</v>
          </cell>
          <cell r="E53">
            <v>0</v>
          </cell>
          <cell r="F53">
            <v>0</v>
          </cell>
          <cell r="G53">
            <v>0</v>
          </cell>
          <cell r="H53">
            <v>0</v>
          </cell>
          <cell r="I53">
            <v>0</v>
          </cell>
          <cell r="J53">
            <v>1065759.0576951939</v>
          </cell>
        </row>
        <row r="54">
          <cell r="A54">
            <v>37</v>
          </cell>
          <cell r="B54">
            <v>43617</v>
          </cell>
          <cell r="C54">
            <v>0</v>
          </cell>
          <cell r="D54">
            <v>272859.94110595033</v>
          </cell>
          <cell r="E54">
            <v>0</v>
          </cell>
          <cell r="F54">
            <v>0</v>
          </cell>
          <cell r="G54">
            <v>0</v>
          </cell>
          <cell r="H54">
            <v>0</v>
          </cell>
          <cell r="I54">
            <v>0</v>
          </cell>
          <cell r="J54">
            <v>1065759.0576951939</v>
          </cell>
        </row>
        <row r="55">
          <cell r="A55">
            <v>38</v>
          </cell>
          <cell r="B55">
            <v>43709</v>
          </cell>
          <cell r="C55">
            <v>0</v>
          </cell>
          <cell r="D55">
            <v>272859.94110595033</v>
          </cell>
          <cell r="E55">
            <v>0</v>
          </cell>
          <cell r="F55">
            <v>0</v>
          </cell>
          <cell r="G55">
            <v>0</v>
          </cell>
          <cell r="H55">
            <v>0</v>
          </cell>
          <cell r="I55">
            <v>0</v>
          </cell>
          <cell r="J55">
            <v>1065759.0576951939</v>
          </cell>
        </row>
        <row r="56">
          <cell r="A56">
            <v>39</v>
          </cell>
          <cell r="B56">
            <v>43800</v>
          </cell>
          <cell r="C56">
            <v>0</v>
          </cell>
          <cell r="D56">
            <v>272859.94110595033</v>
          </cell>
          <cell r="E56">
            <v>0</v>
          </cell>
          <cell r="F56">
            <v>0</v>
          </cell>
          <cell r="G56">
            <v>0</v>
          </cell>
          <cell r="H56">
            <v>0</v>
          </cell>
          <cell r="I56">
            <v>0</v>
          </cell>
          <cell r="J56">
            <v>1065759.0576951939</v>
          </cell>
        </row>
        <row r="57">
          <cell r="A57">
            <v>40</v>
          </cell>
          <cell r="B57">
            <v>43891</v>
          </cell>
          <cell r="C57">
            <v>0</v>
          </cell>
          <cell r="D57">
            <v>272859.94110595033</v>
          </cell>
          <cell r="E57">
            <v>0</v>
          </cell>
          <cell r="F57">
            <v>0</v>
          </cell>
          <cell r="G57">
            <v>0</v>
          </cell>
          <cell r="H57">
            <v>0</v>
          </cell>
          <cell r="I57">
            <v>0</v>
          </cell>
          <cell r="J57">
            <v>1065759.0576951939</v>
          </cell>
        </row>
        <row r="58">
          <cell r="A58">
            <v>41</v>
          </cell>
          <cell r="B58">
            <v>43983</v>
          </cell>
          <cell r="C58">
            <v>0</v>
          </cell>
          <cell r="D58">
            <v>272859.94110595033</v>
          </cell>
          <cell r="E58">
            <v>0</v>
          </cell>
          <cell r="F58">
            <v>0</v>
          </cell>
          <cell r="G58">
            <v>0</v>
          </cell>
          <cell r="H58">
            <v>0</v>
          </cell>
          <cell r="I58">
            <v>0</v>
          </cell>
          <cell r="J58">
            <v>1065759.0576951939</v>
          </cell>
        </row>
        <row r="59">
          <cell r="A59">
            <v>42</v>
          </cell>
          <cell r="B59">
            <v>44075</v>
          </cell>
          <cell r="C59">
            <v>0</v>
          </cell>
          <cell r="D59">
            <v>272859.94110595033</v>
          </cell>
          <cell r="E59">
            <v>0</v>
          </cell>
          <cell r="F59">
            <v>0</v>
          </cell>
          <cell r="G59">
            <v>0</v>
          </cell>
          <cell r="H59">
            <v>0</v>
          </cell>
          <cell r="I59">
            <v>0</v>
          </cell>
          <cell r="J59">
            <v>1065759.0576951939</v>
          </cell>
        </row>
        <row r="60">
          <cell r="A60">
            <v>43</v>
          </cell>
          <cell r="B60">
            <v>44166</v>
          </cell>
          <cell r="C60">
            <v>0</v>
          </cell>
          <cell r="D60">
            <v>272859.94110595033</v>
          </cell>
          <cell r="E60">
            <v>0</v>
          </cell>
          <cell r="F60">
            <v>0</v>
          </cell>
          <cell r="G60">
            <v>0</v>
          </cell>
          <cell r="H60">
            <v>0</v>
          </cell>
          <cell r="I60">
            <v>0</v>
          </cell>
          <cell r="J60">
            <v>1065759.0576951939</v>
          </cell>
        </row>
        <row r="61">
          <cell r="A61">
            <v>44</v>
          </cell>
          <cell r="B61">
            <v>44256</v>
          </cell>
          <cell r="C61">
            <v>0</v>
          </cell>
          <cell r="D61">
            <v>272859.94110595033</v>
          </cell>
          <cell r="E61">
            <v>0</v>
          </cell>
          <cell r="F61">
            <v>0</v>
          </cell>
          <cell r="G61">
            <v>0</v>
          </cell>
          <cell r="H61">
            <v>0</v>
          </cell>
          <cell r="I61">
            <v>0</v>
          </cell>
          <cell r="J61">
            <v>1065759.0576951939</v>
          </cell>
        </row>
        <row r="62">
          <cell r="A62">
            <v>45</v>
          </cell>
          <cell r="B62">
            <v>44348</v>
          </cell>
          <cell r="C62">
            <v>0</v>
          </cell>
          <cell r="D62">
            <v>272859.94110595033</v>
          </cell>
          <cell r="E62">
            <v>0</v>
          </cell>
          <cell r="F62">
            <v>0</v>
          </cell>
          <cell r="G62">
            <v>0</v>
          </cell>
          <cell r="H62">
            <v>0</v>
          </cell>
          <cell r="I62">
            <v>0</v>
          </cell>
          <cell r="J62">
            <v>1065759.0576951939</v>
          </cell>
        </row>
        <row r="63">
          <cell r="A63">
            <v>46</v>
          </cell>
          <cell r="B63">
            <v>44440</v>
          </cell>
          <cell r="C63">
            <v>0</v>
          </cell>
          <cell r="D63">
            <v>272859.94110595033</v>
          </cell>
          <cell r="E63">
            <v>0</v>
          </cell>
          <cell r="F63">
            <v>0</v>
          </cell>
          <cell r="G63">
            <v>0</v>
          </cell>
          <cell r="H63">
            <v>0</v>
          </cell>
          <cell r="I63">
            <v>0</v>
          </cell>
          <cell r="J63">
            <v>1065759.0576951939</v>
          </cell>
        </row>
        <row r="64">
          <cell r="A64">
            <v>47</v>
          </cell>
          <cell r="B64">
            <v>44531</v>
          </cell>
          <cell r="C64">
            <v>0</v>
          </cell>
          <cell r="D64">
            <v>272859.94110595033</v>
          </cell>
          <cell r="E64">
            <v>0</v>
          </cell>
          <cell r="F64">
            <v>0</v>
          </cell>
          <cell r="G64">
            <v>0</v>
          </cell>
          <cell r="H64">
            <v>0</v>
          </cell>
          <cell r="I64">
            <v>0</v>
          </cell>
          <cell r="J64">
            <v>1065759.0576951939</v>
          </cell>
        </row>
        <row r="65">
          <cell r="A65">
            <v>48</v>
          </cell>
          <cell r="B65">
            <v>44621</v>
          </cell>
          <cell r="C65">
            <v>0</v>
          </cell>
          <cell r="D65">
            <v>272859.94110595033</v>
          </cell>
          <cell r="E65">
            <v>0</v>
          </cell>
          <cell r="F65">
            <v>0</v>
          </cell>
          <cell r="G65">
            <v>0</v>
          </cell>
          <cell r="H65">
            <v>0</v>
          </cell>
          <cell r="I65">
            <v>0</v>
          </cell>
          <cell r="J65">
            <v>1065759.0576951939</v>
          </cell>
        </row>
        <row r="66">
          <cell r="A66">
            <v>49</v>
          </cell>
          <cell r="B66">
            <v>44713</v>
          </cell>
          <cell r="C66">
            <v>0</v>
          </cell>
          <cell r="D66">
            <v>272859.94110595033</v>
          </cell>
          <cell r="E66">
            <v>0</v>
          </cell>
          <cell r="F66">
            <v>0</v>
          </cell>
          <cell r="G66">
            <v>0</v>
          </cell>
          <cell r="H66">
            <v>0</v>
          </cell>
          <cell r="I66">
            <v>0</v>
          </cell>
          <cell r="J66">
            <v>1065759.0576951939</v>
          </cell>
        </row>
        <row r="67">
          <cell r="A67">
            <v>50</v>
          </cell>
          <cell r="B67">
            <v>44805</v>
          </cell>
          <cell r="C67">
            <v>0</v>
          </cell>
          <cell r="D67">
            <v>272859.94110595033</v>
          </cell>
          <cell r="E67">
            <v>0</v>
          </cell>
          <cell r="F67">
            <v>0</v>
          </cell>
          <cell r="G67">
            <v>0</v>
          </cell>
          <cell r="H67">
            <v>0</v>
          </cell>
          <cell r="I67">
            <v>0</v>
          </cell>
          <cell r="J67">
            <v>1065759.0576951939</v>
          </cell>
        </row>
        <row r="68">
          <cell r="A68">
            <v>51</v>
          </cell>
          <cell r="B68">
            <v>44896</v>
          </cell>
          <cell r="C68">
            <v>0</v>
          </cell>
          <cell r="D68">
            <v>272859.94110595033</v>
          </cell>
          <cell r="E68">
            <v>0</v>
          </cell>
          <cell r="F68">
            <v>0</v>
          </cell>
          <cell r="G68">
            <v>0</v>
          </cell>
          <cell r="H68">
            <v>0</v>
          </cell>
          <cell r="I68">
            <v>0</v>
          </cell>
          <cell r="J68">
            <v>1065759.0576951939</v>
          </cell>
        </row>
        <row r="69">
          <cell r="A69">
            <v>52</v>
          </cell>
          <cell r="B69">
            <v>44986</v>
          </cell>
          <cell r="C69">
            <v>0</v>
          </cell>
          <cell r="D69">
            <v>272859.94110595033</v>
          </cell>
          <cell r="E69">
            <v>0</v>
          </cell>
          <cell r="F69">
            <v>0</v>
          </cell>
          <cell r="G69">
            <v>0</v>
          </cell>
          <cell r="H69">
            <v>0</v>
          </cell>
          <cell r="I69">
            <v>0</v>
          </cell>
          <cell r="J69">
            <v>1065759.0576951939</v>
          </cell>
        </row>
        <row r="70">
          <cell r="A70">
            <v>53</v>
          </cell>
          <cell r="B70">
            <v>45078</v>
          </cell>
          <cell r="C70">
            <v>0</v>
          </cell>
          <cell r="D70">
            <v>272859.94110595033</v>
          </cell>
          <cell r="E70">
            <v>0</v>
          </cell>
          <cell r="F70">
            <v>0</v>
          </cell>
          <cell r="G70">
            <v>0</v>
          </cell>
          <cell r="H70">
            <v>0</v>
          </cell>
          <cell r="I70">
            <v>0</v>
          </cell>
          <cell r="J70">
            <v>1065759.0576951939</v>
          </cell>
        </row>
        <row r="71">
          <cell r="A71">
            <v>54</v>
          </cell>
          <cell r="B71">
            <v>45170</v>
          </cell>
          <cell r="C71">
            <v>0</v>
          </cell>
          <cell r="D71">
            <v>272859.94110595033</v>
          </cell>
          <cell r="E71">
            <v>0</v>
          </cell>
          <cell r="F71">
            <v>0</v>
          </cell>
          <cell r="G71">
            <v>0</v>
          </cell>
          <cell r="H71">
            <v>0</v>
          </cell>
          <cell r="I71">
            <v>0</v>
          </cell>
          <cell r="J71">
            <v>1065759.0576951939</v>
          </cell>
        </row>
        <row r="72">
          <cell r="A72">
            <v>55</v>
          </cell>
          <cell r="B72">
            <v>45261</v>
          </cell>
          <cell r="C72">
            <v>0</v>
          </cell>
          <cell r="D72">
            <v>272859.94110595033</v>
          </cell>
          <cell r="E72">
            <v>0</v>
          </cell>
          <cell r="F72">
            <v>0</v>
          </cell>
          <cell r="G72">
            <v>0</v>
          </cell>
          <cell r="H72">
            <v>0</v>
          </cell>
          <cell r="I72">
            <v>0</v>
          </cell>
          <cell r="J72">
            <v>1065759.0576951939</v>
          </cell>
        </row>
        <row r="73">
          <cell r="A73">
            <v>56</v>
          </cell>
          <cell r="B73">
            <v>45352</v>
          </cell>
          <cell r="C73">
            <v>0</v>
          </cell>
          <cell r="D73">
            <v>272859.94110595033</v>
          </cell>
          <cell r="E73">
            <v>0</v>
          </cell>
          <cell r="F73">
            <v>0</v>
          </cell>
          <cell r="G73">
            <v>0</v>
          </cell>
          <cell r="H73">
            <v>0</v>
          </cell>
          <cell r="I73">
            <v>0</v>
          </cell>
          <cell r="J73">
            <v>1065759.0576951939</v>
          </cell>
        </row>
        <row r="74">
          <cell r="A74">
            <v>57</v>
          </cell>
          <cell r="B74">
            <v>45444</v>
          </cell>
          <cell r="C74">
            <v>0</v>
          </cell>
          <cell r="D74">
            <v>272859.94110595033</v>
          </cell>
          <cell r="E74">
            <v>0</v>
          </cell>
          <cell r="F74">
            <v>0</v>
          </cell>
          <cell r="G74">
            <v>0</v>
          </cell>
          <cell r="H74">
            <v>0</v>
          </cell>
          <cell r="I74">
            <v>0</v>
          </cell>
          <cell r="J74">
            <v>1065759.0576951939</v>
          </cell>
        </row>
        <row r="75">
          <cell r="A75">
            <v>58</v>
          </cell>
          <cell r="B75">
            <v>45536</v>
          </cell>
          <cell r="C75">
            <v>0</v>
          </cell>
          <cell r="D75">
            <v>272859.94110595033</v>
          </cell>
          <cell r="E75">
            <v>0</v>
          </cell>
          <cell r="F75">
            <v>0</v>
          </cell>
          <cell r="G75">
            <v>0</v>
          </cell>
          <cell r="H75">
            <v>0</v>
          </cell>
          <cell r="I75">
            <v>0</v>
          </cell>
          <cell r="J75">
            <v>1065759.0576951939</v>
          </cell>
        </row>
        <row r="76">
          <cell r="A76">
            <v>59</v>
          </cell>
          <cell r="B76">
            <v>45627</v>
          </cell>
          <cell r="C76">
            <v>0</v>
          </cell>
          <cell r="D76">
            <v>272859.94110595033</v>
          </cell>
          <cell r="E76">
            <v>0</v>
          </cell>
          <cell r="F76">
            <v>0</v>
          </cell>
          <cell r="G76">
            <v>0</v>
          </cell>
          <cell r="H76">
            <v>0</v>
          </cell>
          <cell r="I76">
            <v>0</v>
          </cell>
          <cell r="J76">
            <v>1065759.0576951939</v>
          </cell>
        </row>
        <row r="77">
          <cell r="A77">
            <v>60</v>
          </cell>
          <cell r="B77">
            <v>45717</v>
          </cell>
          <cell r="C77">
            <v>0</v>
          </cell>
          <cell r="D77">
            <v>272859.94110595033</v>
          </cell>
          <cell r="E77">
            <v>0</v>
          </cell>
          <cell r="F77">
            <v>0</v>
          </cell>
          <cell r="G77">
            <v>0</v>
          </cell>
          <cell r="H77">
            <v>0</v>
          </cell>
          <cell r="I77">
            <v>0</v>
          </cell>
          <cell r="J77">
            <v>1065759.0576951939</v>
          </cell>
        </row>
        <row r="78">
          <cell r="A78">
            <v>61</v>
          </cell>
          <cell r="B78">
            <v>45809</v>
          </cell>
          <cell r="C78">
            <v>0</v>
          </cell>
          <cell r="D78">
            <v>272859.94110595033</v>
          </cell>
          <cell r="E78">
            <v>0</v>
          </cell>
          <cell r="F78">
            <v>0</v>
          </cell>
          <cell r="G78">
            <v>0</v>
          </cell>
          <cell r="H78">
            <v>0</v>
          </cell>
          <cell r="I78">
            <v>0</v>
          </cell>
          <cell r="J78">
            <v>1065759.0576951939</v>
          </cell>
        </row>
        <row r="79">
          <cell r="A79">
            <v>62</v>
          </cell>
          <cell r="B79">
            <v>45901</v>
          </cell>
          <cell r="C79">
            <v>0</v>
          </cell>
          <cell r="D79">
            <v>272859.94110595033</v>
          </cell>
          <cell r="E79">
            <v>0</v>
          </cell>
          <cell r="F79">
            <v>0</v>
          </cell>
          <cell r="G79">
            <v>0</v>
          </cell>
          <cell r="H79">
            <v>0</v>
          </cell>
          <cell r="I79">
            <v>0</v>
          </cell>
          <cell r="J79">
            <v>1065759.0576951939</v>
          </cell>
        </row>
        <row r="80">
          <cell r="A80">
            <v>63</v>
          </cell>
          <cell r="B80">
            <v>45992</v>
          </cell>
          <cell r="C80">
            <v>0</v>
          </cell>
          <cell r="D80">
            <v>272859.94110595033</v>
          </cell>
          <cell r="E80">
            <v>0</v>
          </cell>
          <cell r="F80">
            <v>0</v>
          </cell>
          <cell r="G80">
            <v>0</v>
          </cell>
          <cell r="H80">
            <v>0</v>
          </cell>
          <cell r="I80">
            <v>0</v>
          </cell>
          <cell r="J80">
            <v>1065759.0576951939</v>
          </cell>
        </row>
        <row r="81">
          <cell r="A81">
            <v>64</v>
          </cell>
          <cell r="B81">
            <v>46082</v>
          </cell>
          <cell r="C81">
            <v>0</v>
          </cell>
          <cell r="D81">
            <v>272859.94110595033</v>
          </cell>
          <cell r="E81">
            <v>0</v>
          </cell>
          <cell r="F81">
            <v>0</v>
          </cell>
          <cell r="G81">
            <v>0</v>
          </cell>
          <cell r="H81">
            <v>0</v>
          </cell>
          <cell r="I81">
            <v>0</v>
          </cell>
          <cell r="J81">
            <v>1065759.0576951939</v>
          </cell>
        </row>
        <row r="82">
          <cell r="A82">
            <v>65</v>
          </cell>
          <cell r="B82">
            <v>46174</v>
          </cell>
          <cell r="C82">
            <v>0</v>
          </cell>
          <cell r="D82">
            <v>272859.94110595033</v>
          </cell>
          <cell r="E82">
            <v>0</v>
          </cell>
          <cell r="F82">
            <v>0</v>
          </cell>
          <cell r="G82">
            <v>0</v>
          </cell>
          <cell r="H82">
            <v>0</v>
          </cell>
          <cell r="I82">
            <v>0</v>
          </cell>
          <cell r="J82">
            <v>1065759.0576951939</v>
          </cell>
        </row>
        <row r="83">
          <cell r="A83">
            <v>66</v>
          </cell>
          <cell r="B83">
            <v>46266</v>
          </cell>
          <cell r="C83">
            <v>0</v>
          </cell>
          <cell r="D83">
            <v>272859.94110595033</v>
          </cell>
          <cell r="E83">
            <v>0</v>
          </cell>
          <cell r="F83">
            <v>0</v>
          </cell>
          <cell r="G83">
            <v>0</v>
          </cell>
          <cell r="H83">
            <v>0</v>
          </cell>
          <cell r="I83">
            <v>0</v>
          </cell>
          <cell r="J83">
            <v>1065759.0576951939</v>
          </cell>
        </row>
        <row r="84">
          <cell r="A84">
            <v>67</v>
          </cell>
          <cell r="B84">
            <v>46357</v>
          </cell>
          <cell r="C84">
            <v>0</v>
          </cell>
          <cell r="D84">
            <v>272859.94110595033</v>
          </cell>
          <cell r="E84">
            <v>0</v>
          </cell>
          <cell r="F84">
            <v>0</v>
          </cell>
          <cell r="G84">
            <v>0</v>
          </cell>
          <cell r="H84">
            <v>0</v>
          </cell>
          <cell r="I84">
            <v>0</v>
          </cell>
          <cell r="J84">
            <v>1065759.0576951939</v>
          </cell>
        </row>
        <row r="85">
          <cell r="A85">
            <v>68</v>
          </cell>
          <cell r="B85">
            <v>46447</v>
          </cell>
          <cell r="C85">
            <v>0</v>
          </cell>
          <cell r="D85">
            <v>272859.94110595033</v>
          </cell>
          <cell r="E85">
            <v>0</v>
          </cell>
          <cell r="F85">
            <v>0</v>
          </cell>
          <cell r="G85">
            <v>0</v>
          </cell>
          <cell r="H85">
            <v>0</v>
          </cell>
          <cell r="I85">
            <v>0</v>
          </cell>
          <cell r="J85">
            <v>1065759.0576951939</v>
          </cell>
        </row>
        <row r="86">
          <cell r="A86">
            <v>69</v>
          </cell>
          <cell r="B86">
            <v>46539</v>
          </cell>
          <cell r="C86">
            <v>0</v>
          </cell>
          <cell r="D86">
            <v>272859.94110595033</v>
          </cell>
          <cell r="E86">
            <v>0</v>
          </cell>
          <cell r="F86">
            <v>0</v>
          </cell>
          <cell r="G86">
            <v>0</v>
          </cell>
          <cell r="H86">
            <v>0</v>
          </cell>
          <cell r="I86">
            <v>0</v>
          </cell>
          <cell r="J86">
            <v>1065759.0576951939</v>
          </cell>
        </row>
        <row r="87">
          <cell r="A87">
            <v>70</v>
          </cell>
          <cell r="B87">
            <v>46631</v>
          </cell>
          <cell r="C87">
            <v>0</v>
          </cell>
          <cell r="D87">
            <v>272859.94110595033</v>
          </cell>
          <cell r="E87">
            <v>0</v>
          </cell>
          <cell r="F87">
            <v>0</v>
          </cell>
          <cell r="G87">
            <v>0</v>
          </cell>
          <cell r="H87">
            <v>0</v>
          </cell>
          <cell r="I87">
            <v>0</v>
          </cell>
          <cell r="J87">
            <v>1065759.0576951939</v>
          </cell>
        </row>
        <row r="88">
          <cell r="A88">
            <v>71</v>
          </cell>
          <cell r="B88">
            <v>46722</v>
          </cell>
          <cell r="C88">
            <v>0</v>
          </cell>
          <cell r="D88">
            <v>272859.94110595033</v>
          </cell>
          <cell r="E88">
            <v>0</v>
          </cell>
          <cell r="F88">
            <v>0</v>
          </cell>
          <cell r="G88">
            <v>0</v>
          </cell>
          <cell r="H88">
            <v>0</v>
          </cell>
          <cell r="I88">
            <v>0</v>
          </cell>
          <cell r="J88">
            <v>1065759.0576951939</v>
          </cell>
        </row>
        <row r="89">
          <cell r="A89">
            <v>72</v>
          </cell>
          <cell r="B89">
            <v>46813</v>
          </cell>
          <cell r="C89">
            <v>0</v>
          </cell>
          <cell r="D89">
            <v>272859.94110595033</v>
          </cell>
          <cell r="E89">
            <v>0</v>
          </cell>
          <cell r="F89">
            <v>0</v>
          </cell>
          <cell r="G89">
            <v>0</v>
          </cell>
          <cell r="H89">
            <v>0</v>
          </cell>
          <cell r="I89">
            <v>0</v>
          </cell>
          <cell r="J89">
            <v>1065759.0576951939</v>
          </cell>
        </row>
        <row r="90">
          <cell r="A90">
            <v>73</v>
          </cell>
          <cell r="B90">
            <v>46905</v>
          </cell>
          <cell r="C90">
            <v>0</v>
          </cell>
          <cell r="D90">
            <v>272859.94110595033</v>
          </cell>
          <cell r="E90">
            <v>0</v>
          </cell>
          <cell r="F90">
            <v>0</v>
          </cell>
          <cell r="G90">
            <v>0</v>
          </cell>
          <cell r="H90">
            <v>0</v>
          </cell>
          <cell r="I90">
            <v>0</v>
          </cell>
          <cell r="J90">
            <v>1065759.0576951939</v>
          </cell>
        </row>
        <row r="91">
          <cell r="A91">
            <v>74</v>
          </cell>
          <cell r="B91">
            <v>46997</v>
          </cell>
          <cell r="C91">
            <v>0</v>
          </cell>
          <cell r="D91">
            <v>272859.94110595033</v>
          </cell>
          <cell r="E91">
            <v>0</v>
          </cell>
          <cell r="F91">
            <v>0</v>
          </cell>
          <cell r="G91">
            <v>0</v>
          </cell>
          <cell r="H91">
            <v>0</v>
          </cell>
          <cell r="I91">
            <v>0</v>
          </cell>
          <cell r="J91">
            <v>1065759.0576951939</v>
          </cell>
        </row>
        <row r="92">
          <cell r="A92">
            <v>75</v>
          </cell>
          <cell r="B92">
            <v>47088</v>
          </cell>
          <cell r="C92">
            <v>0</v>
          </cell>
          <cell r="D92">
            <v>272859.94110595033</v>
          </cell>
          <cell r="E92">
            <v>0</v>
          </cell>
          <cell r="F92">
            <v>0</v>
          </cell>
          <cell r="G92">
            <v>0</v>
          </cell>
          <cell r="H92">
            <v>0</v>
          </cell>
          <cell r="I92">
            <v>0</v>
          </cell>
          <cell r="J92">
            <v>1065759.0576951939</v>
          </cell>
        </row>
        <row r="93">
          <cell r="A93">
            <v>76</v>
          </cell>
          <cell r="B93">
            <v>47178</v>
          </cell>
          <cell r="C93">
            <v>0</v>
          </cell>
          <cell r="D93">
            <v>272859.94110595033</v>
          </cell>
          <cell r="E93">
            <v>0</v>
          </cell>
          <cell r="F93">
            <v>0</v>
          </cell>
          <cell r="G93">
            <v>0</v>
          </cell>
          <cell r="H93">
            <v>0</v>
          </cell>
          <cell r="I93">
            <v>0</v>
          </cell>
          <cell r="J93">
            <v>1065759.0576951939</v>
          </cell>
        </row>
        <row r="94">
          <cell r="A94">
            <v>77</v>
          </cell>
          <cell r="B94">
            <v>47270</v>
          </cell>
          <cell r="C94">
            <v>0</v>
          </cell>
          <cell r="D94">
            <v>272859.94110595033</v>
          </cell>
          <cell r="E94">
            <v>0</v>
          </cell>
          <cell r="F94">
            <v>0</v>
          </cell>
          <cell r="G94">
            <v>0</v>
          </cell>
          <cell r="H94">
            <v>0</v>
          </cell>
          <cell r="I94">
            <v>0</v>
          </cell>
          <cell r="J94">
            <v>1065759.0576951939</v>
          </cell>
        </row>
        <row r="95">
          <cell r="A95">
            <v>78</v>
          </cell>
          <cell r="B95">
            <v>47362</v>
          </cell>
          <cell r="C95">
            <v>0</v>
          </cell>
          <cell r="D95">
            <v>272859.94110595033</v>
          </cell>
          <cell r="E95">
            <v>0</v>
          </cell>
          <cell r="F95">
            <v>0</v>
          </cell>
          <cell r="G95">
            <v>0</v>
          </cell>
          <cell r="H95">
            <v>0</v>
          </cell>
          <cell r="I95">
            <v>0</v>
          </cell>
          <cell r="J95">
            <v>1065759.0576951939</v>
          </cell>
        </row>
        <row r="96">
          <cell r="A96">
            <v>79</v>
          </cell>
          <cell r="B96">
            <v>47453</v>
          </cell>
          <cell r="C96">
            <v>0</v>
          </cell>
          <cell r="D96">
            <v>272859.94110595033</v>
          </cell>
          <cell r="E96">
            <v>0</v>
          </cell>
          <cell r="F96">
            <v>0</v>
          </cell>
          <cell r="G96">
            <v>0</v>
          </cell>
          <cell r="H96">
            <v>0</v>
          </cell>
          <cell r="I96">
            <v>0</v>
          </cell>
          <cell r="J96">
            <v>1065759.0576951939</v>
          </cell>
        </row>
        <row r="97">
          <cell r="A97">
            <v>80</v>
          </cell>
          <cell r="B97">
            <v>47543</v>
          </cell>
          <cell r="C97">
            <v>0</v>
          </cell>
          <cell r="D97">
            <v>272859.94110595033</v>
          </cell>
          <cell r="E97">
            <v>0</v>
          </cell>
          <cell r="F97">
            <v>0</v>
          </cell>
          <cell r="G97">
            <v>0</v>
          </cell>
          <cell r="H97">
            <v>0</v>
          </cell>
          <cell r="I97">
            <v>0</v>
          </cell>
          <cell r="J97">
            <v>1065759.0576951939</v>
          </cell>
        </row>
        <row r="98">
          <cell r="A98">
            <v>81</v>
          </cell>
          <cell r="B98">
            <v>47635</v>
          </cell>
          <cell r="C98">
            <v>0</v>
          </cell>
          <cell r="D98">
            <v>272859.94110595033</v>
          </cell>
          <cell r="E98">
            <v>0</v>
          </cell>
          <cell r="F98">
            <v>0</v>
          </cell>
          <cell r="G98">
            <v>0</v>
          </cell>
          <cell r="H98">
            <v>0</v>
          </cell>
          <cell r="I98">
            <v>0</v>
          </cell>
          <cell r="J98">
            <v>1065759.0576951939</v>
          </cell>
        </row>
        <row r="99">
          <cell r="A99">
            <v>82</v>
          </cell>
          <cell r="B99">
            <v>47727</v>
          </cell>
          <cell r="C99">
            <v>0</v>
          </cell>
          <cell r="D99">
            <v>272859.94110595033</v>
          </cell>
          <cell r="E99">
            <v>0</v>
          </cell>
          <cell r="F99">
            <v>0</v>
          </cell>
          <cell r="G99">
            <v>0</v>
          </cell>
          <cell r="H99">
            <v>0</v>
          </cell>
          <cell r="I99">
            <v>0</v>
          </cell>
          <cell r="J99">
            <v>1065759.0576951939</v>
          </cell>
        </row>
        <row r="100">
          <cell r="A100">
            <v>83</v>
          </cell>
          <cell r="B100">
            <v>47818</v>
          </cell>
          <cell r="C100">
            <v>0</v>
          </cell>
          <cell r="D100">
            <v>272859.94110595033</v>
          </cell>
          <cell r="E100">
            <v>0</v>
          </cell>
          <cell r="F100">
            <v>0</v>
          </cell>
          <cell r="G100">
            <v>0</v>
          </cell>
          <cell r="H100">
            <v>0</v>
          </cell>
          <cell r="I100">
            <v>0</v>
          </cell>
          <cell r="J100">
            <v>1065759.0576951939</v>
          </cell>
        </row>
        <row r="101">
          <cell r="A101">
            <v>84</v>
          </cell>
          <cell r="B101">
            <v>47908</v>
          </cell>
          <cell r="C101">
            <v>0</v>
          </cell>
          <cell r="D101">
            <v>272859.94110595033</v>
          </cell>
          <cell r="E101">
            <v>0</v>
          </cell>
          <cell r="F101">
            <v>0</v>
          </cell>
          <cell r="G101">
            <v>0</v>
          </cell>
          <cell r="H101">
            <v>0</v>
          </cell>
          <cell r="I101">
            <v>0</v>
          </cell>
          <cell r="J101">
            <v>1065759.0576951939</v>
          </cell>
        </row>
        <row r="102">
          <cell r="A102">
            <v>85</v>
          </cell>
          <cell r="B102">
            <v>48000</v>
          </cell>
          <cell r="C102">
            <v>0</v>
          </cell>
          <cell r="D102">
            <v>272859.94110595033</v>
          </cell>
          <cell r="E102">
            <v>0</v>
          </cell>
          <cell r="F102">
            <v>0</v>
          </cell>
          <cell r="G102">
            <v>0</v>
          </cell>
          <cell r="H102">
            <v>0</v>
          </cell>
          <cell r="I102">
            <v>0</v>
          </cell>
          <cell r="J102">
            <v>1065759.0576951939</v>
          </cell>
        </row>
        <row r="103">
          <cell r="A103">
            <v>86</v>
          </cell>
          <cell r="B103">
            <v>48092</v>
          </cell>
          <cell r="C103">
            <v>0</v>
          </cell>
          <cell r="D103">
            <v>272859.94110595033</v>
          </cell>
          <cell r="E103">
            <v>0</v>
          </cell>
          <cell r="F103">
            <v>0</v>
          </cell>
          <cell r="G103">
            <v>0</v>
          </cell>
          <cell r="H103">
            <v>0</v>
          </cell>
          <cell r="I103">
            <v>0</v>
          </cell>
          <cell r="J103">
            <v>1065759.0576951939</v>
          </cell>
        </row>
        <row r="104">
          <cell r="A104">
            <v>87</v>
          </cell>
          <cell r="B104">
            <v>48183</v>
          </cell>
          <cell r="C104">
            <v>0</v>
          </cell>
          <cell r="D104">
            <v>272859.94110595033</v>
          </cell>
          <cell r="E104">
            <v>0</v>
          </cell>
          <cell r="F104">
            <v>0</v>
          </cell>
          <cell r="G104">
            <v>0</v>
          </cell>
          <cell r="H104">
            <v>0</v>
          </cell>
          <cell r="I104">
            <v>0</v>
          </cell>
          <cell r="J104">
            <v>1065759.0576951939</v>
          </cell>
        </row>
        <row r="105">
          <cell r="A105">
            <v>88</v>
          </cell>
          <cell r="B105">
            <v>48274</v>
          </cell>
          <cell r="C105">
            <v>0</v>
          </cell>
          <cell r="D105">
            <v>272859.94110595033</v>
          </cell>
          <cell r="E105">
            <v>0</v>
          </cell>
          <cell r="F105">
            <v>0</v>
          </cell>
          <cell r="G105">
            <v>0</v>
          </cell>
          <cell r="H105">
            <v>0</v>
          </cell>
          <cell r="I105">
            <v>0</v>
          </cell>
          <cell r="J105">
            <v>1065759.0576951939</v>
          </cell>
        </row>
        <row r="106">
          <cell r="A106">
            <v>89</v>
          </cell>
          <cell r="B106">
            <v>48366</v>
          </cell>
          <cell r="C106">
            <v>0</v>
          </cell>
          <cell r="D106">
            <v>272859.94110595033</v>
          </cell>
          <cell r="E106">
            <v>0</v>
          </cell>
          <cell r="F106">
            <v>0</v>
          </cell>
          <cell r="G106">
            <v>0</v>
          </cell>
          <cell r="H106">
            <v>0</v>
          </cell>
          <cell r="I106">
            <v>0</v>
          </cell>
          <cell r="J106">
            <v>1065759.0576951939</v>
          </cell>
        </row>
        <row r="107">
          <cell r="A107">
            <v>90</v>
          </cell>
          <cell r="B107">
            <v>48458</v>
          </cell>
          <cell r="C107">
            <v>0</v>
          </cell>
          <cell r="D107">
            <v>272859.94110595033</v>
          </cell>
          <cell r="E107">
            <v>0</v>
          </cell>
          <cell r="F107">
            <v>0</v>
          </cell>
          <cell r="G107">
            <v>0</v>
          </cell>
          <cell r="H107">
            <v>0</v>
          </cell>
          <cell r="I107">
            <v>0</v>
          </cell>
          <cell r="J107">
            <v>1065759.0576951939</v>
          </cell>
        </row>
        <row r="108">
          <cell r="A108">
            <v>91</v>
          </cell>
          <cell r="B108">
            <v>48549</v>
          </cell>
          <cell r="C108">
            <v>0</v>
          </cell>
          <cell r="D108">
            <v>272859.94110595033</v>
          </cell>
          <cell r="E108">
            <v>0</v>
          </cell>
          <cell r="F108">
            <v>0</v>
          </cell>
          <cell r="G108">
            <v>0</v>
          </cell>
          <cell r="H108">
            <v>0</v>
          </cell>
          <cell r="I108">
            <v>0</v>
          </cell>
          <cell r="J108">
            <v>1065759.0576951939</v>
          </cell>
        </row>
        <row r="109">
          <cell r="A109">
            <v>92</v>
          </cell>
          <cell r="B109">
            <v>48639</v>
          </cell>
          <cell r="C109">
            <v>0</v>
          </cell>
          <cell r="D109">
            <v>272859.94110595033</v>
          </cell>
          <cell r="E109">
            <v>0</v>
          </cell>
          <cell r="F109">
            <v>0</v>
          </cell>
          <cell r="G109">
            <v>0</v>
          </cell>
          <cell r="H109">
            <v>0</v>
          </cell>
          <cell r="I109">
            <v>0</v>
          </cell>
          <cell r="J109">
            <v>1065759.0576951939</v>
          </cell>
        </row>
        <row r="110">
          <cell r="A110">
            <v>93</v>
          </cell>
          <cell r="B110">
            <v>48731</v>
          </cell>
          <cell r="C110">
            <v>0</v>
          </cell>
          <cell r="D110">
            <v>272859.94110595033</v>
          </cell>
          <cell r="E110">
            <v>0</v>
          </cell>
          <cell r="F110">
            <v>0</v>
          </cell>
          <cell r="G110">
            <v>0</v>
          </cell>
          <cell r="H110">
            <v>0</v>
          </cell>
          <cell r="I110">
            <v>0</v>
          </cell>
          <cell r="J110">
            <v>1065759.0576951939</v>
          </cell>
        </row>
        <row r="111">
          <cell r="A111">
            <v>94</v>
          </cell>
          <cell r="B111">
            <v>48823</v>
          </cell>
          <cell r="C111">
            <v>0</v>
          </cell>
          <cell r="D111">
            <v>272859.94110595033</v>
          </cell>
          <cell r="E111">
            <v>0</v>
          </cell>
          <cell r="F111">
            <v>0</v>
          </cell>
          <cell r="G111">
            <v>0</v>
          </cell>
          <cell r="H111">
            <v>0</v>
          </cell>
          <cell r="I111">
            <v>0</v>
          </cell>
          <cell r="J111">
            <v>1065759.0576951939</v>
          </cell>
        </row>
        <row r="112">
          <cell r="A112">
            <v>95</v>
          </cell>
          <cell r="B112">
            <v>48914</v>
          </cell>
          <cell r="C112">
            <v>0</v>
          </cell>
          <cell r="D112">
            <v>272859.94110595033</v>
          </cell>
          <cell r="E112">
            <v>0</v>
          </cell>
          <cell r="F112">
            <v>0</v>
          </cell>
          <cell r="G112">
            <v>0</v>
          </cell>
          <cell r="H112">
            <v>0</v>
          </cell>
          <cell r="I112">
            <v>0</v>
          </cell>
          <cell r="J112">
            <v>1065759.0576951939</v>
          </cell>
        </row>
        <row r="113">
          <cell r="A113">
            <v>96</v>
          </cell>
          <cell r="B113">
            <v>49004</v>
          </cell>
          <cell r="C113">
            <v>0</v>
          </cell>
          <cell r="D113">
            <v>272859.94110595033</v>
          </cell>
          <cell r="E113">
            <v>0</v>
          </cell>
          <cell r="F113">
            <v>0</v>
          </cell>
          <cell r="G113">
            <v>0</v>
          </cell>
          <cell r="H113">
            <v>0</v>
          </cell>
          <cell r="I113">
            <v>0</v>
          </cell>
          <cell r="J113">
            <v>1065759.0576951939</v>
          </cell>
        </row>
        <row r="114">
          <cell r="A114">
            <v>97</v>
          </cell>
          <cell r="B114">
            <v>49096</v>
          </cell>
          <cell r="C114">
            <v>0</v>
          </cell>
          <cell r="D114">
            <v>272859.94110595033</v>
          </cell>
          <cell r="E114">
            <v>0</v>
          </cell>
          <cell r="F114">
            <v>0</v>
          </cell>
          <cell r="G114">
            <v>0</v>
          </cell>
          <cell r="H114">
            <v>0</v>
          </cell>
          <cell r="I114">
            <v>0</v>
          </cell>
          <cell r="J114">
            <v>1065759.0576951939</v>
          </cell>
        </row>
        <row r="115">
          <cell r="A115">
            <v>98</v>
          </cell>
          <cell r="B115">
            <v>49188</v>
          </cell>
          <cell r="C115">
            <v>0</v>
          </cell>
          <cell r="D115">
            <v>272859.94110595033</v>
          </cell>
          <cell r="E115">
            <v>0</v>
          </cell>
          <cell r="F115">
            <v>0</v>
          </cell>
          <cell r="G115">
            <v>0</v>
          </cell>
          <cell r="H115">
            <v>0</v>
          </cell>
          <cell r="I115">
            <v>0</v>
          </cell>
          <cell r="J115">
            <v>1065759.0576951939</v>
          </cell>
        </row>
        <row r="116">
          <cell r="A116">
            <v>99</v>
          </cell>
          <cell r="B116">
            <v>49279</v>
          </cell>
          <cell r="C116">
            <v>0</v>
          </cell>
          <cell r="D116">
            <v>272859.94110595033</v>
          </cell>
          <cell r="E116">
            <v>0</v>
          </cell>
          <cell r="F116">
            <v>0</v>
          </cell>
          <cell r="G116">
            <v>0</v>
          </cell>
          <cell r="H116">
            <v>0</v>
          </cell>
          <cell r="I116">
            <v>0</v>
          </cell>
          <cell r="J116">
            <v>1065759.0576951939</v>
          </cell>
        </row>
        <row r="117">
          <cell r="A117">
            <v>100</v>
          </cell>
          <cell r="B117">
            <v>49369</v>
          </cell>
          <cell r="C117">
            <v>0</v>
          </cell>
          <cell r="D117">
            <v>272859.94110595033</v>
          </cell>
          <cell r="E117">
            <v>0</v>
          </cell>
          <cell r="F117">
            <v>0</v>
          </cell>
          <cell r="G117">
            <v>0</v>
          </cell>
          <cell r="H117">
            <v>0</v>
          </cell>
          <cell r="I117">
            <v>0</v>
          </cell>
          <cell r="J117">
            <v>1065759.0576951939</v>
          </cell>
        </row>
        <row r="118">
          <cell r="A118">
            <v>101</v>
          </cell>
          <cell r="B118">
            <v>49461</v>
          </cell>
          <cell r="C118">
            <v>0</v>
          </cell>
          <cell r="D118">
            <v>272859.94110595033</v>
          </cell>
          <cell r="E118">
            <v>0</v>
          </cell>
          <cell r="F118">
            <v>0</v>
          </cell>
          <cell r="G118">
            <v>0</v>
          </cell>
          <cell r="H118">
            <v>0</v>
          </cell>
          <cell r="I118">
            <v>0</v>
          </cell>
          <cell r="J118">
            <v>1065759.0576951939</v>
          </cell>
        </row>
        <row r="119">
          <cell r="A119">
            <v>102</v>
          </cell>
          <cell r="B119">
            <v>49553</v>
          </cell>
          <cell r="C119">
            <v>0</v>
          </cell>
          <cell r="D119">
            <v>272859.94110595033</v>
          </cell>
          <cell r="E119">
            <v>0</v>
          </cell>
          <cell r="F119">
            <v>0</v>
          </cell>
          <cell r="G119">
            <v>0</v>
          </cell>
          <cell r="H119">
            <v>0</v>
          </cell>
          <cell r="I119">
            <v>0</v>
          </cell>
          <cell r="J119">
            <v>1065759.0576951939</v>
          </cell>
        </row>
        <row r="120">
          <cell r="A120">
            <v>103</v>
          </cell>
          <cell r="B120">
            <v>49644</v>
          </cell>
          <cell r="C120">
            <v>0</v>
          </cell>
          <cell r="D120">
            <v>272859.94110595033</v>
          </cell>
          <cell r="E120">
            <v>0</v>
          </cell>
          <cell r="F120">
            <v>0</v>
          </cell>
          <cell r="G120">
            <v>0</v>
          </cell>
          <cell r="H120">
            <v>0</v>
          </cell>
          <cell r="I120">
            <v>0</v>
          </cell>
          <cell r="J120">
            <v>1065759.0576951939</v>
          </cell>
        </row>
        <row r="121">
          <cell r="A121">
            <v>104</v>
          </cell>
          <cell r="B121">
            <v>49735</v>
          </cell>
          <cell r="C121">
            <v>0</v>
          </cell>
          <cell r="D121">
            <v>272859.94110595033</v>
          </cell>
          <cell r="E121">
            <v>0</v>
          </cell>
          <cell r="F121">
            <v>0</v>
          </cell>
          <cell r="G121">
            <v>0</v>
          </cell>
          <cell r="H121">
            <v>0</v>
          </cell>
          <cell r="I121">
            <v>0</v>
          </cell>
          <cell r="J121">
            <v>1065759.0576951939</v>
          </cell>
        </row>
        <row r="122">
          <cell r="A122">
            <v>105</v>
          </cell>
          <cell r="B122">
            <v>49827</v>
          </cell>
          <cell r="C122">
            <v>0</v>
          </cell>
          <cell r="D122">
            <v>272859.94110595033</v>
          </cell>
          <cell r="E122">
            <v>0</v>
          </cell>
          <cell r="F122">
            <v>0</v>
          </cell>
          <cell r="G122">
            <v>0</v>
          </cell>
          <cell r="H122">
            <v>0</v>
          </cell>
          <cell r="I122">
            <v>0</v>
          </cell>
          <cell r="J122">
            <v>1065759.0576951939</v>
          </cell>
        </row>
        <row r="123">
          <cell r="A123">
            <v>106</v>
          </cell>
          <cell r="B123">
            <v>49919</v>
          </cell>
          <cell r="C123">
            <v>0</v>
          </cell>
          <cell r="D123">
            <v>272859.94110595033</v>
          </cell>
          <cell r="E123">
            <v>0</v>
          </cell>
          <cell r="F123">
            <v>0</v>
          </cell>
          <cell r="G123">
            <v>0</v>
          </cell>
          <cell r="H123">
            <v>0</v>
          </cell>
          <cell r="I123">
            <v>0</v>
          </cell>
          <cell r="J123">
            <v>1065759.0576951939</v>
          </cell>
        </row>
        <row r="124">
          <cell r="A124">
            <v>107</v>
          </cell>
          <cell r="B124">
            <v>50010</v>
          </cell>
          <cell r="C124">
            <v>0</v>
          </cell>
          <cell r="D124">
            <v>272859.94110595033</v>
          </cell>
          <cell r="E124">
            <v>0</v>
          </cell>
          <cell r="F124">
            <v>0</v>
          </cell>
          <cell r="G124">
            <v>0</v>
          </cell>
          <cell r="H124">
            <v>0</v>
          </cell>
          <cell r="I124">
            <v>0</v>
          </cell>
          <cell r="J124">
            <v>1065759.0576951939</v>
          </cell>
        </row>
        <row r="125">
          <cell r="A125">
            <v>108</v>
          </cell>
          <cell r="B125">
            <v>50100</v>
          </cell>
          <cell r="C125">
            <v>0</v>
          </cell>
          <cell r="D125">
            <v>272859.94110595033</v>
          </cell>
          <cell r="E125">
            <v>0</v>
          </cell>
          <cell r="F125">
            <v>0</v>
          </cell>
          <cell r="G125">
            <v>0</v>
          </cell>
          <cell r="H125">
            <v>0</v>
          </cell>
          <cell r="I125">
            <v>0</v>
          </cell>
          <cell r="J125">
            <v>1065759.0576951939</v>
          </cell>
        </row>
        <row r="126">
          <cell r="A126">
            <v>109</v>
          </cell>
          <cell r="B126">
            <v>50192</v>
          </cell>
          <cell r="C126">
            <v>0</v>
          </cell>
          <cell r="D126">
            <v>272859.94110595033</v>
          </cell>
          <cell r="E126">
            <v>0</v>
          </cell>
          <cell r="F126">
            <v>0</v>
          </cell>
          <cell r="G126">
            <v>0</v>
          </cell>
          <cell r="H126">
            <v>0</v>
          </cell>
          <cell r="I126">
            <v>0</v>
          </cell>
          <cell r="J126">
            <v>1065759.0576951939</v>
          </cell>
        </row>
        <row r="127">
          <cell r="A127">
            <v>110</v>
          </cell>
          <cell r="B127">
            <v>50284</v>
          </cell>
          <cell r="C127">
            <v>0</v>
          </cell>
          <cell r="D127">
            <v>272859.94110595033</v>
          </cell>
          <cell r="E127">
            <v>0</v>
          </cell>
          <cell r="F127">
            <v>0</v>
          </cell>
          <cell r="G127">
            <v>0</v>
          </cell>
          <cell r="H127">
            <v>0</v>
          </cell>
          <cell r="I127">
            <v>0</v>
          </cell>
          <cell r="J127">
            <v>1065759.0576951939</v>
          </cell>
        </row>
        <row r="128">
          <cell r="A128">
            <v>111</v>
          </cell>
          <cell r="B128">
            <v>50375</v>
          </cell>
          <cell r="C128">
            <v>0</v>
          </cell>
          <cell r="D128">
            <v>272859.94110595033</v>
          </cell>
          <cell r="E128">
            <v>0</v>
          </cell>
          <cell r="F128">
            <v>0</v>
          </cell>
          <cell r="G128">
            <v>0</v>
          </cell>
          <cell r="H128">
            <v>0</v>
          </cell>
          <cell r="I128">
            <v>0</v>
          </cell>
          <cell r="J128">
            <v>1065759.0576951939</v>
          </cell>
        </row>
        <row r="129">
          <cell r="A129">
            <v>112</v>
          </cell>
          <cell r="B129">
            <v>50465</v>
          </cell>
          <cell r="C129">
            <v>0</v>
          </cell>
          <cell r="D129">
            <v>272859.94110595033</v>
          </cell>
          <cell r="E129">
            <v>0</v>
          </cell>
          <cell r="F129">
            <v>0</v>
          </cell>
          <cell r="G129">
            <v>0</v>
          </cell>
          <cell r="H129">
            <v>0</v>
          </cell>
          <cell r="I129">
            <v>0</v>
          </cell>
          <cell r="J129">
            <v>1065759.0576951939</v>
          </cell>
        </row>
        <row r="130">
          <cell r="A130">
            <v>113</v>
          </cell>
          <cell r="B130">
            <v>50557</v>
          </cell>
          <cell r="C130">
            <v>0</v>
          </cell>
          <cell r="D130">
            <v>272859.94110595033</v>
          </cell>
          <cell r="E130">
            <v>0</v>
          </cell>
          <cell r="F130">
            <v>0</v>
          </cell>
          <cell r="G130">
            <v>0</v>
          </cell>
          <cell r="H130">
            <v>0</v>
          </cell>
          <cell r="I130">
            <v>0</v>
          </cell>
          <cell r="J130">
            <v>1065759.0576951939</v>
          </cell>
        </row>
        <row r="131">
          <cell r="A131">
            <v>114</v>
          </cell>
          <cell r="B131">
            <v>50649</v>
          </cell>
          <cell r="C131">
            <v>0</v>
          </cell>
          <cell r="D131">
            <v>272859.94110595033</v>
          </cell>
          <cell r="E131">
            <v>0</v>
          </cell>
          <cell r="F131">
            <v>0</v>
          </cell>
          <cell r="G131">
            <v>0</v>
          </cell>
          <cell r="H131">
            <v>0</v>
          </cell>
          <cell r="I131">
            <v>0</v>
          </cell>
          <cell r="J131">
            <v>1065759.0576951939</v>
          </cell>
        </row>
        <row r="132">
          <cell r="A132">
            <v>115</v>
          </cell>
          <cell r="B132">
            <v>50740</v>
          </cell>
          <cell r="C132">
            <v>0</v>
          </cell>
          <cell r="D132">
            <v>272859.94110595033</v>
          </cell>
          <cell r="E132">
            <v>0</v>
          </cell>
          <cell r="F132">
            <v>0</v>
          </cell>
          <cell r="G132">
            <v>0</v>
          </cell>
          <cell r="H132">
            <v>0</v>
          </cell>
          <cell r="I132">
            <v>0</v>
          </cell>
          <cell r="J132">
            <v>1065759.0576951939</v>
          </cell>
        </row>
        <row r="133">
          <cell r="A133">
            <v>116</v>
          </cell>
          <cell r="B133">
            <v>50830</v>
          </cell>
          <cell r="C133">
            <v>0</v>
          </cell>
          <cell r="D133">
            <v>272859.94110595033</v>
          </cell>
          <cell r="E133">
            <v>0</v>
          </cell>
          <cell r="F133">
            <v>0</v>
          </cell>
          <cell r="G133">
            <v>0</v>
          </cell>
          <cell r="H133">
            <v>0</v>
          </cell>
          <cell r="I133">
            <v>0</v>
          </cell>
          <cell r="J133">
            <v>1065759.0576951939</v>
          </cell>
        </row>
        <row r="134">
          <cell r="A134">
            <v>117</v>
          </cell>
          <cell r="B134">
            <v>50922</v>
          </cell>
          <cell r="C134">
            <v>0</v>
          </cell>
          <cell r="D134">
            <v>272859.94110595033</v>
          </cell>
          <cell r="E134">
            <v>0</v>
          </cell>
          <cell r="F134">
            <v>0</v>
          </cell>
          <cell r="G134">
            <v>0</v>
          </cell>
          <cell r="H134">
            <v>0</v>
          </cell>
          <cell r="I134">
            <v>0</v>
          </cell>
          <cell r="J134">
            <v>1065759.0576951939</v>
          </cell>
        </row>
        <row r="135">
          <cell r="A135">
            <v>118</v>
          </cell>
          <cell r="B135">
            <v>51014</v>
          </cell>
          <cell r="C135">
            <v>0</v>
          </cell>
          <cell r="D135">
            <v>272859.94110595033</v>
          </cell>
          <cell r="E135">
            <v>0</v>
          </cell>
          <cell r="F135">
            <v>0</v>
          </cell>
          <cell r="G135">
            <v>0</v>
          </cell>
          <cell r="H135">
            <v>0</v>
          </cell>
          <cell r="I135">
            <v>0</v>
          </cell>
          <cell r="J135">
            <v>1065759.0576951939</v>
          </cell>
        </row>
        <row r="136">
          <cell r="A136">
            <v>119</v>
          </cell>
          <cell r="B136">
            <v>51105</v>
          </cell>
          <cell r="C136">
            <v>0</v>
          </cell>
          <cell r="D136">
            <v>272859.94110595033</v>
          </cell>
          <cell r="E136">
            <v>0</v>
          </cell>
          <cell r="F136">
            <v>0</v>
          </cell>
          <cell r="G136">
            <v>0</v>
          </cell>
          <cell r="H136">
            <v>0</v>
          </cell>
          <cell r="I136">
            <v>0</v>
          </cell>
          <cell r="J136">
            <v>1065759.0576951939</v>
          </cell>
        </row>
        <row r="137">
          <cell r="A137">
            <v>120</v>
          </cell>
          <cell r="B137">
            <v>51196</v>
          </cell>
          <cell r="C137">
            <v>0</v>
          </cell>
          <cell r="D137">
            <v>272859.94110595033</v>
          </cell>
          <cell r="E137">
            <v>0</v>
          </cell>
          <cell r="F137">
            <v>0</v>
          </cell>
          <cell r="G137">
            <v>0</v>
          </cell>
          <cell r="H137">
            <v>0</v>
          </cell>
          <cell r="I137">
            <v>0</v>
          </cell>
          <cell r="J137">
            <v>1065759.0576951939</v>
          </cell>
        </row>
        <row r="138">
          <cell r="A138">
            <v>121</v>
          </cell>
          <cell r="B138">
            <v>51288</v>
          </cell>
          <cell r="C138">
            <v>0</v>
          </cell>
          <cell r="D138">
            <v>272859.94110595033</v>
          </cell>
          <cell r="E138">
            <v>0</v>
          </cell>
          <cell r="F138">
            <v>0</v>
          </cell>
          <cell r="G138">
            <v>0</v>
          </cell>
          <cell r="H138">
            <v>0</v>
          </cell>
          <cell r="I138">
            <v>0</v>
          </cell>
          <cell r="J138">
            <v>1065759.0576951939</v>
          </cell>
        </row>
        <row r="139">
          <cell r="A139">
            <v>122</v>
          </cell>
          <cell r="B139">
            <v>51380</v>
          </cell>
          <cell r="C139">
            <v>0</v>
          </cell>
          <cell r="D139">
            <v>272859.94110595033</v>
          </cell>
          <cell r="E139">
            <v>0</v>
          </cell>
          <cell r="F139">
            <v>0</v>
          </cell>
          <cell r="G139">
            <v>0</v>
          </cell>
          <cell r="H139">
            <v>0</v>
          </cell>
          <cell r="I139">
            <v>0</v>
          </cell>
          <cell r="J139">
            <v>1065759.0576951939</v>
          </cell>
        </row>
        <row r="140">
          <cell r="A140">
            <v>123</v>
          </cell>
          <cell r="B140">
            <v>51471</v>
          </cell>
          <cell r="C140">
            <v>0</v>
          </cell>
          <cell r="D140">
            <v>272859.94110595033</v>
          </cell>
          <cell r="E140">
            <v>0</v>
          </cell>
          <cell r="F140">
            <v>0</v>
          </cell>
          <cell r="G140">
            <v>0</v>
          </cell>
          <cell r="H140">
            <v>0</v>
          </cell>
          <cell r="I140">
            <v>0</v>
          </cell>
          <cell r="J140">
            <v>1065759.0576951939</v>
          </cell>
        </row>
        <row r="141">
          <cell r="A141">
            <v>124</v>
          </cell>
          <cell r="B141">
            <v>51561</v>
          </cell>
          <cell r="C141">
            <v>0</v>
          </cell>
          <cell r="D141">
            <v>272859.94110595033</v>
          </cell>
          <cell r="E141">
            <v>0</v>
          </cell>
          <cell r="F141">
            <v>0</v>
          </cell>
          <cell r="G141">
            <v>0</v>
          </cell>
          <cell r="H141">
            <v>0</v>
          </cell>
          <cell r="I141">
            <v>0</v>
          </cell>
          <cell r="J141">
            <v>1065759.0576951939</v>
          </cell>
        </row>
        <row r="142">
          <cell r="A142">
            <v>125</v>
          </cell>
          <cell r="B142">
            <v>51653</v>
          </cell>
          <cell r="C142">
            <v>0</v>
          </cell>
          <cell r="D142">
            <v>272859.94110595033</v>
          </cell>
          <cell r="E142">
            <v>0</v>
          </cell>
          <cell r="F142">
            <v>0</v>
          </cell>
          <cell r="G142">
            <v>0</v>
          </cell>
          <cell r="H142">
            <v>0</v>
          </cell>
          <cell r="I142">
            <v>0</v>
          </cell>
          <cell r="J142">
            <v>1065759.0576951939</v>
          </cell>
        </row>
        <row r="143">
          <cell r="A143">
            <v>126</v>
          </cell>
          <cell r="B143">
            <v>51745</v>
          </cell>
          <cell r="C143">
            <v>0</v>
          </cell>
          <cell r="D143">
            <v>272859.94110595033</v>
          </cell>
          <cell r="E143">
            <v>0</v>
          </cell>
          <cell r="F143">
            <v>0</v>
          </cell>
          <cell r="G143">
            <v>0</v>
          </cell>
          <cell r="H143">
            <v>0</v>
          </cell>
          <cell r="I143">
            <v>0</v>
          </cell>
          <cell r="J143">
            <v>1065759.0576951939</v>
          </cell>
        </row>
        <row r="144">
          <cell r="A144">
            <v>127</v>
          </cell>
          <cell r="B144">
            <v>51836</v>
          </cell>
          <cell r="C144">
            <v>0</v>
          </cell>
          <cell r="D144">
            <v>272859.94110595033</v>
          </cell>
          <cell r="E144">
            <v>0</v>
          </cell>
          <cell r="F144">
            <v>0</v>
          </cell>
          <cell r="G144">
            <v>0</v>
          </cell>
          <cell r="H144">
            <v>0</v>
          </cell>
          <cell r="I144">
            <v>0</v>
          </cell>
          <cell r="J144">
            <v>1065759.0576951939</v>
          </cell>
        </row>
        <row r="145">
          <cell r="A145">
            <v>128</v>
          </cell>
          <cell r="B145">
            <v>51926</v>
          </cell>
          <cell r="C145">
            <v>0</v>
          </cell>
          <cell r="D145">
            <v>272859.94110595033</v>
          </cell>
          <cell r="E145">
            <v>0</v>
          </cell>
          <cell r="F145">
            <v>0</v>
          </cell>
          <cell r="G145">
            <v>0</v>
          </cell>
          <cell r="H145">
            <v>0</v>
          </cell>
          <cell r="I145">
            <v>0</v>
          </cell>
          <cell r="J145">
            <v>1065759.0576951939</v>
          </cell>
        </row>
        <row r="146">
          <cell r="A146">
            <v>129</v>
          </cell>
          <cell r="B146">
            <v>52018</v>
          </cell>
          <cell r="C146">
            <v>0</v>
          </cell>
          <cell r="D146">
            <v>272859.94110595033</v>
          </cell>
          <cell r="E146">
            <v>0</v>
          </cell>
          <cell r="F146">
            <v>0</v>
          </cell>
          <cell r="G146">
            <v>0</v>
          </cell>
          <cell r="H146">
            <v>0</v>
          </cell>
          <cell r="I146">
            <v>0</v>
          </cell>
          <cell r="J146">
            <v>1065759.0576951939</v>
          </cell>
        </row>
        <row r="147">
          <cell r="A147">
            <v>130</v>
          </cell>
          <cell r="B147">
            <v>52110</v>
          </cell>
          <cell r="C147">
            <v>0</v>
          </cell>
          <cell r="D147">
            <v>272859.94110595033</v>
          </cell>
          <cell r="E147">
            <v>0</v>
          </cell>
          <cell r="F147">
            <v>0</v>
          </cell>
          <cell r="G147">
            <v>0</v>
          </cell>
          <cell r="H147">
            <v>0</v>
          </cell>
          <cell r="I147">
            <v>0</v>
          </cell>
          <cell r="J147">
            <v>1065759.0576951939</v>
          </cell>
        </row>
        <row r="148">
          <cell r="A148">
            <v>131</v>
          </cell>
          <cell r="B148">
            <v>52201</v>
          </cell>
          <cell r="C148">
            <v>0</v>
          </cell>
          <cell r="D148">
            <v>272859.94110595033</v>
          </cell>
          <cell r="E148">
            <v>0</v>
          </cell>
          <cell r="F148">
            <v>0</v>
          </cell>
          <cell r="G148">
            <v>0</v>
          </cell>
          <cell r="H148">
            <v>0</v>
          </cell>
          <cell r="I148">
            <v>0</v>
          </cell>
          <cell r="J148">
            <v>1065759.0576951939</v>
          </cell>
        </row>
        <row r="149">
          <cell r="A149">
            <v>132</v>
          </cell>
          <cell r="B149">
            <v>52291</v>
          </cell>
          <cell r="C149">
            <v>0</v>
          </cell>
          <cell r="D149">
            <v>272859.94110595033</v>
          </cell>
          <cell r="E149">
            <v>0</v>
          </cell>
          <cell r="F149">
            <v>0</v>
          </cell>
          <cell r="G149">
            <v>0</v>
          </cell>
          <cell r="H149">
            <v>0</v>
          </cell>
          <cell r="I149">
            <v>0</v>
          </cell>
          <cell r="J149">
            <v>1065759.0576951939</v>
          </cell>
        </row>
        <row r="150">
          <cell r="A150">
            <v>133</v>
          </cell>
          <cell r="B150">
            <v>52383</v>
          </cell>
          <cell r="C150">
            <v>0</v>
          </cell>
          <cell r="D150">
            <v>272859.94110595033</v>
          </cell>
          <cell r="E150">
            <v>0</v>
          </cell>
          <cell r="F150">
            <v>0</v>
          </cell>
          <cell r="G150">
            <v>0</v>
          </cell>
          <cell r="H150">
            <v>0</v>
          </cell>
          <cell r="I150">
            <v>0</v>
          </cell>
          <cell r="J150">
            <v>1065759.0576951939</v>
          </cell>
        </row>
        <row r="151">
          <cell r="A151">
            <v>134</v>
          </cell>
          <cell r="B151">
            <v>52475</v>
          </cell>
          <cell r="C151">
            <v>0</v>
          </cell>
          <cell r="D151">
            <v>272859.94110595033</v>
          </cell>
          <cell r="E151">
            <v>0</v>
          </cell>
          <cell r="F151">
            <v>0</v>
          </cell>
          <cell r="G151">
            <v>0</v>
          </cell>
          <cell r="H151">
            <v>0</v>
          </cell>
          <cell r="I151">
            <v>0</v>
          </cell>
          <cell r="J151">
            <v>1065759.0576951939</v>
          </cell>
        </row>
        <row r="152">
          <cell r="A152">
            <v>135</v>
          </cell>
          <cell r="B152">
            <v>52566</v>
          </cell>
          <cell r="C152">
            <v>0</v>
          </cell>
          <cell r="D152">
            <v>272859.94110595033</v>
          </cell>
          <cell r="E152">
            <v>0</v>
          </cell>
          <cell r="F152">
            <v>0</v>
          </cell>
          <cell r="G152">
            <v>0</v>
          </cell>
          <cell r="H152">
            <v>0</v>
          </cell>
          <cell r="I152">
            <v>0</v>
          </cell>
          <cell r="J152">
            <v>1065759.0576951939</v>
          </cell>
        </row>
        <row r="153">
          <cell r="A153">
            <v>136</v>
          </cell>
          <cell r="B153">
            <v>52657</v>
          </cell>
          <cell r="C153">
            <v>0</v>
          </cell>
          <cell r="D153">
            <v>272859.94110595033</v>
          </cell>
          <cell r="E153">
            <v>0</v>
          </cell>
          <cell r="F153">
            <v>0</v>
          </cell>
          <cell r="G153">
            <v>0</v>
          </cell>
          <cell r="H153">
            <v>0</v>
          </cell>
          <cell r="I153">
            <v>0</v>
          </cell>
          <cell r="J153">
            <v>1065759.0576951939</v>
          </cell>
        </row>
        <row r="154">
          <cell r="A154">
            <v>137</v>
          </cell>
          <cell r="B154">
            <v>52749</v>
          </cell>
          <cell r="C154">
            <v>0</v>
          </cell>
          <cell r="D154">
            <v>272859.94110595033</v>
          </cell>
          <cell r="E154">
            <v>0</v>
          </cell>
          <cell r="F154">
            <v>0</v>
          </cell>
          <cell r="G154">
            <v>0</v>
          </cell>
          <cell r="H154">
            <v>0</v>
          </cell>
          <cell r="I154">
            <v>0</v>
          </cell>
          <cell r="J154">
            <v>1065759.0576951939</v>
          </cell>
        </row>
        <row r="155">
          <cell r="A155">
            <v>138</v>
          </cell>
          <cell r="B155">
            <v>52841</v>
          </cell>
          <cell r="C155">
            <v>0</v>
          </cell>
          <cell r="D155">
            <v>272859.94110595033</v>
          </cell>
          <cell r="E155">
            <v>0</v>
          </cell>
          <cell r="F155">
            <v>0</v>
          </cell>
          <cell r="G155">
            <v>0</v>
          </cell>
          <cell r="H155">
            <v>0</v>
          </cell>
          <cell r="I155">
            <v>0</v>
          </cell>
          <cell r="J155">
            <v>1065759.0576951939</v>
          </cell>
        </row>
        <row r="156">
          <cell r="A156">
            <v>139</v>
          </cell>
          <cell r="B156">
            <v>52932</v>
          </cell>
          <cell r="C156">
            <v>0</v>
          </cell>
          <cell r="D156">
            <v>272859.94110595033</v>
          </cell>
          <cell r="E156">
            <v>0</v>
          </cell>
          <cell r="F156">
            <v>0</v>
          </cell>
          <cell r="G156">
            <v>0</v>
          </cell>
          <cell r="H156">
            <v>0</v>
          </cell>
          <cell r="I156">
            <v>0</v>
          </cell>
          <cell r="J156">
            <v>1065759.0576951939</v>
          </cell>
        </row>
        <row r="157">
          <cell r="A157">
            <v>140</v>
          </cell>
          <cell r="B157">
            <v>53022</v>
          </cell>
          <cell r="C157">
            <v>0</v>
          </cell>
          <cell r="D157">
            <v>272859.94110595033</v>
          </cell>
          <cell r="E157">
            <v>0</v>
          </cell>
          <cell r="F157">
            <v>0</v>
          </cell>
          <cell r="G157">
            <v>0</v>
          </cell>
          <cell r="H157">
            <v>0</v>
          </cell>
          <cell r="I157">
            <v>0</v>
          </cell>
          <cell r="J157">
            <v>1065759.0576951939</v>
          </cell>
        </row>
        <row r="158">
          <cell r="A158">
            <v>141</v>
          </cell>
          <cell r="B158">
            <v>53114</v>
          </cell>
          <cell r="C158">
            <v>0</v>
          </cell>
          <cell r="D158">
            <v>272859.94110595033</v>
          </cell>
          <cell r="E158">
            <v>0</v>
          </cell>
          <cell r="F158">
            <v>0</v>
          </cell>
          <cell r="G158">
            <v>0</v>
          </cell>
          <cell r="H158">
            <v>0</v>
          </cell>
          <cell r="I158">
            <v>0</v>
          </cell>
          <cell r="J158">
            <v>1065759.0576951939</v>
          </cell>
        </row>
        <row r="159">
          <cell r="A159">
            <v>142</v>
          </cell>
          <cell r="B159">
            <v>53206</v>
          </cell>
          <cell r="C159">
            <v>0</v>
          </cell>
          <cell r="D159">
            <v>272859.94110595033</v>
          </cell>
          <cell r="E159">
            <v>0</v>
          </cell>
          <cell r="F159">
            <v>0</v>
          </cell>
          <cell r="G159">
            <v>0</v>
          </cell>
          <cell r="H159">
            <v>0</v>
          </cell>
          <cell r="I159">
            <v>0</v>
          </cell>
          <cell r="J159">
            <v>1065759.0576951939</v>
          </cell>
        </row>
        <row r="160">
          <cell r="A160">
            <v>143</v>
          </cell>
          <cell r="B160">
            <v>53297</v>
          </cell>
          <cell r="C160">
            <v>0</v>
          </cell>
          <cell r="D160">
            <v>272859.94110595033</v>
          </cell>
          <cell r="E160">
            <v>0</v>
          </cell>
          <cell r="F160">
            <v>0</v>
          </cell>
          <cell r="G160">
            <v>0</v>
          </cell>
          <cell r="H160">
            <v>0</v>
          </cell>
          <cell r="I160">
            <v>0</v>
          </cell>
          <cell r="J160">
            <v>1065759.0576951939</v>
          </cell>
        </row>
        <row r="161">
          <cell r="A161">
            <v>144</v>
          </cell>
          <cell r="B161">
            <v>53387</v>
          </cell>
          <cell r="C161">
            <v>0</v>
          </cell>
          <cell r="D161">
            <v>272859.94110595033</v>
          </cell>
          <cell r="E161">
            <v>0</v>
          </cell>
          <cell r="F161">
            <v>0</v>
          </cell>
          <cell r="G161">
            <v>0</v>
          </cell>
          <cell r="H161">
            <v>0</v>
          </cell>
          <cell r="I161">
            <v>0</v>
          </cell>
          <cell r="J161">
            <v>1065759.0576951939</v>
          </cell>
        </row>
        <row r="162">
          <cell r="A162">
            <v>145</v>
          </cell>
          <cell r="B162">
            <v>53479</v>
          </cell>
          <cell r="C162">
            <v>0</v>
          </cell>
          <cell r="D162">
            <v>272859.94110595033</v>
          </cell>
          <cell r="E162">
            <v>0</v>
          </cell>
          <cell r="F162">
            <v>0</v>
          </cell>
          <cell r="G162">
            <v>0</v>
          </cell>
          <cell r="H162">
            <v>0</v>
          </cell>
          <cell r="I162">
            <v>0</v>
          </cell>
          <cell r="J162">
            <v>1065759.0576951939</v>
          </cell>
        </row>
        <row r="163">
          <cell r="A163">
            <v>146</v>
          </cell>
          <cell r="B163">
            <v>53571</v>
          </cell>
          <cell r="C163">
            <v>0</v>
          </cell>
          <cell r="D163">
            <v>272859.94110595033</v>
          </cell>
          <cell r="E163">
            <v>0</v>
          </cell>
          <cell r="F163">
            <v>0</v>
          </cell>
          <cell r="G163">
            <v>0</v>
          </cell>
          <cell r="H163">
            <v>0</v>
          </cell>
          <cell r="I163">
            <v>0</v>
          </cell>
          <cell r="J163">
            <v>1065759.0576951939</v>
          </cell>
        </row>
        <row r="164">
          <cell r="A164">
            <v>147</v>
          </cell>
          <cell r="B164">
            <v>53662</v>
          </cell>
          <cell r="C164">
            <v>0</v>
          </cell>
          <cell r="D164">
            <v>272859.94110595033</v>
          </cell>
          <cell r="E164">
            <v>0</v>
          </cell>
          <cell r="F164">
            <v>0</v>
          </cell>
          <cell r="G164">
            <v>0</v>
          </cell>
          <cell r="H164">
            <v>0</v>
          </cell>
          <cell r="I164">
            <v>0</v>
          </cell>
          <cell r="J164">
            <v>1065759.0576951939</v>
          </cell>
        </row>
        <row r="165">
          <cell r="A165">
            <v>148</v>
          </cell>
          <cell r="B165">
            <v>53752</v>
          </cell>
          <cell r="C165">
            <v>0</v>
          </cell>
          <cell r="D165">
            <v>272859.94110595033</v>
          </cell>
          <cell r="E165">
            <v>0</v>
          </cell>
          <cell r="F165">
            <v>0</v>
          </cell>
          <cell r="G165">
            <v>0</v>
          </cell>
          <cell r="H165">
            <v>0</v>
          </cell>
          <cell r="I165">
            <v>0</v>
          </cell>
          <cell r="J165">
            <v>1065759.0576951939</v>
          </cell>
        </row>
        <row r="166">
          <cell r="A166">
            <v>149</v>
          </cell>
          <cell r="B166">
            <v>53844</v>
          </cell>
          <cell r="C166">
            <v>0</v>
          </cell>
          <cell r="D166">
            <v>272859.94110595033</v>
          </cell>
          <cell r="E166">
            <v>0</v>
          </cell>
          <cell r="F166">
            <v>0</v>
          </cell>
          <cell r="G166">
            <v>0</v>
          </cell>
          <cell r="H166">
            <v>0</v>
          </cell>
          <cell r="I166">
            <v>0</v>
          </cell>
          <cell r="J166">
            <v>1065759.0576951939</v>
          </cell>
        </row>
        <row r="167">
          <cell r="A167">
            <v>150</v>
          </cell>
          <cell r="B167">
            <v>53936</v>
          </cell>
          <cell r="C167">
            <v>0</v>
          </cell>
          <cell r="D167">
            <v>272859.94110595033</v>
          </cell>
          <cell r="E167">
            <v>0</v>
          </cell>
          <cell r="F167">
            <v>0</v>
          </cell>
          <cell r="G167">
            <v>0</v>
          </cell>
          <cell r="H167">
            <v>0</v>
          </cell>
          <cell r="I167">
            <v>0</v>
          </cell>
          <cell r="J167">
            <v>1065759.0576951939</v>
          </cell>
        </row>
        <row r="168">
          <cell r="A168">
            <v>151</v>
          </cell>
          <cell r="B168">
            <v>54027</v>
          </cell>
          <cell r="C168">
            <v>0</v>
          </cell>
          <cell r="D168">
            <v>272859.94110595033</v>
          </cell>
          <cell r="E168">
            <v>0</v>
          </cell>
          <cell r="F168">
            <v>0</v>
          </cell>
          <cell r="G168">
            <v>0</v>
          </cell>
          <cell r="H168">
            <v>0</v>
          </cell>
          <cell r="I168">
            <v>0</v>
          </cell>
          <cell r="J168">
            <v>1065759.0576951939</v>
          </cell>
        </row>
        <row r="169">
          <cell r="A169">
            <v>152</v>
          </cell>
          <cell r="B169">
            <v>54118</v>
          </cell>
          <cell r="C169">
            <v>0</v>
          </cell>
          <cell r="D169">
            <v>272859.94110595033</v>
          </cell>
          <cell r="E169">
            <v>0</v>
          </cell>
          <cell r="F169">
            <v>0</v>
          </cell>
          <cell r="G169">
            <v>0</v>
          </cell>
          <cell r="H169">
            <v>0</v>
          </cell>
          <cell r="I169">
            <v>0</v>
          </cell>
          <cell r="J169">
            <v>1065759.0576951939</v>
          </cell>
        </row>
        <row r="170">
          <cell r="A170">
            <v>153</v>
          </cell>
          <cell r="B170">
            <v>54210</v>
          </cell>
          <cell r="C170">
            <v>0</v>
          </cell>
          <cell r="D170">
            <v>272859.94110595033</v>
          </cell>
          <cell r="E170">
            <v>0</v>
          </cell>
          <cell r="F170">
            <v>0</v>
          </cell>
          <cell r="G170">
            <v>0</v>
          </cell>
          <cell r="H170">
            <v>0</v>
          </cell>
          <cell r="I170">
            <v>0</v>
          </cell>
          <cell r="J170">
            <v>1065759.0576951939</v>
          </cell>
        </row>
        <row r="171">
          <cell r="A171">
            <v>154</v>
          </cell>
          <cell r="B171">
            <v>54302</v>
          </cell>
          <cell r="C171">
            <v>0</v>
          </cell>
          <cell r="D171">
            <v>272859.94110595033</v>
          </cell>
          <cell r="E171">
            <v>0</v>
          </cell>
          <cell r="F171">
            <v>0</v>
          </cell>
          <cell r="G171">
            <v>0</v>
          </cell>
          <cell r="H171">
            <v>0</v>
          </cell>
          <cell r="I171">
            <v>0</v>
          </cell>
          <cell r="J171">
            <v>1065759.0576951939</v>
          </cell>
        </row>
        <row r="172">
          <cell r="A172">
            <v>155</v>
          </cell>
          <cell r="B172">
            <v>54393</v>
          </cell>
          <cell r="C172">
            <v>0</v>
          </cell>
          <cell r="D172">
            <v>272859.94110595033</v>
          </cell>
          <cell r="E172">
            <v>0</v>
          </cell>
          <cell r="F172">
            <v>0</v>
          </cell>
          <cell r="G172">
            <v>0</v>
          </cell>
          <cell r="H172">
            <v>0</v>
          </cell>
          <cell r="I172">
            <v>0</v>
          </cell>
          <cell r="J172">
            <v>1065759.0576951939</v>
          </cell>
        </row>
        <row r="173">
          <cell r="A173">
            <v>156</v>
          </cell>
          <cell r="B173">
            <v>54483</v>
          </cell>
          <cell r="C173">
            <v>0</v>
          </cell>
          <cell r="D173">
            <v>272859.94110595033</v>
          </cell>
          <cell r="E173">
            <v>0</v>
          </cell>
          <cell r="F173">
            <v>0</v>
          </cell>
          <cell r="G173">
            <v>0</v>
          </cell>
          <cell r="H173">
            <v>0</v>
          </cell>
          <cell r="I173">
            <v>0</v>
          </cell>
          <cell r="J173">
            <v>1065759.0576951939</v>
          </cell>
        </row>
        <row r="174">
          <cell r="A174">
            <v>157</v>
          </cell>
          <cell r="B174">
            <v>54575</v>
          </cell>
          <cell r="C174">
            <v>0</v>
          </cell>
          <cell r="D174">
            <v>272859.94110595033</v>
          </cell>
          <cell r="E174">
            <v>0</v>
          </cell>
          <cell r="F174">
            <v>0</v>
          </cell>
          <cell r="G174">
            <v>0</v>
          </cell>
          <cell r="H174">
            <v>0</v>
          </cell>
          <cell r="I174">
            <v>0</v>
          </cell>
          <cell r="J174">
            <v>1065759.0576951939</v>
          </cell>
        </row>
        <row r="175">
          <cell r="A175">
            <v>158</v>
          </cell>
          <cell r="B175">
            <v>54667</v>
          </cell>
          <cell r="C175">
            <v>0</v>
          </cell>
          <cell r="D175">
            <v>272859.94110595033</v>
          </cell>
          <cell r="E175">
            <v>0</v>
          </cell>
          <cell r="F175">
            <v>0</v>
          </cell>
          <cell r="G175">
            <v>0</v>
          </cell>
          <cell r="H175">
            <v>0</v>
          </cell>
          <cell r="I175">
            <v>0</v>
          </cell>
          <cell r="J175">
            <v>1065759.0576951939</v>
          </cell>
        </row>
        <row r="176">
          <cell r="A176">
            <v>159</v>
          </cell>
          <cell r="B176">
            <v>54758</v>
          </cell>
          <cell r="C176">
            <v>0</v>
          </cell>
          <cell r="D176">
            <v>272859.94110595033</v>
          </cell>
          <cell r="E176">
            <v>0</v>
          </cell>
          <cell r="F176">
            <v>0</v>
          </cell>
          <cell r="G176">
            <v>0</v>
          </cell>
          <cell r="H176">
            <v>0</v>
          </cell>
          <cell r="I176">
            <v>0</v>
          </cell>
          <cell r="J176">
            <v>1065759.0576951939</v>
          </cell>
        </row>
        <row r="177">
          <cell r="A177">
            <v>160</v>
          </cell>
          <cell r="B177">
            <v>54848</v>
          </cell>
          <cell r="C177">
            <v>0</v>
          </cell>
          <cell r="D177">
            <v>272859.94110595033</v>
          </cell>
          <cell r="E177">
            <v>0</v>
          </cell>
          <cell r="F177">
            <v>0</v>
          </cell>
          <cell r="G177">
            <v>0</v>
          </cell>
          <cell r="H177">
            <v>0</v>
          </cell>
          <cell r="I177">
            <v>0</v>
          </cell>
          <cell r="J177">
            <v>1065759.0576951939</v>
          </cell>
        </row>
        <row r="178">
          <cell r="A178">
            <v>161</v>
          </cell>
          <cell r="B178">
            <v>54940</v>
          </cell>
          <cell r="C178">
            <v>0</v>
          </cell>
          <cell r="D178">
            <v>272859.94110595033</v>
          </cell>
          <cell r="E178">
            <v>0</v>
          </cell>
          <cell r="F178">
            <v>0</v>
          </cell>
          <cell r="G178">
            <v>0</v>
          </cell>
          <cell r="H178">
            <v>0</v>
          </cell>
          <cell r="I178">
            <v>0</v>
          </cell>
          <cell r="J178">
            <v>1065759.0576951939</v>
          </cell>
        </row>
        <row r="179">
          <cell r="A179">
            <v>162</v>
          </cell>
          <cell r="B179">
            <v>55032</v>
          </cell>
          <cell r="C179">
            <v>0</v>
          </cell>
          <cell r="D179">
            <v>272859.94110595033</v>
          </cell>
          <cell r="E179">
            <v>0</v>
          </cell>
          <cell r="F179">
            <v>0</v>
          </cell>
          <cell r="G179">
            <v>0</v>
          </cell>
          <cell r="H179">
            <v>0</v>
          </cell>
          <cell r="I179">
            <v>0</v>
          </cell>
          <cell r="J179">
            <v>1065759.0576951939</v>
          </cell>
        </row>
        <row r="180">
          <cell r="A180">
            <v>163</v>
          </cell>
          <cell r="B180">
            <v>55123</v>
          </cell>
          <cell r="C180">
            <v>0</v>
          </cell>
          <cell r="D180">
            <v>272859.94110595033</v>
          </cell>
          <cell r="E180">
            <v>0</v>
          </cell>
          <cell r="F180">
            <v>0</v>
          </cell>
          <cell r="G180">
            <v>0</v>
          </cell>
          <cell r="H180">
            <v>0</v>
          </cell>
          <cell r="I180">
            <v>0</v>
          </cell>
          <cell r="J180">
            <v>1065759.0576951939</v>
          </cell>
        </row>
        <row r="181">
          <cell r="A181">
            <v>164</v>
          </cell>
          <cell r="B181">
            <v>55213</v>
          </cell>
          <cell r="C181">
            <v>0</v>
          </cell>
          <cell r="D181">
            <v>272859.94110595033</v>
          </cell>
          <cell r="E181">
            <v>0</v>
          </cell>
          <cell r="F181">
            <v>0</v>
          </cell>
          <cell r="G181">
            <v>0</v>
          </cell>
          <cell r="H181">
            <v>0</v>
          </cell>
          <cell r="I181">
            <v>0</v>
          </cell>
          <cell r="J181">
            <v>1065759.0576951939</v>
          </cell>
        </row>
        <row r="182">
          <cell r="A182">
            <v>165</v>
          </cell>
          <cell r="B182">
            <v>55305</v>
          </cell>
          <cell r="C182">
            <v>0</v>
          </cell>
          <cell r="D182">
            <v>272859.94110595033</v>
          </cell>
          <cell r="E182">
            <v>0</v>
          </cell>
          <cell r="F182">
            <v>0</v>
          </cell>
          <cell r="G182">
            <v>0</v>
          </cell>
          <cell r="H182">
            <v>0</v>
          </cell>
          <cell r="I182">
            <v>0</v>
          </cell>
          <cell r="J182">
            <v>1065759.0576951939</v>
          </cell>
        </row>
        <row r="183">
          <cell r="A183">
            <v>166</v>
          </cell>
          <cell r="B183">
            <v>55397</v>
          </cell>
          <cell r="C183">
            <v>0</v>
          </cell>
          <cell r="D183">
            <v>272859.94110595033</v>
          </cell>
          <cell r="E183">
            <v>0</v>
          </cell>
          <cell r="F183">
            <v>0</v>
          </cell>
          <cell r="G183">
            <v>0</v>
          </cell>
          <cell r="H183">
            <v>0</v>
          </cell>
          <cell r="I183">
            <v>0</v>
          </cell>
          <cell r="J183">
            <v>1065759.0576951939</v>
          </cell>
        </row>
        <row r="184">
          <cell r="A184">
            <v>167</v>
          </cell>
          <cell r="B184">
            <v>55488</v>
          </cell>
          <cell r="C184">
            <v>0</v>
          </cell>
          <cell r="D184">
            <v>272859.94110595033</v>
          </cell>
          <cell r="E184">
            <v>0</v>
          </cell>
          <cell r="F184">
            <v>0</v>
          </cell>
          <cell r="G184">
            <v>0</v>
          </cell>
          <cell r="H184">
            <v>0</v>
          </cell>
          <cell r="I184">
            <v>0</v>
          </cell>
          <cell r="J184">
            <v>1065759.0576951939</v>
          </cell>
        </row>
        <row r="185">
          <cell r="A185">
            <v>168</v>
          </cell>
          <cell r="B185">
            <v>55579</v>
          </cell>
          <cell r="C185">
            <v>0</v>
          </cell>
          <cell r="D185">
            <v>272859.94110595033</v>
          </cell>
          <cell r="E185">
            <v>0</v>
          </cell>
          <cell r="F185">
            <v>0</v>
          </cell>
          <cell r="G185">
            <v>0</v>
          </cell>
          <cell r="H185">
            <v>0</v>
          </cell>
          <cell r="I185">
            <v>0</v>
          </cell>
          <cell r="J185">
            <v>1065759.0576951939</v>
          </cell>
        </row>
        <row r="186">
          <cell r="A186">
            <v>169</v>
          </cell>
          <cell r="B186">
            <v>55671</v>
          </cell>
          <cell r="C186">
            <v>0</v>
          </cell>
          <cell r="D186">
            <v>272859.94110595033</v>
          </cell>
          <cell r="E186">
            <v>0</v>
          </cell>
          <cell r="F186">
            <v>0</v>
          </cell>
          <cell r="G186">
            <v>0</v>
          </cell>
          <cell r="H186">
            <v>0</v>
          </cell>
          <cell r="I186">
            <v>0</v>
          </cell>
          <cell r="J186">
            <v>1065759.0576951939</v>
          </cell>
        </row>
        <row r="187">
          <cell r="A187">
            <v>170</v>
          </cell>
          <cell r="B187">
            <v>55763</v>
          </cell>
          <cell r="C187">
            <v>0</v>
          </cell>
          <cell r="D187">
            <v>272859.94110595033</v>
          </cell>
          <cell r="E187">
            <v>0</v>
          </cell>
          <cell r="F187">
            <v>0</v>
          </cell>
          <cell r="G187">
            <v>0</v>
          </cell>
          <cell r="H187">
            <v>0</v>
          </cell>
          <cell r="I187">
            <v>0</v>
          </cell>
          <cell r="J187">
            <v>1065759.0576951939</v>
          </cell>
        </row>
        <row r="188">
          <cell r="A188">
            <v>171</v>
          </cell>
          <cell r="B188">
            <v>55854</v>
          </cell>
          <cell r="C188">
            <v>0</v>
          </cell>
          <cell r="D188">
            <v>272859.94110595033</v>
          </cell>
          <cell r="E188">
            <v>0</v>
          </cell>
          <cell r="F188">
            <v>0</v>
          </cell>
          <cell r="G188">
            <v>0</v>
          </cell>
          <cell r="H188">
            <v>0</v>
          </cell>
          <cell r="I188">
            <v>0</v>
          </cell>
          <cell r="J188">
            <v>1065759.0576951939</v>
          </cell>
        </row>
        <row r="189">
          <cell r="A189">
            <v>172</v>
          </cell>
          <cell r="B189">
            <v>55944</v>
          </cell>
          <cell r="C189">
            <v>0</v>
          </cell>
          <cell r="D189">
            <v>272859.94110595033</v>
          </cell>
          <cell r="E189">
            <v>0</v>
          </cell>
          <cell r="F189">
            <v>0</v>
          </cell>
          <cell r="G189">
            <v>0</v>
          </cell>
          <cell r="H189">
            <v>0</v>
          </cell>
          <cell r="I189">
            <v>0</v>
          </cell>
          <cell r="J189">
            <v>1065759.0576951939</v>
          </cell>
        </row>
        <row r="190">
          <cell r="A190">
            <v>173</v>
          </cell>
          <cell r="B190">
            <v>56036</v>
          </cell>
          <cell r="C190">
            <v>0</v>
          </cell>
          <cell r="D190">
            <v>272859.94110595033</v>
          </cell>
          <cell r="E190">
            <v>0</v>
          </cell>
          <cell r="F190">
            <v>0</v>
          </cell>
          <cell r="G190">
            <v>0</v>
          </cell>
          <cell r="H190">
            <v>0</v>
          </cell>
          <cell r="I190">
            <v>0</v>
          </cell>
          <cell r="J190">
            <v>1065759.0576951939</v>
          </cell>
        </row>
        <row r="191">
          <cell r="A191">
            <v>174</v>
          </cell>
          <cell r="B191">
            <v>56128</v>
          </cell>
          <cell r="C191">
            <v>0</v>
          </cell>
          <cell r="D191">
            <v>272859.94110595033</v>
          </cell>
          <cell r="E191">
            <v>0</v>
          </cell>
          <cell r="F191">
            <v>0</v>
          </cell>
          <cell r="G191">
            <v>0</v>
          </cell>
          <cell r="H191">
            <v>0</v>
          </cell>
          <cell r="I191">
            <v>0</v>
          </cell>
          <cell r="J191">
            <v>1065759.0576951939</v>
          </cell>
        </row>
        <row r="192">
          <cell r="A192">
            <v>175</v>
          </cell>
          <cell r="B192">
            <v>56219</v>
          </cell>
          <cell r="C192">
            <v>0</v>
          </cell>
          <cell r="D192">
            <v>272859.94110595033</v>
          </cell>
          <cell r="E192">
            <v>0</v>
          </cell>
          <cell r="F192">
            <v>0</v>
          </cell>
          <cell r="G192">
            <v>0</v>
          </cell>
          <cell r="H192">
            <v>0</v>
          </cell>
          <cell r="I192">
            <v>0</v>
          </cell>
          <cell r="J192">
            <v>1065759.0576951939</v>
          </cell>
        </row>
        <row r="193">
          <cell r="A193">
            <v>176</v>
          </cell>
          <cell r="B193">
            <v>56309</v>
          </cell>
          <cell r="C193">
            <v>0</v>
          </cell>
          <cell r="D193">
            <v>272859.94110595033</v>
          </cell>
          <cell r="E193">
            <v>0</v>
          </cell>
          <cell r="F193">
            <v>0</v>
          </cell>
          <cell r="G193">
            <v>0</v>
          </cell>
          <cell r="H193">
            <v>0</v>
          </cell>
          <cell r="I193">
            <v>0</v>
          </cell>
          <cell r="J193">
            <v>1065759.0576951939</v>
          </cell>
        </row>
        <row r="194">
          <cell r="A194">
            <v>177</v>
          </cell>
          <cell r="B194">
            <v>56401</v>
          </cell>
          <cell r="C194">
            <v>0</v>
          </cell>
          <cell r="D194">
            <v>272859.94110595033</v>
          </cell>
          <cell r="E194">
            <v>0</v>
          </cell>
          <cell r="F194">
            <v>0</v>
          </cell>
          <cell r="G194">
            <v>0</v>
          </cell>
          <cell r="H194">
            <v>0</v>
          </cell>
          <cell r="I194">
            <v>0</v>
          </cell>
          <cell r="J194">
            <v>1065759.0576951939</v>
          </cell>
        </row>
        <row r="195">
          <cell r="A195">
            <v>178</v>
          </cell>
          <cell r="B195">
            <v>56493</v>
          </cell>
          <cell r="C195">
            <v>0</v>
          </cell>
          <cell r="D195">
            <v>272859.94110595033</v>
          </cell>
          <cell r="E195">
            <v>0</v>
          </cell>
          <cell r="F195">
            <v>0</v>
          </cell>
          <cell r="G195">
            <v>0</v>
          </cell>
          <cell r="H195">
            <v>0</v>
          </cell>
          <cell r="I195">
            <v>0</v>
          </cell>
          <cell r="J195">
            <v>1065759.0576951939</v>
          </cell>
        </row>
        <row r="196">
          <cell r="A196">
            <v>179</v>
          </cell>
          <cell r="B196">
            <v>56584</v>
          </cell>
          <cell r="C196">
            <v>0</v>
          </cell>
          <cell r="D196">
            <v>272859.94110595033</v>
          </cell>
          <cell r="E196">
            <v>0</v>
          </cell>
          <cell r="F196">
            <v>0</v>
          </cell>
          <cell r="G196">
            <v>0</v>
          </cell>
          <cell r="H196">
            <v>0</v>
          </cell>
          <cell r="I196">
            <v>0</v>
          </cell>
          <cell r="J196">
            <v>1065759.0576951939</v>
          </cell>
        </row>
        <row r="197">
          <cell r="A197">
            <v>180</v>
          </cell>
          <cell r="B197">
            <v>56674</v>
          </cell>
          <cell r="C197">
            <v>0</v>
          </cell>
          <cell r="D197">
            <v>272859.94110595033</v>
          </cell>
          <cell r="E197">
            <v>0</v>
          </cell>
          <cell r="F197">
            <v>0</v>
          </cell>
          <cell r="G197">
            <v>0</v>
          </cell>
          <cell r="H197">
            <v>0</v>
          </cell>
          <cell r="I197">
            <v>0</v>
          </cell>
          <cell r="J197">
            <v>1065759.0576951939</v>
          </cell>
        </row>
        <row r="198">
          <cell r="A198">
            <v>181</v>
          </cell>
          <cell r="B198">
            <v>56766</v>
          </cell>
          <cell r="C198">
            <v>0</v>
          </cell>
          <cell r="D198">
            <v>272859.94110595033</v>
          </cell>
          <cell r="E198">
            <v>0</v>
          </cell>
          <cell r="F198">
            <v>0</v>
          </cell>
          <cell r="G198">
            <v>0</v>
          </cell>
          <cell r="H198">
            <v>0</v>
          </cell>
          <cell r="I198">
            <v>0</v>
          </cell>
          <cell r="J198">
            <v>1065759.0576951939</v>
          </cell>
        </row>
        <row r="199">
          <cell r="A199">
            <v>182</v>
          </cell>
          <cell r="B199">
            <v>56858</v>
          </cell>
          <cell r="C199">
            <v>0</v>
          </cell>
          <cell r="D199">
            <v>272859.94110595033</v>
          </cell>
          <cell r="E199">
            <v>0</v>
          </cell>
          <cell r="F199">
            <v>0</v>
          </cell>
          <cell r="G199">
            <v>0</v>
          </cell>
          <cell r="H199">
            <v>0</v>
          </cell>
          <cell r="I199">
            <v>0</v>
          </cell>
          <cell r="J199">
            <v>1065759.0576951939</v>
          </cell>
        </row>
        <row r="200">
          <cell r="A200">
            <v>183</v>
          </cell>
          <cell r="B200">
            <v>56949</v>
          </cell>
          <cell r="C200">
            <v>0</v>
          </cell>
          <cell r="D200">
            <v>272859.94110595033</v>
          </cell>
          <cell r="E200">
            <v>0</v>
          </cell>
          <cell r="F200">
            <v>0</v>
          </cell>
          <cell r="G200">
            <v>0</v>
          </cell>
          <cell r="H200">
            <v>0</v>
          </cell>
          <cell r="I200">
            <v>0</v>
          </cell>
          <cell r="J200">
            <v>1065759.0576951939</v>
          </cell>
        </row>
        <row r="201">
          <cell r="A201">
            <v>184</v>
          </cell>
          <cell r="B201">
            <v>57040</v>
          </cell>
          <cell r="C201">
            <v>0</v>
          </cell>
          <cell r="D201">
            <v>272859.94110595033</v>
          </cell>
          <cell r="E201">
            <v>0</v>
          </cell>
          <cell r="F201">
            <v>0</v>
          </cell>
          <cell r="G201">
            <v>0</v>
          </cell>
          <cell r="H201">
            <v>0</v>
          </cell>
          <cell r="I201">
            <v>0</v>
          </cell>
          <cell r="J201">
            <v>1065759.0576951939</v>
          </cell>
        </row>
        <row r="202">
          <cell r="A202">
            <v>185</v>
          </cell>
          <cell r="B202">
            <v>57132</v>
          </cell>
          <cell r="C202">
            <v>0</v>
          </cell>
          <cell r="D202">
            <v>272859.94110595033</v>
          </cell>
          <cell r="E202">
            <v>0</v>
          </cell>
          <cell r="F202">
            <v>0</v>
          </cell>
          <cell r="G202">
            <v>0</v>
          </cell>
          <cell r="H202">
            <v>0</v>
          </cell>
          <cell r="I202">
            <v>0</v>
          </cell>
          <cell r="J202">
            <v>1065759.0576951939</v>
          </cell>
        </row>
        <row r="203">
          <cell r="A203">
            <v>186</v>
          </cell>
          <cell r="B203">
            <v>57224</v>
          </cell>
          <cell r="C203">
            <v>0</v>
          </cell>
          <cell r="D203">
            <v>272859.94110595033</v>
          </cell>
          <cell r="E203">
            <v>0</v>
          </cell>
          <cell r="F203">
            <v>0</v>
          </cell>
          <cell r="G203">
            <v>0</v>
          </cell>
          <cell r="H203">
            <v>0</v>
          </cell>
          <cell r="I203">
            <v>0</v>
          </cell>
          <cell r="J203">
            <v>1065759.0576951939</v>
          </cell>
        </row>
        <row r="204">
          <cell r="A204">
            <v>187</v>
          </cell>
          <cell r="B204">
            <v>57315</v>
          </cell>
          <cell r="C204">
            <v>0</v>
          </cell>
          <cell r="D204">
            <v>272859.94110595033</v>
          </cell>
          <cell r="E204">
            <v>0</v>
          </cell>
          <cell r="F204">
            <v>0</v>
          </cell>
          <cell r="G204">
            <v>0</v>
          </cell>
          <cell r="H204">
            <v>0</v>
          </cell>
          <cell r="I204">
            <v>0</v>
          </cell>
          <cell r="J204">
            <v>1065759.0576951939</v>
          </cell>
        </row>
        <row r="205">
          <cell r="A205">
            <v>188</v>
          </cell>
          <cell r="B205">
            <v>57405</v>
          </cell>
          <cell r="C205">
            <v>0</v>
          </cell>
          <cell r="D205">
            <v>272859.94110595033</v>
          </cell>
          <cell r="E205">
            <v>0</v>
          </cell>
          <cell r="F205">
            <v>0</v>
          </cell>
          <cell r="G205">
            <v>0</v>
          </cell>
          <cell r="H205">
            <v>0</v>
          </cell>
          <cell r="I205">
            <v>0</v>
          </cell>
          <cell r="J205">
            <v>1065759.0576951939</v>
          </cell>
        </row>
        <row r="206">
          <cell r="A206">
            <v>189</v>
          </cell>
          <cell r="B206">
            <v>57497</v>
          </cell>
          <cell r="C206">
            <v>0</v>
          </cell>
          <cell r="D206">
            <v>272859.94110595033</v>
          </cell>
          <cell r="E206">
            <v>0</v>
          </cell>
          <cell r="F206">
            <v>0</v>
          </cell>
          <cell r="G206">
            <v>0</v>
          </cell>
          <cell r="H206">
            <v>0</v>
          </cell>
          <cell r="I206">
            <v>0</v>
          </cell>
          <cell r="J206">
            <v>1065759.0576951939</v>
          </cell>
        </row>
        <row r="207">
          <cell r="A207">
            <v>190</v>
          </cell>
          <cell r="B207">
            <v>57589</v>
          </cell>
          <cell r="C207">
            <v>0</v>
          </cell>
          <cell r="D207">
            <v>272859.94110595033</v>
          </cell>
          <cell r="E207">
            <v>0</v>
          </cell>
          <cell r="F207">
            <v>0</v>
          </cell>
          <cell r="G207">
            <v>0</v>
          </cell>
          <cell r="H207">
            <v>0</v>
          </cell>
          <cell r="I207">
            <v>0</v>
          </cell>
          <cell r="J207">
            <v>1065759.0576951939</v>
          </cell>
        </row>
        <row r="208">
          <cell r="A208">
            <v>191</v>
          </cell>
          <cell r="B208">
            <v>57680</v>
          </cell>
          <cell r="C208">
            <v>0</v>
          </cell>
          <cell r="D208">
            <v>272859.94110595033</v>
          </cell>
          <cell r="E208">
            <v>0</v>
          </cell>
          <cell r="F208">
            <v>0</v>
          </cell>
          <cell r="G208">
            <v>0</v>
          </cell>
          <cell r="H208">
            <v>0</v>
          </cell>
          <cell r="I208">
            <v>0</v>
          </cell>
          <cell r="J208">
            <v>1065759.0576951939</v>
          </cell>
        </row>
        <row r="209">
          <cell r="A209">
            <v>192</v>
          </cell>
          <cell r="B209">
            <v>57770</v>
          </cell>
          <cell r="C209">
            <v>0</v>
          </cell>
          <cell r="D209">
            <v>272859.94110595033</v>
          </cell>
          <cell r="E209">
            <v>0</v>
          </cell>
          <cell r="F209">
            <v>0</v>
          </cell>
          <cell r="G209">
            <v>0</v>
          </cell>
          <cell r="H209">
            <v>0</v>
          </cell>
          <cell r="I209">
            <v>0</v>
          </cell>
          <cell r="J209">
            <v>1065759.0576951939</v>
          </cell>
        </row>
        <row r="210">
          <cell r="A210">
            <v>193</v>
          </cell>
          <cell r="B210">
            <v>57862</v>
          </cell>
          <cell r="C210">
            <v>0</v>
          </cell>
          <cell r="D210">
            <v>272859.94110595033</v>
          </cell>
          <cell r="E210">
            <v>0</v>
          </cell>
          <cell r="F210">
            <v>0</v>
          </cell>
          <cell r="G210">
            <v>0</v>
          </cell>
          <cell r="H210">
            <v>0</v>
          </cell>
          <cell r="I210">
            <v>0</v>
          </cell>
          <cell r="J210">
            <v>1065759.0576951939</v>
          </cell>
        </row>
        <row r="211">
          <cell r="A211">
            <v>194</v>
          </cell>
          <cell r="B211">
            <v>57954</v>
          </cell>
          <cell r="C211">
            <v>0</v>
          </cell>
          <cell r="D211">
            <v>272859.94110595033</v>
          </cell>
          <cell r="E211">
            <v>0</v>
          </cell>
          <cell r="F211">
            <v>0</v>
          </cell>
          <cell r="G211">
            <v>0</v>
          </cell>
          <cell r="H211">
            <v>0</v>
          </cell>
          <cell r="I211">
            <v>0</v>
          </cell>
          <cell r="J211">
            <v>1065759.0576951939</v>
          </cell>
        </row>
        <row r="212">
          <cell r="A212">
            <v>195</v>
          </cell>
          <cell r="B212">
            <v>58045</v>
          </cell>
          <cell r="C212">
            <v>0</v>
          </cell>
          <cell r="D212">
            <v>272859.94110595033</v>
          </cell>
          <cell r="E212">
            <v>0</v>
          </cell>
          <cell r="F212">
            <v>0</v>
          </cell>
          <cell r="G212">
            <v>0</v>
          </cell>
          <cell r="H212">
            <v>0</v>
          </cell>
          <cell r="I212">
            <v>0</v>
          </cell>
          <cell r="J212">
            <v>1065759.0576951939</v>
          </cell>
        </row>
        <row r="213">
          <cell r="A213">
            <v>196</v>
          </cell>
          <cell r="B213">
            <v>58135</v>
          </cell>
          <cell r="C213">
            <v>0</v>
          </cell>
          <cell r="D213">
            <v>272859.94110595033</v>
          </cell>
          <cell r="E213">
            <v>0</v>
          </cell>
          <cell r="F213">
            <v>0</v>
          </cell>
          <cell r="G213">
            <v>0</v>
          </cell>
          <cell r="H213">
            <v>0</v>
          </cell>
          <cell r="I213">
            <v>0</v>
          </cell>
          <cell r="J213">
            <v>1065759.0576951939</v>
          </cell>
        </row>
        <row r="214">
          <cell r="A214">
            <v>197</v>
          </cell>
          <cell r="B214">
            <v>58227</v>
          </cell>
          <cell r="C214">
            <v>0</v>
          </cell>
          <cell r="D214">
            <v>272859.94110595033</v>
          </cell>
          <cell r="E214">
            <v>0</v>
          </cell>
          <cell r="F214">
            <v>0</v>
          </cell>
          <cell r="G214">
            <v>0</v>
          </cell>
          <cell r="H214">
            <v>0</v>
          </cell>
          <cell r="I214">
            <v>0</v>
          </cell>
          <cell r="J214">
            <v>1065759.0576951939</v>
          </cell>
        </row>
        <row r="215">
          <cell r="A215">
            <v>198</v>
          </cell>
          <cell r="B215">
            <v>58319</v>
          </cell>
          <cell r="C215">
            <v>0</v>
          </cell>
          <cell r="D215">
            <v>272859.94110595033</v>
          </cell>
          <cell r="E215">
            <v>0</v>
          </cell>
          <cell r="F215">
            <v>0</v>
          </cell>
          <cell r="G215">
            <v>0</v>
          </cell>
          <cell r="H215">
            <v>0</v>
          </cell>
          <cell r="I215">
            <v>0</v>
          </cell>
          <cell r="J215">
            <v>1065759.0576951939</v>
          </cell>
        </row>
        <row r="216">
          <cell r="A216">
            <v>199</v>
          </cell>
          <cell r="B216">
            <v>58410</v>
          </cell>
          <cell r="C216">
            <v>0</v>
          </cell>
          <cell r="D216">
            <v>272859.94110595033</v>
          </cell>
          <cell r="E216">
            <v>0</v>
          </cell>
          <cell r="F216">
            <v>0</v>
          </cell>
          <cell r="G216">
            <v>0</v>
          </cell>
          <cell r="H216">
            <v>0</v>
          </cell>
          <cell r="I216">
            <v>0</v>
          </cell>
          <cell r="J216">
            <v>1065759.0576951939</v>
          </cell>
        </row>
        <row r="217">
          <cell r="A217">
            <v>200</v>
          </cell>
          <cell r="B217">
            <v>58501</v>
          </cell>
          <cell r="C217">
            <v>0</v>
          </cell>
          <cell r="D217">
            <v>272859.94110595033</v>
          </cell>
          <cell r="E217">
            <v>0</v>
          </cell>
          <cell r="F217">
            <v>0</v>
          </cell>
          <cell r="G217">
            <v>0</v>
          </cell>
          <cell r="H217">
            <v>0</v>
          </cell>
          <cell r="I217">
            <v>0</v>
          </cell>
          <cell r="J217">
            <v>1065759.0576951939</v>
          </cell>
        </row>
        <row r="218">
          <cell r="A218">
            <v>201</v>
          </cell>
          <cell r="B218">
            <v>58593</v>
          </cell>
          <cell r="C218">
            <v>0</v>
          </cell>
          <cell r="D218">
            <v>272859.94110595033</v>
          </cell>
          <cell r="E218">
            <v>0</v>
          </cell>
          <cell r="F218">
            <v>0</v>
          </cell>
          <cell r="G218">
            <v>0</v>
          </cell>
          <cell r="H218">
            <v>0</v>
          </cell>
          <cell r="I218">
            <v>0</v>
          </cell>
          <cell r="J218">
            <v>1065759.0576951939</v>
          </cell>
        </row>
        <row r="219">
          <cell r="A219">
            <v>202</v>
          </cell>
          <cell r="B219">
            <v>58685</v>
          </cell>
          <cell r="C219">
            <v>0</v>
          </cell>
          <cell r="D219">
            <v>272859.94110595033</v>
          </cell>
          <cell r="E219">
            <v>0</v>
          </cell>
          <cell r="F219">
            <v>0</v>
          </cell>
          <cell r="G219">
            <v>0</v>
          </cell>
          <cell r="H219">
            <v>0</v>
          </cell>
          <cell r="I219">
            <v>0</v>
          </cell>
          <cell r="J219">
            <v>1065759.0576951939</v>
          </cell>
        </row>
        <row r="220">
          <cell r="A220">
            <v>203</v>
          </cell>
          <cell r="B220">
            <v>58776</v>
          </cell>
          <cell r="C220">
            <v>0</v>
          </cell>
          <cell r="D220">
            <v>272859.94110595033</v>
          </cell>
          <cell r="E220">
            <v>0</v>
          </cell>
          <cell r="F220">
            <v>0</v>
          </cell>
          <cell r="G220">
            <v>0</v>
          </cell>
          <cell r="H220">
            <v>0</v>
          </cell>
          <cell r="I220">
            <v>0</v>
          </cell>
          <cell r="J220">
            <v>1065759.0576951939</v>
          </cell>
        </row>
        <row r="221">
          <cell r="A221">
            <v>204</v>
          </cell>
          <cell r="B221">
            <v>58866</v>
          </cell>
          <cell r="C221">
            <v>0</v>
          </cell>
          <cell r="D221">
            <v>272859.94110595033</v>
          </cell>
          <cell r="E221">
            <v>0</v>
          </cell>
          <cell r="F221">
            <v>0</v>
          </cell>
          <cell r="G221">
            <v>0</v>
          </cell>
          <cell r="H221">
            <v>0</v>
          </cell>
          <cell r="I221">
            <v>0</v>
          </cell>
          <cell r="J221">
            <v>1065759.0576951939</v>
          </cell>
        </row>
        <row r="222">
          <cell r="A222">
            <v>205</v>
          </cell>
          <cell r="B222">
            <v>58958</v>
          </cell>
          <cell r="C222">
            <v>0</v>
          </cell>
          <cell r="D222">
            <v>272859.94110595033</v>
          </cell>
          <cell r="E222">
            <v>0</v>
          </cell>
          <cell r="F222">
            <v>0</v>
          </cell>
          <cell r="G222">
            <v>0</v>
          </cell>
          <cell r="H222">
            <v>0</v>
          </cell>
          <cell r="I222">
            <v>0</v>
          </cell>
          <cell r="J222">
            <v>1065759.0576951939</v>
          </cell>
        </row>
        <row r="223">
          <cell r="A223">
            <v>206</v>
          </cell>
          <cell r="B223">
            <v>59050</v>
          </cell>
          <cell r="C223">
            <v>0</v>
          </cell>
          <cell r="D223">
            <v>272859.94110595033</v>
          </cell>
          <cell r="E223">
            <v>0</v>
          </cell>
          <cell r="F223">
            <v>0</v>
          </cell>
          <cell r="G223">
            <v>0</v>
          </cell>
          <cell r="H223">
            <v>0</v>
          </cell>
          <cell r="I223">
            <v>0</v>
          </cell>
          <cell r="J223">
            <v>1065759.0576951939</v>
          </cell>
        </row>
        <row r="224">
          <cell r="A224">
            <v>207</v>
          </cell>
          <cell r="B224">
            <v>59141</v>
          </cell>
          <cell r="C224">
            <v>0</v>
          </cell>
          <cell r="D224">
            <v>272859.94110595033</v>
          </cell>
          <cell r="E224">
            <v>0</v>
          </cell>
          <cell r="F224">
            <v>0</v>
          </cell>
          <cell r="G224">
            <v>0</v>
          </cell>
          <cell r="H224">
            <v>0</v>
          </cell>
          <cell r="I224">
            <v>0</v>
          </cell>
          <cell r="J224">
            <v>1065759.0576951939</v>
          </cell>
        </row>
        <row r="225">
          <cell r="A225">
            <v>208</v>
          </cell>
          <cell r="B225">
            <v>59231</v>
          </cell>
          <cell r="C225">
            <v>0</v>
          </cell>
          <cell r="D225">
            <v>272859.94110595033</v>
          </cell>
          <cell r="E225">
            <v>0</v>
          </cell>
          <cell r="F225">
            <v>0</v>
          </cell>
          <cell r="G225">
            <v>0</v>
          </cell>
          <cell r="H225">
            <v>0</v>
          </cell>
          <cell r="I225">
            <v>0</v>
          </cell>
          <cell r="J225">
            <v>1065759.0576951939</v>
          </cell>
        </row>
        <row r="226">
          <cell r="A226">
            <v>209</v>
          </cell>
          <cell r="B226">
            <v>59323</v>
          </cell>
          <cell r="C226">
            <v>0</v>
          </cell>
          <cell r="D226">
            <v>272859.94110595033</v>
          </cell>
          <cell r="E226">
            <v>0</v>
          </cell>
          <cell r="F226">
            <v>0</v>
          </cell>
          <cell r="G226">
            <v>0</v>
          </cell>
          <cell r="H226">
            <v>0</v>
          </cell>
          <cell r="I226">
            <v>0</v>
          </cell>
          <cell r="J226">
            <v>1065759.0576951939</v>
          </cell>
        </row>
        <row r="227">
          <cell r="A227">
            <v>210</v>
          </cell>
          <cell r="B227">
            <v>59415</v>
          </cell>
          <cell r="C227">
            <v>0</v>
          </cell>
          <cell r="D227">
            <v>272859.94110595033</v>
          </cell>
          <cell r="E227">
            <v>0</v>
          </cell>
          <cell r="F227">
            <v>0</v>
          </cell>
          <cell r="G227">
            <v>0</v>
          </cell>
          <cell r="H227">
            <v>0</v>
          </cell>
          <cell r="I227">
            <v>0</v>
          </cell>
          <cell r="J227">
            <v>1065759.0576951939</v>
          </cell>
        </row>
        <row r="228">
          <cell r="A228">
            <v>211</v>
          </cell>
          <cell r="B228">
            <v>59506</v>
          </cell>
          <cell r="C228">
            <v>0</v>
          </cell>
          <cell r="D228">
            <v>272859.94110595033</v>
          </cell>
          <cell r="E228">
            <v>0</v>
          </cell>
          <cell r="F228">
            <v>0</v>
          </cell>
          <cell r="G228">
            <v>0</v>
          </cell>
          <cell r="H228">
            <v>0</v>
          </cell>
          <cell r="I228">
            <v>0</v>
          </cell>
          <cell r="J228">
            <v>1065759.0576951939</v>
          </cell>
        </row>
        <row r="229">
          <cell r="A229">
            <v>212</v>
          </cell>
          <cell r="B229">
            <v>59596</v>
          </cell>
          <cell r="C229">
            <v>0</v>
          </cell>
          <cell r="D229">
            <v>272859.94110595033</v>
          </cell>
          <cell r="E229">
            <v>0</v>
          </cell>
          <cell r="F229">
            <v>0</v>
          </cell>
          <cell r="G229">
            <v>0</v>
          </cell>
          <cell r="H229">
            <v>0</v>
          </cell>
          <cell r="I229">
            <v>0</v>
          </cell>
          <cell r="J229">
            <v>1065759.0576951939</v>
          </cell>
        </row>
        <row r="230">
          <cell r="A230">
            <v>213</v>
          </cell>
          <cell r="B230">
            <v>59688</v>
          </cell>
          <cell r="C230">
            <v>0</v>
          </cell>
          <cell r="D230">
            <v>272859.94110595033</v>
          </cell>
          <cell r="E230">
            <v>0</v>
          </cell>
          <cell r="F230">
            <v>0</v>
          </cell>
          <cell r="G230">
            <v>0</v>
          </cell>
          <cell r="H230">
            <v>0</v>
          </cell>
          <cell r="I230">
            <v>0</v>
          </cell>
          <cell r="J230">
            <v>1065759.0576951939</v>
          </cell>
        </row>
        <row r="231">
          <cell r="A231">
            <v>214</v>
          </cell>
          <cell r="B231">
            <v>59780</v>
          </cell>
          <cell r="C231">
            <v>0</v>
          </cell>
          <cell r="D231">
            <v>272859.94110595033</v>
          </cell>
          <cell r="E231">
            <v>0</v>
          </cell>
          <cell r="F231">
            <v>0</v>
          </cell>
          <cell r="G231">
            <v>0</v>
          </cell>
          <cell r="H231">
            <v>0</v>
          </cell>
          <cell r="I231">
            <v>0</v>
          </cell>
          <cell r="J231">
            <v>1065759.0576951939</v>
          </cell>
        </row>
        <row r="232">
          <cell r="A232">
            <v>215</v>
          </cell>
          <cell r="B232">
            <v>59871</v>
          </cell>
          <cell r="C232">
            <v>0</v>
          </cell>
          <cell r="D232">
            <v>272859.94110595033</v>
          </cell>
          <cell r="E232">
            <v>0</v>
          </cell>
          <cell r="F232">
            <v>0</v>
          </cell>
          <cell r="G232">
            <v>0</v>
          </cell>
          <cell r="H232">
            <v>0</v>
          </cell>
          <cell r="I232">
            <v>0</v>
          </cell>
          <cell r="J232">
            <v>1065759.0576951939</v>
          </cell>
        </row>
        <row r="233">
          <cell r="A233">
            <v>216</v>
          </cell>
          <cell r="B233">
            <v>59962</v>
          </cell>
          <cell r="C233">
            <v>0</v>
          </cell>
          <cell r="D233">
            <v>272859.94110595033</v>
          </cell>
          <cell r="E233">
            <v>0</v>
          </cell>
          <cell r="F233">
            <v>0</v>
          </cell>
          <cell r="G233">
            <v>0</v>
          </cell>
          <cell r="H233">
            <v>0</v>
          </cell>
          <cell r="I233">
            <v>0</v>
          </cell>
          <cell r="J233">
            <v>1065759.0576951939</v>
          </cell>
        </row>
        <row r="234">
          <cell r="A234">
            <v>217</v>
          </cell>
          <cell r="B234">
            <v>60054</v>
          </cell>
          <cell r="C234">
            <v>0</v>
          </cell>
          <cell r="D234">
            <v>272859.94110595033</v>
          </cell>
          <cell r="E234">
            <v>0</v>
          </cell>
          <cell r="F234">
            <v>0</v>
          </cell>
          <cell r="G234">
            <v>0</v>
          </cell>
          <cell r="H234">
            <v>0</v>
          </cell>
          <cell r="I234">
            <v>0</v>
          </cell>
          <cell r="J234">
            <v>1065759.0576951939</v>
          </cell>
        </row>
        <row r="235">
          <cell r="A235">
            <v>218</v>
          </cell>
          <cell r="B235">
            <v>60146</v>
          </cell>
          <cell r="C235">
            <v>0</v>
          </cell>
          <cell r="D235">
            <v>272859.94110595033</v>
          </cell>
          <cell r="E235">
            <v>0</v>
          </cell>
          <cell r="F235">
            <v>0</v>
          </cell>
          <cell r="G235">
            <v>0</v>
          </cell>
          <cell r="H235">
            <v>0</v>
          </cell>
          <cell r="I235">
            <v>0</v>
          </cell>
          <cell r="J235">
            <v>1065759.0576951939</v>
          </cell>
        </row>
        <row r="236">
          <cell r="A236">
            <v>219</v>
          </cell>
          <cell r="B236">
            <v>60237</v>
          </cell>
          <cell r="C236">
            <v>0</v>
          </cell>
          <cell r="D236">
            <v>272859.94110595033</v>
          </cell>
          <cell r="E236">
            <v>0</v>
          </cell>
          <cell r="F236">
            <v>0</v>
          </cell>
          <cell r="G236">
            <v>0</v>
          </cell>
          <cell r="H236">
            <v>0</v>
          </cell>
          <cell r="I236">
            <v>0</v>
          </cell>
          <cell r="J236">
            <v>1065759.0576951939</v>
          </cell>
        </row>
        <row r="237">
          <cell r="A237">
            <v>220</v>
          </cell>
          <cell r="B237">
            <v>60327</v>
          </cell>
          <cell r="C237">
            <v>0</v>
          </cell>
          <cell r="D237">
            <v>272859.94110595033</v>
          </cell>
          <cell r="E237">
            <v>0</v>
          </cell>
          <cell r="F237">
            <v>0</v>
          </cell>
          <cell r="G237">
            <v>0</v>
          </cell>
          <cell r="H237">
            <v>0</v>
          </cell>
          <cell r="I237">
            <v>0</v>
          </cell>
          <cell r="J237">
            <v>1065759.0576951939</v>
          </cell>
        </row>
        <row r="238">
          <cell r="A238">
            <v>221</v>
          </cell>
          <cell r="B238">
            <v>60419</v>
          </cell>
          <cell r="C238">
            <v>0</v>
          </cell>
          <cell r="D238">
            <v>272859.94110595033</v>
          </cell>
          <cell r="E238">
            <v>0</v>
          </cell>
          <cell r="F238">
            <v>0</v>
          </cell>
          <cell r="G238">
            <v>0</v>
          </cell>
          <cell r="H238">
            <v>0</v>
          </cell>
          <cell r="I238">
            <v>0</v>
          </cell>
          <cell r="J238">
            <v>1065759.0576951939</v>
          </cell>
        </row>
        <row r="239">
          <cell r="A239">
            <v>222</v>
          </cell>
          <cell r="B239">
            <v>60511</v>
          </cell>
          <cell r="C239">
            <v>0</v>
          </cell>
          <cell r="D239">
            <v>272859.94110595033</v>
          </cell>
          <cell r="E239">
            <v>0</v>
          </cell>
          <cell r="F239">
            <v>0</v>
          </cell>
          <cell r="G239">
            <v>0</v>
          </cell>
          <cell r="H239">
            <v>0</v>
          </cell>
          <cell r="I239">
            <v>0</v>
          </cell>
          <cell r="J239">
            <v>1065759.0576951939</v>
          </cell>
        </row>
        <row r="240">
          <cell r="A240">
            <v>223</v>
          </cell>
          <cell r="B240">
            <v>60602</v>
          </cell>
          <cell r="C240">
            <v>0</v>
          </cell>
          <cell r="D240">
            <v>272859.94110595033</v>
          </cell>
          <cell r="E240">
            <v>0</v>
          </cell>
          <cell r="F240">
            <v>0</v>
          </cell>
          <cell r="G240">
            <v>0</v>
          </cell>
          <cell r="H240">
            <v>0</v>
          </cell>
          <cell r="I240">
            <v>0</v>
          </cell>
          <cell r="J240">
            <v>1065759.0576951939</v>
          </cell>
        </row>
        <row r="241">
          <cell r="A241">
            <v>224</v>
          </cell>
          <cell r="B241">
            <v>60692</v>
          </cell>
          <cell r="C241">
            <v>0</v>
          </cell>
          <cell r="D241">
            <v>272859.94110595033</v>
          </cell>
          <cell r="E241">
            <v>0</v>
          </cell>
          <cell r="F241">
            <v>0</v>
          </cell>
          <cell r="G241">
            <v>0</v>
          </cell>
          <cell r="H241">
            <v>0</v>
          </cell>
          <cell r="I241">
            <v>0</v>
          </cell>
          <cell r="J241">
            <v>1065759.0576951939</v>
          </cell>
        </row>
        <row r="242">
          <cell r="A242">
            <v>225</v>
          </cell>
          <cell r="B242">
            <v>60784</v>
          </cell>
          <cell r="C242">
            <v>0</v>
          </cell>
          <cell r="D242">
            <v>272859.94110595033</v>
          </cell>
          <cell r="E242">
            <v>0</v>
          </cell>
          <cell r="F242">
            <v>0</v>
          </cell>
          <cell r="G242">
            <v>0</v>
          </cell>
          <cell r="H242">
            <v>0</v>
          </cell>
          <cell r="I242">
            <v>0</v>
          </cell>
          <cell r="J242">
            <v>1065759.0576951939</v>
          </cell>
        </row>
        <row r="243">
          <cell r="A243">
            <v>226</v>
          </cell>
          <cell r="B243">
            <v>60876</v>
          </cell>
          <cell r="C243">
            <v>0</v>
          </cell>
          <cell r="D243">
            <v>272859.94110595033</v>
          </cell>
          <cell r="E243">
            <v>0</v>
          </cell>
          <cell r="F243">
            <v>0</v>
          </cell>
          <cell r="G243">
            <v>0</v>
          </cell>
          <cell r="H243">
            <v>0</v>
          </cell>
          <cell r="I243">
            <v>0</v>
          </cell>
          <cell r="J243">
            <v>1065759.0576951939</v>
          </cell>
        </row>
        <row r="244">
          <cell r="A244">
            <v>227</v>
          </cell>
          <cell r="B244">
            <v>60967</v>
          </cell>
          <cell r="C244">
            <v>0</v>
          </cell>
          <cell r="D244">
            <v>272859.94110595033</v>
          </cell>
          <cell r="E244">
            <v>0</v>
          </cell>
          <cell r="F244">
            <v>0</v>
          </cell>
          <cell r="G244">
            <v>0</v>
          </cell>
          <cell r="H244">
            <v>0</v>
          </cell>
          <cell r="I244">
            <v>0</v>
          </cell>
          <cell r="J244">
            <v>1065759.0576951939</v>
          </cell>
        </row>
        <row r="245">
          <cell r="A245">
            <v>228</v>
          </cell>
          <cell r="B245">
            <v>61057</v>
          </cell>
          <cell r="C245">
            <v>0</v>
          </cell>
          <cell r="D245">
            <v>272859.94110595033</v>
          </cell>
          <cell r="E245">
            <v>0</v>
          </cell>
          <cell r="F245">
            <v>0</v>
          </cell>
          <cell r="G245">
            <v>0</v>
          </cell>
          <cell r="H245">
            <v>0</v>
          </cell>
          <cell r="I245">
            <v>0</v>
          </cell>
          <cell r="J245">
            <v>1065759.0576951939</v>
          </cell>
        </row>
        <row r="246">
          <cell r="A246">
            <v>229</v>
          </cell>
          <cell r="B246">
            <v>61149</v>
          </cell>
          <cell r="C246">
            <v>0</v>
          </cell>
          <cell r="D246">
            <v>272859.94110595033</v>
          </cell>
          <cell r="E246">
            <v>0</v>
          </cell>
          <cell r="F246">
            <v>0</v>
          </cell>
          <cell r="G246">
            <v>0</v>
          </cell>
          <cell r="H246">
            <v>0</v>
          </cell>
          <cell r="I246">
            <v>0</v>
          </cell>
          <cell r="J246">
            <v>1065759.0576951939</v>
          </cell>
        </row>
        <row r="247">
          <cell r="A247">
            <v>230</v>
          </cell>
          <cell r="B247">
            <v>61241</v>
          </cell>
          <cell r="C247">
            <v>0</v>
          </cell>
          <cell r="D247">
            <v>272859.94110595033</v>
          </cell>
          <cell r="E247">
            <v>0</v>
          </cell>
          <cell r="F247">
            <v>0</v>
          </cell>
          <cell r="G247">
            <v>0</v>
          </cell>
          <cell r="H247">
            <v>0</v>
          </cell>
          <cell r="I247">
            <v>0</v>
          </cell>
          <cell r="J247">
            <v>1065759.0576951939</v>
          </cell>
        </row>
        <row r="248">
          <cell r="A248">
            <v>231</v>
          </cell>
          <cell r="B248">
            <v>61332</v>
          </cell>
          <cell r="C248">
            <v>0</v>
          </cell>
          <cell r="D248">
            <v>272859.94110595033</v>
          </cell>
          <cell r="E248">
            <v>0</v>
          </cell>
          <cell r="F248">
            <v>0</v>
          </cell>
          <cell r="G248">
            <v>0</v>
          </cell>
          <cell r="H248">
            <v>0</v>
          </cell>
          <cell r="I248">
            <v>0</v>
          </cell>
          <cell r="J248">
            <v>1065759.0576951939</v>
          </cell>
        </row>
        <row r="249">
          <cell r="A249">
            <v>232</v>
          </cell>
          <cell r="B249">
            <v>61423</v>
          </cell>
          <cell r="C249">
            <v>0</v>
          </cell>
          <cell r="D249">
            <v>272859.94110595033</v>
          </cell>
          <cell r="E249">
            <v>0</v>
          </cell>
          <cell r="F249">
            <v>0</v>
          </cell>
          <cell r="G249">
            <v>0</v>
          </cell>
          <cell r="H249">
            <v>0</v>
          </cell>
          <cell r="I249">
            <v>0</v>
          </cell>
          <cell r="J249">
            <v>1065759.0576951939</v>
          </cell>
        </row>
        <row r="250">
          <cell r="A250">
            <v>233</v>
          </cell>
          <cell r="B250">
            <v>61515</v>
          </cell>
          <cell r="C250">
            <v>0</v>
          </cell>
          <cell r="D250">
            <v>272859.94110595033</v>
          </cell>
          <cell r="E250">
            <v>0</v>
          </cell>
          <cell r="F250">
            <v>0</v>
          </cell>
          <cell r="G250">
            <v>0</v>
          </cell>
          <cell r="H250">
            <v>0</v>
          </cell>
          <cell r="I250">
            <v>0</v>
          </cell>
          <cell r="J250">
            <v>1065759.0576951939</v>
          </cell>
        </row>
        <row r="251">
          <cell r="A251">
            <v>234</v>
          </cell>
          <cell r="B251">
            <v>61607</v>
          </cell>
          <cell r="C251">
            <v>0</v>
          </cell>
          <cell r="D251">
            <v>272859.94110595033</v>
          </cell>
          <cell r="E251">
            <v>0</v>
          </cell>
          <cell r="F251">
            <v>0</v>
          </cell>
          <cell r="G251">
            <v>0</v>
          </cell>
          <cell r="H251">
            <v>0</v>
          </cell>
          <cell r="I251">
            <v>0</v>
          </cell>
          <cell r="J251">
            <v>1065759.0576951939</v>
          </cell>
        </row>
        <row r="252">
          <cell r="A252">
            <v>235</v>
          </cell>
          <cell r="B252">
            <v>61698</v>
          </cell>
          <cell r="C252">
            <v>0</v>
          </cell>
          <cell r="D252">
            <v>272859.94110595033</v>
          </cell>
          <cell r="E252">
            <v>0</v>
          </cell>
          <cell r="F252">
            <v>0</v>
          </cell>
          <cell r="G252">
            <v>0</v>
          </cell>
          <cell r="H252">
            <v>0</v>
          </cell>
          <cell r="I252">
            <v>0</v>
          </cell>
          <cell r="J252">
            <v>1065759.0576951939</v>
          </cell>
        </row>
        <row r="253">
          <cell r="A253">
            <v>236</v>
          </cell>
          <cell r="B253">
            <v>61788</v>
          </cell>
          <cell r="C253">
            <v>0</v>
          </cell>
          <cell r="D253">
            <v>272859.94110595033</v>
          </cell>
          <cell r="E253">
            <v>0</v>
          </cell>
          <cell r="F253">
            <v>0</v>
          </cell>
          <cell r="G253">
            <v>0</v>
          </cell>
          <cell r="H253">
            <v>0</v>
          </cell>
          <cell r="I253">
            <v>0</v>
          </cell>
          <cell r="J253">
            <v>1065759.0576951939</v>
          </cell>
        </row>
        <row r="254">
          <cell r="A254">
            <v>237</v>
          </cell>
          <cell r="B254">
            <v>61880</v>
          </cell>
          <cell r="C254">
            <v>0</v>
          </cell>
          <cell r="D254">
            <v>272859.94110595033</v>
          </cell>
          <cell r="E254">
            <v>0</v>
          </cell>
          <cell r="F254">
            <v>0</v>
          </cell>
          <cell r="G254">
            <v>0</v>
          </cell>
          <cell r="H254">
            <v>0</v>
          </cell>
          <cell r="I254">
            <v>0</v>
          </cell>
          <cell r="J254">
            <v>1065759.0576951939</v>
          </cell>
        </row>
        <row r="255">
          <cell r="A255">
            <v>238</v>
          </cell>
          <cell r="B255">
            <v>61972</v>
          </cell>
          <cell r="C255">
            <v>0</v>
          </cell>
          <cell r="D255">
            <v>272859.94110595033</v>
          </cell>
          <cell r="E255">
            <v>0</v>
          </cell>
          <cell r="F255">
            <v>0</v>
          </cell>
          <cell r="G255">
            <v>0</v>
          </cell>
          <cell r="H255">
            <v>0</v>
          </cell>
          <cell r="I255">
            <v>0</v>
          </cell>
          <cell r="J255">
            <v>1065759.0576951939</v>
          </cell>
        </row>
        <row r="256">
          <cell r="A256">
            <v>239</v>
          </cell>
          <cell r="B256">
            <v>62063</v>
          </cell>
          <cell r="C256">
            <v>0</v>
          </cell>
          <cell r="D256">
            <v>272859.94110595033</v>
          </cell>
          <cell r="E256">
            <v>0</v>
          </cell>
          <cell r="F256">
            <v>0</v>
          </cell>
          <cell r="G256">
            <v>0</v>
          </cell>
          <cell r="H256">
            <v>0</v>
          </cell>
          <cell r="I256">
            <v>0</v>
          </cell>
          <cell r="J256">
            <v>1065759.0576951939</v>
          </cell>
        </row>
        <row r="257">
          <cell r="A257">
            <v>240</v>
          </cell>
          <cell r="B257">
            <v>62153</v>
          </cell>
          <cell r="C257">
            <v>0</v>
          </cell>
          <cell r="D257">
            <v>272859.94110595033</v>
          </cell>
          <cell r="E257">
            <v>0</v>
          </cell>
          <cell r="F257">
            <v>0</v>
          </cell>
          <cell r="G257">
            <v>0</v>
          </cell>
          <cell r="H257">
            <v>0</v>
          </cell>
          <cell r="I257">
            <v>0</v>
          </cell>
          <cell r="J257">
            <v>1065759.0576951939</v>
          </cell>
        </row>
        <row r="258">
          <cell r="A258">
            <v>241</v>
          </cell>
          <cell r="B258">
            <v>62245</v>
          </cell>
          <cell r="C258">
            <v>0</v>
          </cell>
          <cell r="D258">
            <v>272859.94110595033</v>
          </cell>
          <cell r="E258">
            <v>0</v>
          </cell>
          <cell r="F258">
            <v>0</v>
          </cell>
          <cell r="G258">
            <v>0</v>
          </cell>
          <cell r="H258">
            <v>0</v>
          </cell>
          <cell r="I258">
            <v>0</v>
          </cell>
          <cell r="J258">
            <v>1065759.0576951939</v>
          </cell>
        </row>
        <row r="259">
          <cell r="A259">
            <v>242</v>
          </cell>
          <cell r="B259">
            <v>62337</v>
          </cell>
          <cell r="C259">
            <v>0</v>
          </cell>
          <cell r="D259">
            <v>272859.94110595033</v>
          </cell>
          <cell r="E259">
            <v>0</v>
          </cell>
          <cell r="F259">
            <v>0</v>
          </cell>
          <cell r="G259">
            <v>0</v>
          </cell>
          <cell r="H259">
            <v>0</v>
          </cell>
          <cell r="I259">
            <v>0</v>
          </cell>
          <cell r="J259">
            <v>1065759.0576951939</v>
          </cell>
        </row>
        <row r="260">
          <cell r="A260">
            <v>243</v>
          </cell>
          <cell r="B260">
            <v>62428</v>
          </cell>
          <cell r="C260">
            <v>0</v>
          </cell>
          <cell r="D260">
            <v>272859.94110595033</v>
          </cell>
          <cell r="E260">
            <v>0</v>
          </cell>
          <cell r="F260">
            <v>0</v>
          </cell>
          <cell r="G260">
            <v>0</v>
          </cell>
          <cell r="H260">
            <v>0</v>
          </cell>
          <cell r="I260">
            <v>0</v>
          </cell>
          <cell r="J260">
            <v>1065759.0576951939</v>
          </cell>
        </row>
        <row r="261">
          <cell r="A261">
            <v>244</v>
          </cell>
          <cell r="B261">
            <v>62518</v>
          </cell>
          <cell r="C261">
            <v>0</v>
          </cell>
          <cell r="D261">
            <v>272859.94110595033</v>
          </cell>
          <cell r="E261">
            <v>0</v>
          </cell>
          <cell r="F261">
            <v>0</v>
          </cell>
          <cell r="G261">
            <v>0</v>
          </cell>
          <cell r="H261">
            <v>0</v>
          </cell>
          <cell r="I261">
            <v>0</v>
          </cell>
          <cell r="J261">
            <v>1065759.0576951939</v>
          </cell>
        </row>
        <row r="262">
          <cell r="A262">
            <v>245</v>
          </cell>
          <cell r="B262">
            <v>62610</v>
          </cell>
          <cell r="C262">
            <v>0</v>
          </cell>
          <cell r="D262">
            <v>272859.94110595033</v>
          </cell>
          <cell r="E262">
            <v>0</v>
          </cell>
          <cell r="F262">
            <v>0</v>
          </cell>
          <cell r="G262">
            <v>0</v>
          </cell>
          <cell r="H262">
            <v>0</v>
          </cell>
          <cell r="I262">
            <v>0</v>
          </cell>
          <cell r="J262">
            <v>1065759.0576951939</v>
          </cell>
        </row>
        <row r="263">
          <cell r="A263">
            <v>246</v>
          </cell>
          <cell r="B263">
            <v>62702</v>
          </cell>
          <cell r="C263">
            <v>0</v>
          </cell>
          <cell r="D263">
            <v>272859.94110595033</v>
          </cell>
          <cell r="E263">
            <v>0</v>
          </cell>
          <cell r="F263">
            <v>0</v>
          </cell>
          <cell r="G263">
            <v>0</v>
          </cell>
          <cell r="H263">
            <v>0</v>
          </cell>
          <cell r="I263">
            <v>0</v>
          </cell>
          <cell r="J263">
            <v>1065759.0576951939</v>
          </cell>
        </row>
        <row r="264">
          <cell r="A264">
            <v>247</v>
          </cell>
          <cell r="B264">
            <v>62793</v>
          </cell>
          <cell r="C264">
            <v>0</v>
          </cell>
          <cell r="D264">
            <v>272859.94110595033</v>
          </cell>
          <cell r="E264">
            <v>0</v>
          </cell>
          <cell r="F264">
            <v>0</v>
          </cell>
          <cell r="G264">
            <v>0</v>
          </cell>
          <cell r="H264">
            <v>0</v>
          </cell>
          <cell r="I264">
            <v>0</v>
          </cell>
          <cell r="J264">
            <v>1065759.0576951939</v>
          </cell>
        </row>
        <row r="265">
          <cell r="A265">
            <v>248</v>
          </cell>
          <cell r="B265">
            <v>62884</v>
          </cell>
          <cell r="C265">
            <v>0</v>
          </cell>
          <cell r="D265">
            <v>272859.94110595033</v>
          </cell>
          <cell r="E265">
            <v>0</v>
          </cell>
          <cell r="F265">
            <v>0</v>
          </cell>
          <cell r="G265">
            <v>0</v>
          </cell>
          <cell r="H265">
            <v>0</v>
          </cell>
          <cell r="I265">
            <v>0</v>
          </cell>
          <cell r="J265">
            <v>1065759.0576951939</v>
          </cell>
        </row>
        <row r="266">
          <cell r="A266">
            <v>249</v>
          </cell>
          <cell r="B266">
            <v>62976</v>
          </cell>
          <cell r="C266">
            <v>0</v>
          </cell>
          <cell r="D266">
            <v>272859.94110595033</v>
          </cell>
          <cell r="E266">
            <v>0</v>
          </cell>
          <cell r="F266">
            <v>0</v>
          </cell>
          <cell r="G266">
            <v>0</v>
          </cell>
          <cell r="H266">
            <v>0</v>
          </cell>
          <cell r="I266">
            <v>0</v>
          </cell>
          <cell r="J266">
            <v>1065759.0576951939</v>
          </cell>
        </row>
        <row r="267">
          <cell r="A267">
            <v>250</v>
          </cell>
          <cell r="B267">
            <v>63068</v>
          </cell>
          <cell r="C267">
            <v>0</v>
          </cell>
          <cell r="D267">
            <v>272859.94110595033</v>
          </cell>
          <cell r="E267">
            <v>0</v>
          </cell>
          <cell r="F267">
            <v>0</v>
          </cell>
          <cell r="G267">
            <v>0</v>
          </cell>
          <cell r="H267">
            <v>0</v>
          </cell>
          <cell r="I267">
            <v>0</v>
          </cell>
          <cell r="J267">
            <v>1065759.0576951939</v>
          </cell>
        </row>
        <row r="268">
          <cell r="A268">
            <v>251</v>
          </cell>
          <cell r="B268">
            <v>63159</v>
          </cell>
          <cell r="C268">
            <v>0</v>
          </cell>
          <cell r="D268">
            <v>272859.94110595033</v>
          </cell>
          <cell r="E268">
            <v>0</v>
          </cell>
          <cell r="F268">
            <v>0</v>
          </cell>
          <cell r="G268">
            <v>0</v>
          </cell>
          <cell r="H268">
            <v>0</v>
          </cell>
          <cell r="I268">
            <v>0</v>
          </cell>
          <cell r="J268">
            <v>1065759.0576951939</v>
          </cell>
        </row>
        <row r="269">
          <cell r="A269">
            <v>252</v>
          </cell>
          <cell r="B269">
            <v>63249</v>
          </cell>
          <cell r="C269">
            <v>0</v>
          </cell>
          <cell r="D269">
            <v>272859.94110595033</v>
          </cell>
          <cell r="E269">
            <v>0</v>
          </cell>
          <cell r="F269">
            <v>0</v>
          </cell>
          <cell r="G269">
            <v>0</v>
          </cell>
          <cell r="H269">
            <v>0</v>
          </cell>
          <cell r="I269">
            <v>0</v>
          </cell>
          <cell r="J269">
            <v>1065759.0576951939</v>
          </cell>
        </row>
        <row r="270">
          <cell r="A270">
            <v>253</v>
          </cell>
          <cell r="B270">
            <v>63341</v>
          </cell>
          <cell r="C270">
            <v>0</v>
          </cell>
          <cell r="D270">
            <v>272859.94110595033</v>
          </cell>
          <cell r="E270">
            <v>0</v>
          </cell>
          <cell r="F270">
            <v>0</v>
          </cell>
          <cell r="G270">
            <v>0</v>
          </cell>
          <cell r="H270">
            <v>0</v>
          </cell>
          <cell r="I270">
            <v>0</v>
          </cell>
          <cell r="J270">
            <v>1065759.0576951939</v>
          </cell>
        </row>
        <row r="271">
          <cell r="A271">
            <v>254</v>
          </cell>
          <cell r="B271">
            <v>63433</v>
          </cell>
          <cell r="C271">
            <v>0</v>
          </cell>
          <cell r="D271">
            <v>272859.94110595033</v>
          </cell>
          <cell r="E271">
            <v>0</v>
          </cell>
          <cell r="F271">
            <v>0</v>
          </cell>
          <cell r="G271">
            <v>0</v>
          </cell>
          <cell r="H271">
            <v>0</v>
          </cell>
          <cell r="I271">
            <v>0</v>
          </cell>
          <cell r="J271">
            <v>1065759.0576951939</v>
          </cell>
        </row>
        <row r="272">
          <cell r="A272">
            <v>255</v>
          </cell>
          <cell r="B272">
            <v>63524</v>
          </cell>
          <cell r="C272">
            <v>0</v>
          </cell>
          <cell r="D272">
            <v>272859.94110595033</v>
          </cell>
          <cell r="E272">
            <v>0</v>
          </cell>
          <cell r="F272">
            <v>0</v>
          </cell>
          <cell r="G272">
            <v>0</v>
          </cell>
          <cell r="H272">
            <v>0</v>
          </cell>
          <cell r="I272">
            <v>0</v>
          </cell>
          <cell r="J272">
            <v>1065759.0576951939</v>
          </cell>
        </row>
        <row r="273">
          <cell r="A273">
            <v>256</v>
          </cell>
          <cell r="B273">
            <v>63614</v>
          </cell>
          <cell r="C273">
            <v>0</v>
          </cell>
          <cell r="D273">
            <v>272859.94110595033</v>
          </cell>
          <cell r="E273">
            <v>0</v>
          </cell>
          <cell r="F273">
            <v>0</v>
          </cell>
          <cell r="G273">
            <v>0</v>
          </cell>
          <cell r="H273">
            <v>0</v>
          </cell>
          <cell r="I273">
            <v>0</v>
          </cell>
          <cell r="J273">
            <v>1065759.0576951939</v>
          </cell>
        </row>
        <row r="274">
          <cell r="A274">
            <v>257</v>
          </cell>
          <cell r="B274">
            <v>63706</v>
          </cell>
          <cell r="C274">
            <v>0</v>
          </cell>
          <cell r="D274">
            <v>272859.94110595033</v>
          </cell>
          <cell r="E274">
            <v>0</v>
          </cell>
          <cell r="F274">
            <v>0</v>
          </cell>
          <cell r="G274">
            <v>0</v>
          </cell>
          <cell r="H274">
            <v>0</v>
          </cell>
          <cell r="I274">
            <v>0</v>
          </cell>
          <cell r="J274">
            <v>1065759.0576951939</v>
          </cell>
        </row>
        <row r="275">
          <cell r="A275">
            <v>258</v>
          </cell>
          <cell r="B275">
            <v>63798</v>
          </cell>
          <cell r="C275">
            <v>0</v>
          </cell>
          <cell r="D275">
            <v>272859.94110595033</v>
          </cell>
          <cell r="E275">
            <v>0</v>
          </cell>
          <cell r="F275">
            <v>0</v>
          </cell>
          <cell r="G275">
            <v>0</v>
          </cell>
          <cell r="H275">
            <v>0</v>
          </cell>
          <cell r="I275">
            <v>0</v>
          </cell>
          <cell r="J275">
            <v>1065759.0576951939</v>
          </cell>
        </row>
        <row r="276">
          <cell r="A276">
            <v>259</v>
          </cell>
          <cell r="B276">
            <v>63889</v>
          </cell>
          <cell r="C276">
            <v>0</v>
          </cell>
          <cell r="D276">
            <v>272859.94110595033</v>
          </cell>
          <cell r="E276">
            <v>0</v>
          </cell>
          <cell r="F276">
            <v>0</v>
          </cell>
          <cell r="G276">
            <v>0</v>
          </cell>
          <cell r="H276">
            <v>0</v>
          </cell>
          <cell r="I276">
            <v>0</v>
          </cell>
          <cell r="J276">
            <v>1065759.0576951939</v>
          </cell>
        </row>
        <row r="277">
          <cell r="A277">
            <v>260</v>
          </cell>
          <cell r="B277">
            <v>63979</v>
          </cell>
          <cell r="C277">
            <v>0</v>
          </cell>
          <cell r="D277">
            <v>272859.94110595033</v>
          </cell>
          <cell r="E277">
            <v>0</v>
          </cell>
          <cell r="F277">
            <v>0</v>
          </cell>
          <cell r="G277">
            <v>0</v>
          </cell>
          <cell r="H277">
            <v>0</v>
          </cell>
          <cell r="I277">
            <v>0</v>
          </cell>
          <cell r="J277">
            <v>1065759.0576951939</v>
          </cell>
        </row>
        <row r="278">
          <cell r="A278">
            <v>261</v>
          </cell>
          <cell r="B278">
            <v>64071</v>
          </cell>
          <cell r="C278">
            <v>0</v>
          </cell>
          <cell r="D278">
            <v>272859.94110595033</v>
          </cell>
          <cell r="E278">
            <v>0</v>
          </cell>
          <cell r="F278">
            <v>0</v>
          </cell>
          <cell r="G278">
            <v>0</v>
          </cell>
          <cell r="H278">
            <v>0</v>
          </cell>
          <cell r="I278">
            <v>0</v>
          </cell>
          <cell r="J278">
            <v>1065759.0576951939</v>
          </cell>
        </row>
        <row r="279">
          <cell r="A279">
            <v>262</v>
          </cell>
          <cell r="B279">
            <v>64163</v>
          </cell>
          <cell r="C279">
            <v>0</v>
          </cell>
          <cell r="D279">
            <v>272859.94110595033</v>
          </cell>
          <cell r="E279">
            <v>0</v>
          </cell>
          <cell r="F279">
            <v>0</v>
          </cell>
          <cell r="G279">
            <v>0</v>
          </cell>
          <cell r="H279">
            <v>0</v>
          </cell>
          <cell r="I279">
            <v>0</v>
          </cell>
          <cell r="J279">
            <v>1065759.0576951939</v>
          </cell>
        </row>
        <row r="280">
          <cell r="A280">
            <v>263</v>
          </cell>
          <cell r="B280">
            <v>64254</v>
          </cell>
          <cell r="C280">
            <v>0</v>
          </cell>
          <cell r="D280">
            <v>272859.94110595033</v>
          </cell>
          <cell r="E280">
            <v>0</v>
          </cell>
          <cell r="F280">
            <v>0</v>
          </cell>
          <cell r="G280">
            <v>0</v>
          </cell>
          <cell r="H280">
            <v>0</v>
          </cell>
          <cell r="I280">
            <v>0</v>
          </cell>
          <cell r="J280">
            <v>1065759.0576951939</v>
          </cell>
        </row>
        <row r="281">
          <cell r="A281">
            <v>264</v>
          </cell>
          <cell r="B281">
            <v>64345</v>
          </cell>
          <cell r="C281">
            <v>0</v>
          </cell>
          <cell r="D281">
            <v>272859.94110595033</v>
          </cell>
          <cell r="E281">
            <v>0</v>
          </cell>
          <cell r="F281">
            <v>0</v>
          </cell>
          <cell r="G281">
            <v>0</v>
          </cell>
          <cell r="H281">
            <v>0</v>
          </cell>
          <cell r="I281">
            <v>0</v>
          </cell>
          <cell r="J281">
            <v>1065759.0576951939</v>
          </cell>
        </row>
        <row r="282">
          <cell r="A282">
            <v>265</v>
          </cell>
          <cell r="B282">
            <v>64437</v>
          </cell>
          <cell r="C282">
            <v>0</v>
          </cell>
          <cell r="D282">
            <v>272859.94110595033</v>
          </cell>
          <cell r="E282">
            <v>0</v>
          </cell>
          <cell r="F282">
            <v>0</v>
          </cell>
          <cell r="G282">
            <v>0</v>
          </cell>
          <cell r="H282">
            <v>0</v>
          </cell>
          <cell r="I282">
            <v>0</v>
          </cell>
          <cell r="J282">
            <v>1065759.0576951939</v>
          </cell>
        </row>
        <row r="283">
          <cell r="A283">
            <v>266</v>
          </cell>
          <cell r="B283">
            <v>64529</v>
          </cell>
          <cell r="C283">
            <v>0</v>
          </cell>
          <cell r="D283">
            <v>272859.94110595033</v>
          </cell>
          <cell r="E283">
            <v>0</v>
          </cell>
          <cell r="F283">
            <v>0</v>
          </cell>
          <cell r="G283">
            <v>0</v>
          </cell>
          <cell r="H283">
            <v>0</v>
          </cell>
          <cell r="I283">
            <v>0</v>
          </cell>
          <cell r="J283">
            <v>1065759.0576951939</v>
          </cell>
        </row>
        <row r="284">
          <cell r="A284">
            <v>267</v>
          </cell>
          <cell r="B284">
            <v>64620</v>
          </cell>
          <cell r="C284">
            <v>0</v>
          </cell>
          <cell r="D284">
            <v>272859.94110595033</v>
          </cell>
          <cell r="E284">
            <v>0</v>
          </cell>
          <cell r="F284">
            <v>0</v>
          </cell>
          <cell r="G284">
            <v>0</v>
          </cell>
          <cell r="H284">
            <v>0</v>
          </cell>
          <cell r="I284">
            <v>0</v>
          </cell>
          <cell r="J284">
            <v>1065759.0576951939</v>
          </cell>
        </row>
        <row r="285">
          <cell r="A285">
            <v>268</v>
          </cell>
          <cell r="B285">
            <v>64710</v>
          </cell>
          <cell r="C285">
            <v>0</v>
          </cell>
          <cell r="D285">
            <v>272859.94110595033</v>
          </cell>
          <cell r="E285">
            <v>0</v>
          </cell>
          <cell r="F285">
            <v>0</v>
          </cell>
          <cell r="G285">
            <v>0</v>
          </cell>
          <cell r="H285">
            <v>0</v>
          </cell>
          <cell r="I285">
            <v>0</v>
          </cell>
          <cell r="J285">
            <v>1065759.0576951939</v>
          </cell>
        </row>
        <row r="286">
          <cell r="A286">
            <v>269</v>
          </cell>
          <cell r="B286">
            <v>64802</v>
          </cell>
          <cell r="C286">
            <v>0</v>
          </cell>
          <cell r="D286">
            <v>272859.94110595033</v>
          </cell>
          <cell r="E286">
            <v>0</v>
          </cell>
          <cell r="F286">
            <v>0</v>
          </cell>
          <cell r="G286">
            <v>0</v>
          </cell>
          <cell r="H286">
            <v>0</v>
          </cell>
          <cell r="I286">
            <v>0</v>
          </cell>
          <cell r="J286">
            <v>1065759.0576951939</v>
          </cell>
        </row>
        <row r="287">
          <cell r="A287">
            <v>270</v>
          </cell>
          <cell r="B287">
            <v>64894</v>
          </cell>
          <cell r="C287">
            <v>0</v>
          </cell>
          <cell r="D287">
            <v>272859.94110595033</v>
          </cell>
          <cell r="E287">
            <v>0</v>
          </cell>
          <cell r="F287">
            <v>0</v>
          </cell>
          <cell r="G287">
            <v>0</v>
          </cell>
          <cell r="H287">
            <v>0</v>
          </cell>
          <cell r="I287">
            <v>0</v>
          </cell>
          <cell r="J287">
            <v>1065759.0576951939</v>
          </cell>
        </row>
        <row r="288">
          <cell r="A288">
            <v>271</v>
          </cell>
          <cell r="B288">
            <v>64985</v>
          </cell>
          <cell r="C288">
            <v>0</v>
          </cell>
          <cell r="D288">
            <v>272859.94110595033</v>
          </cell>
          <cell r="E288">
            <v>0</v>
          </cell>
          <cell r="F288">
            <v>0</v>
          </cell>
          <cell r="G288">
            <v>0</v>
          </cell>
          <cell r="H288">
            <v>0</v>
          </cell>
          <cell r="I288">
            <v>0</v>
          </cell>
          <cell r="J288">
            <v>1065759.0576951939</v>
          </cell>
        </row>
        <row r="289">
          <cell r="A289">
            <v>272</v>
          </cell>
          <cell r="B289">
            <v>65075</v>
          </cell>
          <cell r="C289">
            <v>0</v>
          </cell>
          <cell r="D289">
            <v>272859.94110595033</v>
          </cell>
          <cell r="E289">
            <v>0</v>
          </cell>
          <cell r="F289">
            <v>0</v>
          </cell>
          <cell r="G289">
            <v>0</v>
          </cell>
          <cell r="H289">
            <v>0</v>
          </cell>
          <cell r="I289">
            <v>0</v>
          </cell>
          <cell r="J289">
            <v>1065759.0576951939</v>
          </cell>
        </row>
        <row r="290">
          <cell r="A290">
            <v>273</v>
          </cell>
          <cell r="B290">
            <v>65167</v>
          </cell>
          <cell r="C290">
            <v>0</v>
          </cell>
          <cell r="D290">
            <v>272859.94110595033</v>
          </cell>
          <cell r="E290">
            <v>0</v>
          </cell>
          <cell r="F290">
            <v>0</v>
          </cell>
          <cell r="G290">
            <v>0</v>
          </cell>
          <cell r="H290">
            <v>0</v>
          </cell>
          <cell r="I290">
            <v>0</v>
          </cell>
          <cell r="J290">
            <v>1065759.0576951939</v>
          </cell>
        </row>
        <row r="291">
          <cell r="A291">
            <v>274</v>
          </cell>
          <cell r="B291">
            <v>65259</v>
          </cell>
          <cell r="C291">
            <v>0</v>
          </cell>
          <cell r="D291">
            <v>272859.94110595033</v>
          </cell>
          <cell r="E291">
            <v>0</v>
          </cell>
          <cell r="F291">
            <v>0</v>
          </cell>
          <cell r="G291">
            <v>0</v>
          </cell>
          <cell r="H291">
            <v>0</v>
          </cell>
          <cell r="I291">
            <v>0</v>
          </cell>
          <cell r="J291">
            <v>1065759.0576951939</v>
          </cell>
        </row>
        <row r="292">
          <cell r="A292">
            <v>275</v>
          </cell>
          <cell r="B292">
            <v>65350</v>
          </cell>
          <cell r="C292">
            <v>0</v>
          </cell>
          <cell r="D292">
            <v>272859.94110595033</v>
          </cell>
          <cell r="E292">
            <v>0</v>
          </cell>
          <cell r="F292">
            <v>0</v>
          </cell>
          <cell r="G292">
            <v>0</v>
          </cell>
          <cell r="H292">
            <v>0</v>
          </cell>
          <cell r="I292">
            <v>0</v>
          </cell>
          <cell r="J292">
            <v>1065759.0576951939</v>
          </cell>
        </row>
        <row r="293">
          <cell r="A293">
            <v>276</v>
          </cell>
          <cell r="B293">
            <v>65440</v>
          </cell>
          <cell r="C293">
            <v>0</v>
          </cell>
          <cell r="D293">
            <v>272859.94110595033</v>
          </cell>
          <cell r="E293">
            <v>0</v>
          </cell>
          <cell r="F293">
            <v>0</v>
          </cell>
          <cell r="G293">
            <v>0</v>
          </cell>
          <cell r="H293">
            <v>0</v>
          </cell>
          <cell r="I293">
            <v>0</v>
          </cell>
          <cell r="J293">
            <v>1065759.0576951939</v>
          </cell>
        </row>
        <row r="294">
          <cell r="A294">
            <v>277</v>
          </cell>
          <cell r="B294">
            <v>65532</v>
          </cell>
          <cell r="C294">
            <v>0</v>
          </cell>
          <cell r="D294">
            <v>272859.94110595033</v>
          </cell>
          <cell r="E294">
            <v>0</v>
          </cell>
          <cell r="F294">
            <v>0</v>
          </cell>
          <cell r="G294">
            <v>0</v>
          </cell>
          <cell r="H294">
            <v>0</v>
          </cell>
          <cell r="I294">
            <v>0</v>
          </cell>
          <cell r="J294">
            <v>1065759.0576951939</v>
          </cell>
        </row>
        <row r="295">
          <cell r="A295">
            <v>278</v>
          </cell>
          <cell r="B295">
            <v>65624</v>
          </cell>
          <cell r="C295">
            <v>0</v>
          </cell>
          <cell r="D295">
            <v>272859.94110595033</v>
          </cell>
          <cell r="E295">
            <v>0</v>
          </cell>
          <cell r="F295">
            <v>0</v>
          </cell>
          <cell r="G295">
            <v>0</v>
          </cell>
          <cell r="H295">
            <v>0</v>
          </cell>
          <cell r="I295">
            <v>0</v>
          </cell>
          <cell r="J295">
            <v>1065759.0576951939</v>
          </cell>
        </row>
        <row r="296">
          <cell r="A296">
            <v>279</v>
          </cell>
          <cell r="B296">
            <v>65715</v>
          </cell>
          <cell r="C296">
            <v>0</v>
          </cell>
          <cell r="D296">
            <v>272859.94110595033</v>
          </cell>
          <cell r="E296">
            <v>0</v>
          </cell>
          <cell r="F296">
            <v>0</v>
          </cell>
          <cell r="G296">
            <v>0</v>
          </cell>
          <cell r="H296">
            <v>0</v>
          </cell>
          <cell r="I296">
            <v>0</v>
          </cell>
          <cell r="J296">
            <v>1065759.0576951939</v>
          </cell>
        </row>
        <row r="297">
          <cell r="A297">
            <v>280</v>
          </cell>
          <cell r="B297">
            <v>65806</v>
          </cell>
          <cell r="C297">
            <v>0</v>
          </cell>
          <cell r="D297">
            <v>272859.94110595033</v>
          </cell>
          <cell r="E297">
            <v>0</v>
          </cell>
          <cell r="F297">
            <v>0</v>
          </cell>
          <cell r="G297">
            <v>0</v>
          </cell>
          <cell r="H297">
            <v>0</v>
          </cell>
          <cell r="I297">
            <v>0</v>
          </cell>
          <cell r="J297">
            <v>1065759.0576951939</v>
          </cell>
        </row>
        <row r="298">
          <cell r="A298">
            <v>281</v>
          </cell>
          <cell r="B298">
            <v>65898</v>
          </cell>
          <cell r="C298">
            <v>0</v>
          </cell>
          <cell r="D298">
            <v>272859.94110595033</v>
          </cell>
          <cell r="E298">
            <v>0</v>
          </cell>
          <cell r="F298">
            <v>0</v>
          </cell>
          <cell r="G298">
            <v>0</v>
          </cell>
          <cell r="H298">
            <v>0</v>
          </cell>
          <cell r="I298">
            <v>0</v>
          </cell>
          <cell r="J298">
            <v>1065759.0576951939</v>
          </cell>
        </row>
        <row r="299">
          <cell r="A299">
            <v>282</v>
          </cell>
          <cell r="B299">
            <v>65990</v>
          </cell>
          <cell r="C299">
            <v>0</v>
          </cell>
          <cell r="D299">
            <v>272859.94110595033</v>
          </cell>
          <cell r="E299">
            <v>0</v>
          </cell>
          <cell r="F299">
            <v>0</v>
          </cell>
          <cell r="G299">
            <v>0</v>
          </cell>
          <cell r="H299">
            <v>0</v>
          </cell>
          <cell r="I299">
            <v>0</v>
          </cell>
          <cell r="J299">
            <v>1065759.0576951939</v>
          </cell>
        </row>
        <row r="300">
          <cell r="A300">
            <v>283</v>
          </cell>
          <cell r="B300">
            <v>66081</v>
          </cell>
          <cell r="C300">
            <v>0</v>
          </cell>
          <cell r="D300">
            <v>272859.94110595033</v>
          </cell>
          <cell r="E300">
            <v>0</v>
          </cell>
          <cell r="F300">
            <v>0</v>
          </cell>
          <cell r="G300">
            <v>0</v>
          </cell>
          <cell r="H300">
            <v>0</v>
          </cell>
          <cell r="I300">
            <v>0</v>
          </cell>
          <cell r="J300">
            <v>1065759.0576951939</v>
          </cell>
        </row>
        <row r="301">
          <cell r="A301">
            <v>284</v>
          </cell>
          <cell r="B301">
            <v>66171</v>
          </cell>
          <cell r="C301">
            <v>0</v>
          </cell>
          <cell r="D301">
            <v>272859.94110595033</v>
          </cell>
          <cell r="E301">
            <v>0</v>
          </cell>
          <cell r="F301">
            <v>0</v>
          </cell>
          <cell r="G301">
            <v>0</v>
          </cell>
          <cell r="H301">
            <v>0</v>
          </cell>
          <cell r="I301">
            <v>0</v>
          </cell>
          <cell r="J301">
            <v>1065759.0576951939</v>
          </cell>
        </row>
        <row r="302">
          <cell r="A302">
            <v>285</v>
          </cell>
          <cell r="B302">
            <v>66263</v>
          </cell>
          <cell r="C302">
            <v>0</v>
          </cell>
          <cell r="D302">
            <v>272859.94110595033</v>
          </cell>
          <cell r="E302">
            <v>0</v>
          </cell>
          <cell r="F302">
            <v>0</v>
          </cell>
          <cell r="G302">
            <v>0</v>
          </cell>
          <cell r="H302">
            <v>0</v>
          </cell>
          <cell r="I302">
            <v>0</v>
          </cell>
          <cell r="J302">
            <v>1065759.0576951939</v>
          </cell>
        </row>
        <row r="303">
          <cell r="A303">
            <v>286</v>
          </cell>
          <cell r="B303">
            <v>66355</v>
          </cell>
          <cell r="C303">
            <v>0</v>
          </cell>
          <cell r="D303">
            <v>272859.94110595033</v>
          </cell>
          <cell r="E303">
            <v>0</v>
          </cell>
          <cell r="F303">
            <v>0</v>
          </cell>
          <cell r="G303">
            <v>0</v>
          </cell>
          <cell r="H303">
            <v>0</v>
          </cell>
          <cell r="I303">
            <v>0</v>
          </cell>
          <cell r="J303">
            <v>1065759.0576951939</v>
          </cell>
        </row>
        <row r="304">
          <cell r="A304">
            <v>287</v>
          </cell>
          <cell r="B304">
            <v>66446</v>
          </cell>
          <cell r="C304">
            <v>0</v>
          </cell>
          <cell r="D304">
            <v>272859.94110595033</v>
          </cell>
          <cell r="E304">
            <v>0</v>
          </cell>
          <cell r="F304">
            <v>0</v>
          </cell>
          <cell r="G304">
            <v>0</v>
          </cell>
          <cell r="H304">
            <v>0</v>
          </cell>
          <cell r="I304">
            <v>0</v>
          </cell>
          <cell r="J304">
            <v>1065759.0576951939</v>
          </cell>
        </row>
        <row r="305">
          <cell r="A305">
            <v>288</v>
          </cell>
          <cell r="B305">
            <v>66536</v>
          </cell>
          <cell r="C305">
            <v>0</v>
          </cell>
          <cell r="D305">
            <v>272859.94110595033</v>
          </cell>
          <cell r="E305">
            <v>0</v>
          </cell>
          <cell r="F305">
            <v>0</v>
          </cell>
          <cell r="G305">
            <v>0</v>
          </cell>
          <cell r="H305">
            <v>0</v>
          </cell>
          <cell r="I305">
            <v>0</v>
          </cell>
          <cell r="J305">
            <v>1065759.0576951939</v>
          </cell>
        </row>
        <row r="306">
          <cell r="A306">
            <v>289</v>
          </cell>
          <cell r="B306">
            <v>66628</v>
          </cell>
          <cell r="C306">
            <v>0</v>
          </cell>
          <cell r="D306">
            <v>272859.94110595033</v>
          </cell>
          <cell r="E306">
            <v>0</v>
          </cell>
          <cell r="F306">
            <v>0</v>
          </cell>
          <cell r="G306">
            <v>0</v>
          </cell>
          <cell r="H306">
            <v>0</v>
          </cell>
          <cell r="I306">
            <v>0</v>
          </cell>
          <cell r="J306">
            <v>1065759.0576951939</v>
          </cell>
        </row>
        <row r="307">
          <cell r="A307">
            <v>290</v>
          </cell>
          <cell r="B307">
            <v>66720</v>
          </cell>
          <cell r="C307">
            <v>0</v>
          </cell>
          <cell r="D307">
            <v>272859.94110595033</v>
          </cell>
          <cell r="E307">
            <v>0</v>
          </cell>
          <cell r="F307">
            <v>0</v>
          </cell>
          <cell r="G307">
            <v>0</v>
          </cell>
          <cell r="H307">
            <v>0</v>
          </cell>
          <cell r="I307">
            <v>0</v>
          </cell>
          <cell r="J307">
            <v>1065759.0576951939</v>
          </cell>
        </row>
        <row r="308">
          <cell r="A308">
            <v>291</v>
          </cell>
          <cell r="B308">
            <v>66811</v>
          </cell>
          <cell r="C308">
            <v>0</v>
          </cell>
          <cell r="D308">
            <v>272859.94110595033</v>
          </cell>
          <cell r="E308">
            <v>0</v>
          </cell>
          <cell r="F308">
            <v>0</v>
          </cell>
          <cell r="G308">
            <v>0</v>
          </cell>
          <cell r="H308">
            <v>0</v>
          </cell>
          <cell r="I308">
            <v>0</v>
          </cell>
          <cell r="J308">
            <v>1065759.0576951939</v>
          </cell>
        </row>
        <row r="309">
          <cell r="A309">
            <v>292</v>
          </cell>
          <cell r="B309">
            <v>66901</v>
          </cell>
          <cell r="C309">
            <v>0</v>
          </cell>
          <cell r="D309">
            <v>272859.94110595033</v>
          </cell>
          <cell r="E309">
            <v>0</v>
          </cell>
          <cell r="F309">
            <v>0</v>
          </cell>
          <cell r="G309">
            <v>0</v>
          </cell>
          <cell r="H309">
            <v>0</v>
          </cell>
          <cell r="I309">
            <v>0</v>
          </cell>
          <cell r="J309">
            <v>1065759.0576951939</v>
          </cell>
        </row>
        <row r="310">
          <cell r="A310">
            <v>293</v>
          </cell>
          <cell r="B310">
            <v>66993</v>
          </cell>
          <cell r="C310">
            <v>0</v>
          </cell>
          <cell r="D310">
            <v>272859.94110595033</v>
          </cell>
          <cell r="E310">
            <v>0</v>
          </cell>
          <cell r="F310">
            <v>0</v>
          </cell>
          <cell r="G310">
            <v>0</v>
          </cell>
          <cell r="H310">
            <v>0</v>
          </cell>
          <cell r="I310">
            <v>0</v>
          </cell>
          <cell r="J310">
            <v>1065759.0576951939</v>
          </cell>
        </row>
        <row r="311">
          <cell r="A311">
            <v>294</v>
          </cell>
          <cell r="B311">
            <v>67085</v>
          </cell>
          <cell r="C311">
            <v>0</v>
          </cell>
          <cell r="D311">
            <v>272859.94110595033</v>
          </cell>
          <cell r="E311">
            <v>0</v>
          </cell>
          <cell r="F311">
            <v>0</v>
          </cell>
          <cell r="G311">
            <v>0</v>
          </cell>
          <cell r="H311">
            <v>0</v>
          </cell>
          <cell r="I311">
            <v>0</v>
          </cell>
          <cell r="J311">
            <v>1065759.0576951939</v>
          </cell>
        </row>
        <row r="312">
          <cell r="A312">
            <v>295</v>
          </cell>
          <cell r="B312">
            <v>67176</v>
          </cell>
          <cell r="C312">
            <v>0</v>
          </cell>
          <cell r="D312">
            <v>272859.94110595033</v>
          </cell>
          <cell r="E312">
            <v>0</v>
          </cell>
          <cell r="F312">
            <v>0</v>
          </cell>
          <cell r="G312">
            <v>0</v>
          </cell>
          <cell r="H312">
            <v>0</v>
          </cell>
          <cell r="I312">
            <v>0</v>
          </cell>
          <cell r="J312">
            <v>1065759.0576951939</v>
          </cell>
        </row>
        <row r="313">
          <cell r="A313">
            <v>296</v>
          </cell>
          <cell r="B313">
            <v>67267</v>
          </cell>
          <cell r="C313">
            <v>0</v>
          </cell>
          <cell r="D313">
            <v>272859.94110595033</v>
          </cell>
          <cell r="E313">
            <v>0</v>
          </cell>
          <cell r="F313">
            <v>0</v>
          </cell>
          <cell r="G313">
            <v>0</v>
          </cell>
          <cell r="H313">
            <v>0</v>
          </cell>
          <cell r="I313">
            <v>0</v>
          </cell>
          <cell r="J313">
            <v>1065759.0576951939</v>
          </cell>
        </row>
        <row r="314">
          <cell r="A314">
            <v>297</v>
          </cell>
          <cell r="B314">
            <v>67359</v>
          </cell>
          <cell r="C314">
            <v>0</v>
          </cell>
          <cell r="D314">
            <v>272859.94110595033</v>
          </cell>
          <cell r="E314">
            <v>0</v>
          </cell>
          <cell r="F314">
            <v>0</v>
          </cell>
          <cell r="G314">
            <v>0</v>
          </cell>
          <cell r="H314">
            <v>0</v>
          </cell>
          <cell r="I314">
            <v>0</v>
          </cell>
          <cell r="J314">
            <v>1065759.0576951939</v>
          </cell>
        </row>
        <row r="315">
          <cell r="A315">
            <v>298</v>
          </cell>
          <cell r="B315">
            <v>67451</v>
          </cell>
          <cell r="C315">
            <v>0</v>
          </cell>
          <cell r="D315">
            <v>272859.94110595033</v>
          </cell>
          <cell r="E315">
            <v>0</v>
          </cell>
          <cell r="F315">
            <v>0</v>
          </cell>
          <cell r="G315">
            <v>0</v>
          </cell>
          <cell r="H315">
            <v>0</v>
          </cell>
          <cell r="I315">
            <v>0</v>
          </cell>
          <cell r="J315">
            <v>1065759.0576951939</v>
          </cell>
        </row>
        <row r="316">
          <cell r="A316">
            <v>299</v>
          </cell>
          <cell r="B316">
            <v>67542</v>
          </cell>
          <cell r="C316">
            <v>0</v>
          </cell>
          <cell r="D316">
            <v>272859.94110595033</v>
          </cell>
          <cell r="E316">
            <v>0</v>
          </cell>
          <cell r="F316">
            <v>0</v>
          </cell>
          <cell r="G316">
            <v>0</v>
          </cell>
          <cell r="H316">
            <v>0</v>
          </cell>
          <cell r="I316">
            <v>0</v>
          </cell>
          <cell r="J316">
            <v>1065759.0576951939</v>
          </cell>
        </row>
        <row r="317">
          <cell r="A317">
            <v>300</v>
          </cell>
          <cell r="B317">
            <v>67632</v>
          </cell>
          <cell r="C317">
            <v>0</v>
          </cell>
          <cell r="D317">
            <v>272859.94110595033</v>
          </cell>
          <cell r="E317">
            <v>0</v>
          </cell>
          <cell r="F317">
            <v>0</v>
          </cell>
          <cell r="G317">
            <v>0</v>
          </cell>
          <cell r="H317">
            <v>0</v>
          </cell>
          <cell r="I317">
            <v>0</v>
          </cell>
          <cell r="J317">
            <v>1065759.0576951939</v>
          </cell>
        </row>
        <row r="318">
          <cell r="A318">
            <v>301</v>
          </cell>
          <cell r="B318">
            <v>67724</v>
          </cell>
          <cell r="C318">
            <v>0</v>
          </cell>
          <cell r="D318">
            <v>272859.94110595033</v>
          </cell>
          <cell r="E318">
            <v>0</v>
          </cell>
          <cell r="F318">
            <v>0</v>
          </cell>
          <cell r="G318">
            <v>0</v>
          </cell>
          <cell r="H318">
            <v>0</v>
          </cell>
          <cell r="I318">
            <v>0</v>
          </cell>
          <cell r="J318">
            <v>1065759.0576951939</v>
          </cell>
        </row>
        <row r="319">
          <cell r="A319">
            <v>302</v>
          </cell>
          <cell r="B319">
            <v>67816</v>
          </cell>
          <cell r="C319">
            <v>0</v>
          </cell>
          <cell r="D319">
            <v>272859.94110595033</v>
          </cell>
          <cell r="E319">
            <v>0</v>
          </cell>
          <cell r="F319">
            <v>0</v>
          </cell>
          <cell r="G319">
            <v>0</v>
          </cell>
          <cell r="H319">
            <v>0</v>
          </cell>
          <cell r="I319">
            <v>0</v>
          </cell>
          <cell r="J319">
            <v>1065759.0576951939</v>
          </cell>
        </row>
        <row r="320">
          <cell r="A320">
            <v>303</v>
          </cell>
          <cell r="B320">
            <v>67907</v>
          </cell>
          <cell r="C320">
            <v>0</v>
          </cell>
          <cell r="D320">
            <v>272859.94110595033</v>
          </cell>
          <cell r="E320">
            <v>0</v>
          </cell>
          <cell r="F320">
            <v>0</v>
          </cell>
          <cell r="G320">
            <v>0</v>
          </cell>
          <cell r="H320">
            <v>0</v>
          </cell>
          <cell r="I320">
            <v>0</v>
          </cell>
          <cell r="J320">
            <v>1065759.0576951939</v>
          </cell>
        </row>
        <row r="321">
          <cell r="A321">
            <v>304</v>
          </cell>
          <cell r="B321">
            <v>67997</v>
          </cell>
          <cell r="C321">
            <v>0</v>
          </cell>
          <cell r="D321">
            <v>272859.94110595033</v>
          </cell>
          <cell r="E321">
            <v>0</v>
          </cell>
          <cell r="F321">
            <v>0</v>
          </cell>
          <cell r="G321">
            <v>0</v>
          </cell>
          <cell r="H321">
            <v>0</v>
          </cell>
          <cell r="I321">
            <v>0</v>
          </cell>
          <cell r="J321">
            <v>1065759.0576951939</v>
          </cell>
        </row>
        <row r="322">
          <cell r="A322">
            <v>305</v>
          </cell>
          <cell r="B322">
            <v>68089</v>
          </cell>
          <cell r="C322">
            <v>0</v>
          </cell>
          <cell r="D322">
            <v>272859.94110595033</v>
          </cell>
          <cell r="E322">
            <v>0</v>
          </cell>
          <cell r="F322">
            <v>0</v>
          </cell>
          <cell r="G322">
            <v>0</v>
          </cell>
          <cell r="H322">
            <v>0</v>
          </cell>
          <cell r="I322">
            <v>0</v>
          </cell>
          <cell r="J322">
            <v>1065759.0576951939</v>
          </cell>
        </row>
        <row r="323">
          <cell r="A323">
            <v>306</v>
          </cell>
          <cell r="B323">
            <v>68181</v>
          </cell>
          <cell r="C323">
            <v>0</v>
          </cell>
          <cell r="D323">
            <v>272859.94110595033</v>
          </cell>
          <cell r="E323">
            <v>0</v>
          </cell>
          <cell r="F323">
            <v>0</v>
          </cell>
          <cell r="G323">
            <v>0</v>
          </cell>
          <cell r="H323">
            <v>0</v>
          </cell>
          <cell r="I323">
            <v>0</v>
          </cell>
          <cell r="J323">
            <v>1065759.0576951939</v>
          </cell>
        </row>
        <row r="324">
          <cell r="A324">
            <v>307</v>
          </cell>
          <cell r="B324">
            <v>68272</v>
          </cell>
          <cell r="C324">
            <v>0</v>
          </cell>
          <cell r="D324">
            <v>272859.94110595033</v>
          </cell>
          <cell r="E324">
            <v>0</v>
          </cell>
          <cell r="F324">
            <v>0</v>
          </cell>
          <cell r="G324">
            <v>0</v>
          </cell>
          <cell r="H324">
            <v>0</v>
          </cell>
          <cell r="I324">
            <v>0</v>
          </cell>
          <cell r="J324">
            <v>1065759.0576951939</v>
          </cell>
        </row>
        <row r="325">
          <cell r="A325">
            <v>308</v>
          </cell>
          <cell r="B325">
            <v>68362</v>
          </cell>
          <cell r="C325">
            <v>0</v>
          </cell>
          <cell r="D325">
            <v>272859.94110595033</v>
          </cell>
          <cell r="E325">
            <v>0</v>
          </cell>
          <cell r="F325">
            <v>0</v>
          </cell>
          <cell r="G325">
            <v>0</v>
          </cell>
          <cell r="H325">
            <v>0</v>
          </cell>
          <cell r="I325">
            <v>0</v>
          </cell>
          <cell r="J325">
            <v>1065759.0576951939</v>
          </cell>
        </row>
        <row r="326">
          <cell r="A326">
            <v>309</v>
          </cell>
          <cell r="B326">
            <v>68454</v>
          </cell>
          <cell r="C326">
            <v>0</v>
          </cell>
          <cell r="D326">
            <v>272859.94110595033</v>
          </cell>
          <cell r="E326">
            <v>0</v>
          </cell>
          <cell r="F326">
            <v>0</v>
          </cell>
          <cell r="G326">
            <v>0</v>
          </cell>
          <cell r="H326">
            <v>0</v>
          </cell>
          <cell r="I326">
            <v>0</v>
          </cell>
          <cell r="J326">
            <v>1065759.0576951939</v>
          </cell>
        </row>
        <row r="327">
          <cell r="A327">
            <v>310</v>
          </cell>
          <cell r="B327">
            <v>68546</v>
          </cell>
          <cell r="C327">
            <v>0</v>
          </cell>
          <cell r="D327">
            <v>272859.94110595033</v>
          </cell>
          <cell r="E327">
            <v>0</v>
          </cell>
          <cell r="F327">
            <v>0</v>
          </cell>
          <cell r="G327">
            <v>0</v>
          </cell>
          <cell r="H327">
            <v>0</v>
          </cell>
          <cell r="I327">
            <v>0</v>
          </cell>
          <cell r="J327">
            <v>1065759.0576951939</v>
          </cell>
        </row>
        <row r="328">
          <cell r="A328">
            <v>311</v>
          </cell>
          <cell r="B328">
            <v>68637</v>
          </cell>
          <cell r="C328">
            <v>0</v>
          </cell>
          <cell r="D328">
            <v>272859.94110595033</v>
          </cell>
          <cell r="E328">
            <v>0</v>
          </cell>
          <cell r="F328">
            <v>0</v>
          </cell>
          <cell r="G328">
            <v>0</v>
          </cell>
          <cell r="H328">
            <v>0</v>
          </cell>
          <cell r="I328">
            <v>0</v>
          </cell>
          <cell r="J328">
            <v>1065759.0576951939</v>
          </cell>
        </row>
        <row r="329">
          <cell r="A329">
            <v>312</v>
          </cell>
          <cell r="B329">
            <v>68728</v>
          </cell>
          <cell r="C329">
            <v>0</v>
          </cell>
          <cell r="D329">
            <v>272859.94110595033</v>
          </cell>
          <cell r="E329">
            <v>0</v>
          </cell>
          <cell r="F329">
            <v>0</v>
          </cell>
          <cell r="G329">
            <v>0</v>
          </cell>
          <cell r="H329">
            <v>0</v>
          </cell>
          <cell r="I329">
            <v>0</v>
          </cell>
          <cell r="J329">
            <v>1065759.0576951939</v>
          </cell>
        </row>
        <row r="330">
          <cell r="A330">
            <v>313</v>
          </cell>
          <cell r="B330">
            <v>68820</v>
          </cell>
          <cell r="C330">
            <v>0</v>
          </cell>
          <cell r="D330">
            <v>272859.94110595033</v>
          </cell>
          <cell r="E330">
            <v>0</v>
          </cell>
          <cell r="F330">
            <v>0</v>
          </cell>
          <cell r="G330">
            <v>0</v>
          </cell>
          <cell r="H330">
            <v>0</v>
          </cell>
          <cell r="I330">
            <v>0</v>
          </cell>
          <cell r="J330">
            <v>1065759.0576951939</v>
          </cell>
        </row>
        <row r="331">
          <cell r="A331">
            <v>314</v>
          </cell>
          <cell r="B331">
            <v>68912</v>
          </cell>
          <cell r="C331">
            <v>0</v>
          </cell>
          <cell r="D331">
            <v>272859.94110595033</v>
          </cell>
          <cell r="E331">
            <v>0</v>
          </cell>
          <cell r="F331">
            <v>0</v>
          </cell>
          <cell r="G331">
            <v>0</v>
          </cell>
          <cell r="H331">
            <v>0</v>
          </cell>
          <cell r="I331">
            <v>0</v>
          </cell>
          <cell r="J331">
            <v>1065759.0576951939</v>
          </cell>
        </row>
        <row r="332">
          <cell r="A332">
            <v>315</v>
          </cell>
          <cell r="B332">
            <v>69003</v>
          </cell>
          <cell r="C332">
            <v>0</v>
          </cell>
          <cell r="D332">
            <v>272859.94110595033</v>
          </cell>
          <cell r="E332">
            <v>0</v>
          </cell>
          <cell r="F332">
            <v>0</v>
          </cell>
          <cell r="G332">
            <v>0</v>
          </cell>
          <cell r="H332">
            <v>0</v>
          </cell>
          <cell r="I332">
            <v>0</v>
          </cell>
          <cell r="J332">
            <v>1065759.0576951939</v>
          </cell>
        </row>
        <row r="333">
          <cell r="A333">
            <v>316</v>
          </cell>
          <cell r="B333">
            <v>69093</v>
          </cell>
          <cell r="C333">
            <v>0</v>
          </cell>
          <cell r="D333">
            <v>272859.94110595033</v>
          </cell>
          <cell r="E333">
            <v>0</v>
          </cell>
          <cell r="F333">
            <v>0</v>
          </cell>
          <cell r="G333">
            <v>0</v>
          </cell>
          <cell r="H333">
            <v>0</v>
          </cell>
          <cell r="I333">
            <v>0</v>
          </cell>
          <cell r="J333">
            <v>1065759.0576951939</v>
          </cell>
        </row>
        <row r="334">
          <cell r="A334">
            <v>317</v>
          </cell>
          <cell r="B334">
            <v>69185</v>
          </cell>
          <cell r="C334">
            <v>0</v>
          </cell>
          <cell r="D334">
            <v>272859.94110595033</v>
          </cell>
          <cell r="E334">
            <v>0</v>
          </cell>
          <cell r="F334">
            <v>0</v>
          </cell>
          <cell r="G334">
            <v>0</v>
          </cell>
          <cell r="H334">
            <v>0</v>
          </cell>
          <cell r="I334">
            <v>0</v>
          </cell>
          <cell r="J334">
            <v>1065759.0576951939</v>
          </cell>
        </row>
        <row r="335">
          <cell r="A335">
            <v>318</v>
          </cell>
          <cell r="B335">
            <v>69277</v>
          </cell>
          <cell r="C335">
            <v>0</v>
          </cell>
          <cell r="D335">
            <v>272859.94110595033</v>
          </cell>
          <cell r="E335">
            <v>0</v>
          </cell>
          <cell r="F335">
            <v>0</v>
          </cell>
          <cell r="G335">
            <v>0</v>
          </cell>
          <cell r="H335">
            <v>0</v>
          </cell>
          <cell r="I335">
            <v>0</v>
          </cell>
          <cell r="J335">
            <v>1065759.0576951939</v>
          </cell>
        </row>
        <row r="336">
          <cell r="A336">
            <v>319</v>
          </cell>
          <cell r="B336">
            <v>69368</v>
          </cell>
          <cell r="C336">
            <v>0</v>
          </cell>
          <cell r="D336">
            <v>272859.94110595033</v>
          </cell>
          <cell r="E336">
            <v>0</v>
          </cell>
          <cell r="F336">
            <v>0</v>
          </cell>
          <cell r="G336">
            <v>0</v>
          </cell>
          <cell r="H336">
            <v>0</v>
          </cell>
          <cell r="I336">
            <v>0</v>
          </cell>
          <cell r="J336">
            <v>1065759.0576951939</v>
          </cell>
        </row>
        <row r="337">
          <cell r="A337">
            <v>320</v>
          </cell>
          <cell r="B337">
            <v>69458</v>
          </cell>
          <cell r="C337">
            <v>0</v>
          </cell>
          <cell r="D337">
            <v>272859.94110595033</v>
          </cell>
          <cell r="E337">
            <v>0</v>
          </cell>
          <cell r="F337">
            <v>0</v>
          </cell>
          <cell r="G337">
            <v>0</v>
          </cell>
          <cell r="H337">
            <v>0</v>
          </cell>
          <cell r="I337">
            <v>0</v>
          </cell>
          <cell r="J337">
            <v>1065759.0576951939</v>
          </cell>
        </row>
        <row r="338">
          <cell r="A338">
            <v>321</v>
          </cell>
          <cell r="B338">
            <v>69550</v>
          </cell>
          <cell r="C338">
            <v>0</v>
          </cell>
          <cell r="D338">
            <v>272859.94110595033</v>
          </cell>
          <cell r="E338">
            <v>0</v>
          </cell>
          <cell r="F338">
            <v>0</v>
          </cell>
          <cell r="G338">
            <v>0</v>
          </cell>
          <cell r="H338">
            <v>0</v>
          </cell>
          <cell r="I338">
            <v>0</v>
          </cell>
          <cell r="J338">
            <v>1065759.0576951939</v>
          </cell>
        </row>
        <row r="339">
          <cell r="A339">
            <v>322</v>
          </cell>
          <cell r="B339">
            <v>69642</v>
          </cell>
          <cell r="C339">
            <v>0</v>
          </cell>
          <cell r="D339">
            <v>272859.94110595033</v>
          </cell>
          <cell r="E339">
            <v>0</v>
          </cell>
          <cell r="F339">
            <v>0</v>
          </cell>
          <cell r="G339">
            <v>0</v>
          </cell>
          <cell r="H339">
            <v>0</v>
          </cell>
          <cell r="I339">
            <v>0</v>
          </cell>
          <cell r="J339">
            <v>1065759.0576951939</v>
          </cell>
        </row>
        <row r="340">
          <cell r="A340">
            <v>323</v>
          </cell>
          <cell r="B340">
            <v>69733</v>
          </cell>
          <cell r="C340">
            <v>0</v>
          </cell>
          <cell r="D340">
            <v>272859.94110595033</v>
          </cell>
          <cell r="E340">
            <v>0</v>
          </cell>
          <cell r="F340">
            <v>0</v>
          </cell>
          <cell r="G340">
            <v>0</v>
          </cell>
          <cell r="H340">
            <v>0</v>
          </cell>
          <cell r="I340">
            <v>0</v>
          </cell>
          <cell r="J340">
            <v>1065759.0576951939</v>
          </cell>
        </row>
        <row r="341">
          <cell r="A341">
            <v>324</v>
          </cell>
          <cell r="B341">
            <v>69823</v>
          </cell>
          <cell r="C341">
            <v>0</v>
          </cell>
          <cell r="D341">
            <v>272859.94110595033</v>
          </cell>
          <cell r="E341">
            <v>0</v>
          </cell>
          <cell r="F341">
            <v>0</v>
          </cell>
          <cell r="G341">
            <v>0</v>
          </cell>
          <cell r="H341">
            <v>0</v>
          </cell>
          <cell r="I341">
            <v>0</v>
          </cell>
          <cell r="J341">
            <v>1065759.0576951939</v>
          </cell>
        </row>
        <row r="342">
          <cell r="A342">
            <v>325</v>
          </cell>
          <cell r="B342">
            <v>69915</v>
          </cell>
          <cell r="C342">
            <v>0</v>
          </cell>
          <cell r="D342">
            <v>272859.94110595033</v>
          </cell>
          <cell r="E342">
            <v>0</v>
          </cell>
          <cell r="F342">
            <v>0</v>
          </cell>
          <cell r="G342">
            <v>0</v>
          </cell>
          <cell r="H342">
            <v>0</v>
          </cell>
          <cell r="I342">
            <v>0</v>
          </cell>
          <cell r="J342">
            <v>1065759.0576951939</v>
          </cell>
        </row>
        <row r="343">
          <cell r="A343">
            <v>326</v>
          </cell>
          <cell r="B343">
            <v>70007</v>
          </cell>
          <cell r="C343">
            <v>0</v>
          </cell>
          <cell r="D343">
            <v>272859.94110595033</v>
          </cell>
          <cell r="E343">
            <v>0</v>
          </cell>
          <cell r="F343">
            <v>0</v>
          </cell>
          <cell r="G343">
            <v>0</v>
          </cell>
          <cell r="H343">
            <v>0</v>
          </cell>
          <cell r="I343">
            <v>0</v>
          </cell>
          <cell r="J343">
            <v>1065759.0576951939</v>
          </cell>
        </row>
        <row r="344">
          <cell r="A344">
            <v>327</v>
          </cell>
          <cell r="B344">
            <v>70098</v>
          </cell>
          <cell r="C344">
            <v>0</v>
          </cell>
          <cell r="D344">
            <v>272859.94110595033</v>
          </cell>
          <cell r="E344">
            <v>0</v>
          </cell>
          <cell r="F344">
            <v>0</v>
          </cell>
          <cell r="G344">
            <v>0</v>
          </cell>
          <cell r="H344">
            <v>0</v>
          </cell>
          <cell r="I344">
            <v>0</v>
          </cell>
          <cell r="J344">
            <v>1065759.0576951939</v>
          </cell>
        </row>
        <row r="345">
          <cell r="A345">
            <v>328</v>
          </cell>
          <cell r="B345">
            <v>70189</v>
          </cell>
          <cell r="C345">
            <v>0</v>
          </cell>
          <cell r="D345">
            <v>272859.94110595033</v>
          </cell>
          <cell r="E345">
            <v>0</v>
          </cell>
          <cell r="F345">
            <v>0</v>
          </cell>
          <cell r="G345">
            <v>0</v>
          </cell>
          <cell r="H345">
            <v>0</v>
          </cell>
          <cell r="I345">
            <v>0</v>
          </cell>
          <cell r="J345">
            <v>1065759.0576951939</v>
          </cell>
        </row>
        <row r="346">
          <cell r="A346">
            <v>329</v>
          </cell>
          <cell r="B346">
            <v>70281</v>
          </cell>
          <cell r="C346">
            <v>0</v>
          </cell>
          <cell r="D346">
            <v>272859.94110595033</v>
          </cell>
          <cell r="E346">
            <v>0</v>
          </cell>
          <cell r="F346">
            <v>0</v>
          </cell>
          <cell r="G346">
            <v>0</v>
          </cell>
          <cell r="H346">
            <v>0</v>
          </cell>
          <cell r="I346">
            <v>0</v>
          </cell>
          <cell r="J346">
            <v>1065759.0576951939</v>
          </cell>
        </row>
        <row r="347">
          <cell r="A347">
            <v>330</v>
          </cell>
          <cell r="B347">
            <v>70373</v>
          </cell>
          <cell r="C347">
            <v>0</v>
          </cell>
          <cell r="D347">
            <v>272859.94110595033</v>
          </cell>
          <cell r="E347">
            <v>0</v>
          </cell>
          <cell r="F347">
            <v>0</v>
          </cell>
          <cell r="G347">
            <v>0</v>
          </cell>
          <cell r="H347">
            <v>0</v>
          </cell>
          <cell r="I347">
            <v>0</v>
          </cell>
          <cell r="J347">
            <v>1065759.0576951939</v>
          </cell>
        </row>
        <row r="348">
          <cell r="A348">
            <v>331</v>
          </cell>
          <cell r="B348">
            <v>70464</v>
          </cell>
          <cell r="C348">
            <v>0</v>
          </cell>
          <cell r="D348">
            <v>272859.94110595033</v>
          </cell>
          <cell r="E348">
            <v>0</v>
          </cell>
          <cell r="F348">
            <v>0</v>
          </cell>
          <cell r="G348">
            <v>0</v>
          </cell>
          <cell r="H348">
            <v>0</v>
          </cell>
          <cell r="I348">
            <v>0</v>
          </cell>
          <cell r="J348">
            <v>1065759.0576951939</v>
          </cell>
        </row>
        <row r="349">
          <cell r="A349">
            <v>332</v>
          </cell>
          <cell r="B349">
            <v>70554</v>
          </cell>
          <cell r="C349">
            <v>0</v>
          </cell>
          <cell r="D349">
            <v>272859.94110595033</v>
          </cell>
          <cell r="E349">
            <v>0</v>
          </cell>
          <cell r="F349">
            <v>0</v>
          </cell>
          <cell r="G349">
            <v>0</v>
          </cell>
          <cell r="H349">
            <v>0</v>
          </cell>
          <cell r="I349">
            <v>0</v>
          </cell>
          <cell r="J349">
            <v>1065759.0576951939</v>
          </cell>
        </row>
        <row r="350">
          <cell r="A350">
            <v>333</v>
          </cell>
          <cell r="B350">
            <v>70646</v>
          </cell>
          <cell r="C350">
            <v>0</v>
          </cell>
          <cell r="D350">
            <v>272859.94110595033</v>
          </cell>
          <cell r="E350">
            <v>0</v>
          </cell>
          <cell r="F350">
            <v>0</v>
          </cell>
          <cell r="G350">
            <v>0</v>
          </cell>
          <cell r="H350">
            <v>0</v>
          </cell>
          <cell r="I350">
            <v>0</v>
          </cell>
          <cell r="J350">
            <v>1065759.0576951939</v>
          </cell>
        </row>
        <row r="351">
          <cell r="A351">
            <v>334</v>
          </cell>
          <cell r="B351">
            <v>70738</v>
          </cell>
          <cell r="C351">
            <v>0</v>
          </cell>
          <cell r="D351">
            <v>272859.94110595033</v>
          </cell>
          <cell r="E351">
            <v>0</v>
          </cell>
          <cell r="F351">
            <v>0</v>
          </cell>
          <cell r="G351">
            <v>0</v>
          </cell>
          <cell r="H351">
            <v>0</v>
          </cell>
          <cell r="I351">
            <v>0</v>
          </cell>
          <cell r="J351">
            <v>1065759.0576951939</v>
          </cell>
        </row>
        <row r="352">
          <cell r="A352">
            <v>335</v>
          </cell>
          <cell r="B352">
            <v>70829</v>
          </cell>
          <cell r="C352">
            <v>0</v>
          </cell>
          <cell r="D352">
            <v>272859.94110595033</v>
          </cell>
          <cell r="E352">
            <v>0</v>
          </cell>
          <cell r="F352">
            <v>0</v>
          </cell>
          <cell r="G352">
            <v>0</v>
          </cell>
          <cell r="H352">
            <v>0</v>
          </cell>
          <cell r="I352">
            <v>0</v>
          </cell>
          <cell r="J352">
            <v>1065759.0576951939</v>
          </cell>
        </row>
        <row r="353">
          <cell r="A353">
            <v>336</v>
          </cell>
          <cell r="B353">
            <v>70919</v>
          </cell>
          <cell r="C353">
            <v>0</v>
          </cell>
          <cell r="D353">
            <v>272859.94110595033</v>
          </cell>
          <cell r="E353">
            <v>0</v>
          </cell>
          <cell r="F353">
            <v>0</v>
          </cell>
          <cell r="G353">
            <v>0</v>
          </cell>
          <cell r="H353">
            <v>0</v>
          </cell>
          <cell r="I353">
            <v>0</v>
          </cell>
          <cell r="J353">
            <v>1065759.0576951939</v>
          </cell>
        </row>
        <row r="354">
          <cell r="A354">
            <v>337</v>
          </cell>
          <cell r="B354">
            <v>71011</v>
          </cell>
          <cell r="C354">
            <v>0</v>
          </cell>
          <cell r="D354">
            <v>272859.94110595033</v>
          </cell>
          <cell r="E354">
            <v>0</v>
          </cell>
          <cell r="F354">
            <v>0</v>
          </cell>
          <cell r="G354">
            <v>0</v>
          </cell>
          <cell r="H354">
            <v>0</v>
          </cell>
          <cell r="I354">
            <v>0</v>
          </cell>
          <cell r="J354">
            <v>1065759.0576951939</v>
          </cell>
        </row>
        <row r="355">
          <cell r="A355">
            <v>338</v>
          </cell>
          <cell r="B355">
            <v>71103</v>
          </cell>
          <cell r="C355">
            <v>0</v>
          </cell>
          <cell r="D355">
            <v>272859.94110595033</v>
          </cell>
          <cell r="E355">
            <v>0</v>
          </cell>
          <cell r="F355">
            <v>0</v>
          </cell>
          <cell r="G355">
            <v>0</v>
          </cell>
          <cell r="H355">
            <v>0</v>
          </cell>
          <cell r="I355">
            <v>0</v>
          </cell>
          <cell r="J355">
            <v>1065759.0576951939</v>
          </cell>
        </row>
        <row r="356">
          <cell r="A356">
            <v>339</v>
          </cell>
          <cell r="B356">
            <v>71194</v>
          </cell>
          <cell r="C356">
            <v>0</v>
          </cell>
          <cell r="D356">
            <v>272859.94110595033</v>
          </cell>
          <cell r="E356">
            <v>0</v>
          </cell>
          <cell r="F356">
            <v>0</v>
          </cell>
          <cell r="G356">
            <v>0</v>
          </cell>
          <cell r="H356">
            <v>0</v>
          </cell>
          <cell r="I356">
            <v>0</v>
          </cell>
          <cell r="J356">
            <v>1065759.0576951939</v>
          </cell>
        </row>
        <row r="357">
          <cell r="A357">
            <v>340</v>
          </cell>
          <cell r="B357">
            <v>71284</v>
          </cell>
          <cell r="C357">
            <v>0</v>
          </cell>
          <cell r="D357">
            <v>272859.94110595033</v>
          </cell>
          <cell r="E357">
            <v>0</v>
          </cell>
          <cell r="F357">
            <v>0</v>
          </cell>
          <cell r="G357">
            <v>0</v>
          </cell>
          <cell r="H357">
            <v>0</v>
          </cell>
          <cell r="I357">
            <v>0</v>
          </cell>
          <cell r="J357">
            <v>1065759.0576951939</v>
          </cell>
        </row>
        <row r="358">
          <cell r="A358">
            <v>341</v>
          </cell>
          <cell r="B358">
            <v>71376</v>
          </cell>
          <cell r="C358">
            <v>0</v>
          </cell>
          <cell r="D358">
            <v>272859.94110595033</v>
          </cell>
          <cell r="E358">
            <v>0</v>
          </cell>
          <cell r="F358">
            <v>0</v>
          </cell>
          <cell r="G358">
            <v>0</v>
          </cell>
          <cell r="H358">
            <v>0</v>
          </cell>
          <cell r="I358">
            <v>0</v>
          </cell>
          <cell r="J358">
            <v>1065759.0576951939</v>
          </cell>
        </row>
        <row r="359">
          <cell r="A359">
            <v>342</v>
          </cell>
          <cell r="B359">
            <v>71468</v>
          </cell>
          <cell r="C359">
            <v>0</v>
          </cell>
          <cell r="D359">
            <v>272859.94110595033</v>
          </cell>
          <cell r="E359">
            <v>0</v>
          </cell>
          <cell r="F359">
            <v>0</v>
          </cell>
          <cell r="G359">
            <v>0</v>
          </cell>
          <cell r="H359">
            <v>0</v>
          </cell>
          <cell r="I359">
            <v>0</v>
          </cell>
          <cell r="J359">
            <v>1065759.0576951939</v>
          </cell>
        </row>
        <row r="360">
          <cell r="A360">
            <v>343</v>
          </cell>
          <cell r="B360">
            <v>71559</v>
          </cell>
          <cell r="C360">
            <v>0</v>
          </cell>
          <cell r="D360">
            <v>272859.94110595033</v>
          </cell>
          <cell r="E360">
            <v>0</v>
          </cell>
          <cell r="F360">
            <v>0</v>
          </cell>
          <cell r="G360">
            <v>0</v>
          </cell>
          <cell r="H360">
            <v>0</v>
          </cell>
          <cell r="I360">
            <v>0</v>
          </cell>
          <cell r="J360">
            <v>1065759.0576951939</v>
          </cell>
        </row>
        <row r="361">
          <cell r="A361">
            <v>344</v>
          </cell>
          <cell r="B361">
            <v>71650</v>
          </cell>
          <cell r="C361">
            <v>0</v>
          </cell>
          <cell r="D361">
            <v>272859.94110595033</v>
          </cell>
          <cell r="E361">
            <v>0</v>
          </cell>
          <cell r="F361">
            <v>0</v>
          </cell>
          <cell r="G361">
            <v>0</v>
          </cell>
          <cell r="H361">
            <v>0</v>
          </cell>
          <cell r="I361">
            <v>0</v>
          </cell>
          <cell r="J361">
            <v>1065759.0576951939</v>
          </cell>
        </row>
        <row r="362">
          <cell r="A362">
            <v>345</v>
          </cell>
          <cell r="B362">
            <v>71742</v>
          </cell>
          <cell r="C362">
            <v>0</v>
          </cell>
          <cell r="D362">
            <v>272859.94110595033</v>
          </cell>
          <cell r="E362">
            <v>0</v>
          </cell>
          <cell r="F362">
            <v>0</v>
          </cell>
          <cell r="G362">
            <v>0</v>
          </cell>
          <cell r="H362">
            <v>0</v>
          </cell>
          <cell r="I362">
            <v>0</v>
          </cell>
          <cell r="J362">
            <v>1065759.0576951939</v>
          </cell>
        </row>
        <row r="363">
          <cell r="A363">
            <v>346</v>
          </cell>
          <cell r="B363">
            <v>71834</v>
          </cell>
          <cell r="C363">
            <v>0</v>
          </cell>
          <cell r="D363">
            <v>272859.94110595033</v>
          </cell>
          <cell r="E363">
            <v>0</v>
          </cell>
          <cell r="F363">
            <v>0</v>
          </cell>
          <cell r="G363">
            <v>0</v>
          </cell>
          <cell r="H363">
            <v>0</v>
          </cell>
          <cell r="I363">
            <v>0</v>
          </cell>
          <cell r="J363">
            <v>1065759.0576951939</v>
          </cell>
        </row>
        <row r="364">
          <cell r="A364">
            <v>347</v>
          </cell>
          <cell r="B364">
            <v>71925</v>
          </cell>
          <cell r="C364">
            <v>0</v>
          </cell>
          <cell r="D364">
            <v>272859.94110595033</v>
          </cell>
          <cell r="E364">
            <v>0</v>
          </cell>
          <cell r="F364">
            <v>0</v>
          </cell>
          <cell r="G364">
            <v>0</v>
          </cell>
          <cell r="H364">
            <v>0</v>
          </cell>
          <cell r="I364">
            <v>0</v>
          </cell>
          <cell r="J364">
            <v>1065759.0576951939</v>
          </cell>
        </row>
        <row r="365">
          <cell r="A365">
            <v>348</v>
          </cell>
          <cell r="B365">
            <v>72015</v>
          </cell>
          <cell r="C365">
            <v>0</v>
          </cell>
          <cell r="D365">
            <v>272859.94110595033</v>
          </cell>
          <cell r="E365">
            <v>0</v>
          </cell>
          <cell r="F365">
            <v>0</v>
          </cell>
          <cell r="G365">
            <v>0</v>
          </cell>
          <cell r="H365">
            <v>0</v>
          </cell>
          <cell r="I365">
            <v>0</v>
          </cell>
          <cell r="J365">
            <v>1065759.0576951939</v>
          </cell>
        </row>
        <row r="366">
          <cell r="A366">
            <v>349</v>
          </cell>
          <cell r="B366">
            <v>72107</v>
          </cell>
          <cell r="C366">
            <v>0</v>
          </cell>
          <cell r="D366">
            <v>272859.94110595033</v>
          </cell>
          <cell r="E366">
            <v>0</v>
          </cell>
          <cell r="F366">
            <v>0</v>
          </cell>
          <cell r="G366">
            <v>0</v>
          </cell>
          <cell r="H366">
            <v>0</v>
          </cell>
          <cell r="I366">
            <v>0</v>
          </cell>
          <cell r="J366">
            <v>1065759.0576951939</v>
          </cell>
        </row>
        <row r="367">
          <cell r="A367">
            <v>350</v>
          </cell>
          <cell r="B367">
            <v>72199</v>
          </cell>
          <cell r="C367">
            <v>0</v>
          </cell>
          <cell r="D367">
            <v>272859.94110595033</v>
          </cell>
          <cell r="E367">
            <v>0</v>
          </cell>
          <cell r="F367">
            <v>0</v>
          </cell>
          <cell r="G367">
            <v>0</v>
          </cell>
          <cell r="H367">
            <v>0</v>
          </cell>
          <cell r="I367">
            <v>0</v>
          </cell>
          <cell r="J367">
            <v>1065759.0576951939</v>
          </cell>
        </row>
        <row r="368">
          <cell r="A368">
            <v>351</v>
          </cell>
          <cell r="B368">
            <v>72290</v>
          </cell>
          <cell r="C368">
            <v>0</v>
          </cell>
          <cell r="D368">
            <v>272859.94110595033</v>
          </cell>
          <cell r="E368">
            <v>0</v>
          </cell>
          <cell r="F368">
            <v>0</v>
          </cell>
          <cell r="G368">
            <v>0</v>
          </cell>
          <cell r="H368">
            <v>0</v>
          </cell>
          <cell r="I368">
            <v>0</v>
          </cell>
          <cell r="J368">
            <v>1065759.0576951939</v>
          </cell>
        </row>
        <row r="369">
          <cell r="A369">
            <v>352</v>
          </cell>
          <cell r="B369">
            <v>72380</v>
          </cell>
          <cell r="C369">
            <v>0</v>
          </cell>
          <cell r="D369">
            <v>272859.94110595033</v>
          </cell>
          <cell r="E369">
            <v>0</v>
          </cell>
          <cell r="F369">
            <v>0</v>
          </cell>
          <cell r="G369">
            <v>0</v>
          </cell>
          <cell r="H369">
            <v>0</v>
          </cell>
          <cell r="I369">
            <v>0</v>
          </cell>
          <cell r="J369">
            <v>1065759.0576951939</v>
          </cell>
        </row>
        <row r="370">
          <cell r="A370">
            <v>353</v>
          </cell>
          <cell r="B370">
            <v>72472</v>
          </cell>
          <cell r="C370">
            <v>0</v>
          </cell>
          <cell r="D370">
            <v>272859.94110595033</v>
          </cell>
          <cell r="E370">
            <v>0</v>
          </cell>
          <cell r="F370">
            <v>0</v>
          </cell>
          <cell r="G370">
            <v>0</v>
          </cell>
          <cell r="H370">
            <v>0</v>
          </cell>
          <cell r="I370">
            <v>0</v>
          </cell>
          <cell r="J370">
            <v>1065759.0576951939</v>
          </cell>
        </row>
        <row r="371">
          <cell r="A371">
            <v>354</v>
          </cell>
          <cell r="B371">
            <v>72564</v>
          </cell>
          <cell r="C371">
            <v>0</v>
          </cell>
          <cell r="D371">
            <v>272859.94110595033</v>
          </cell>
          <cell r="E371">
            <v>0</v>
          </cell>
          <cell r="F371">
            <v>0</v>
          </cell>
          <cell r="G371">
            <v>0</v>
          </cell>
          <cell r="H371">
            <v>0</v>
          </cell>
          <cell r="I371">
            <v>0</v>
          </cell>
          <cell r="J371">
            <v>1065759.0576951939</v>
          </cell>
        </row>
        <row r="372">
          <cell r="A372">
            <v>355</v>
          </cell>
          <cell r="B372">
            <v>72655</v>
          </cell>
          <cell r="C372">
            <v>0</v>
          </cell>
          <cell r="D372">
            <v>272859.94110595033</v>
          </cell>
          <cell r="E372">
            <v>0</v>
          </cell>
          <cell r="F372">
            <v>0</v>
          </cell>
          <cell r="G372">
            <v>0</v>
          </cell>
          <cell r="H372">
            <v>0</v>
          </cell>
          <cell r="I372">
            <v>0</v>
          </cell>
          <cell r="J372">
            <v>1065759.0576951939</v>
          </cell>
        </row>
        <row r="373">
          <cell r="A373">
            <v>356</v>
          </cell>
          <cell r="B373">
            <v>72745</v>
          </cell>
          <cell r="C373">
            <v>0</v>
          </cell>
          <cell r="D373">
            <v>272859.94110595033</v>
          </cell>
          <cell r="E373">
            <v>0</v>
          </cell>
          <cell r="F373">
            <v>0</v>
          </cell>
          <cell r="G373">
            <v>0</v>
          </cell>
          <cell r="H373">
            <v>0</v>
          </cell>
          <cell r="I373">
            <v>0</v>
          </cell>
          <cell r="J373">
            <v>1065759.0576951939</v>
          </cell>
        </row>
        <row r="374">
          <cell r="A374">
            <v>357</v>
          </cell>
          <cell r="B374">
            <v>72837</v>
          </cell>
          <cell r="C374">
            <v>0</v>
          </cell>
          <cell r="D374">
            <v>272859.94110595033</v>
          </cell>
          <cell r="E374">
            <v>0</v>
          </cell>
          <cell r="F374">
            <v>0</v>
          </cell>
          <cell r="G374">
            <v>0</v>
          </cell>
          <cell r="H374">
            <v>0</v>
          </cell>
          <cell r="I374">
            <v>0</v>
          </cell>
          <cell r="J374">
            <v>1065759.0576951939</v>
          </cell>
        </row>
        <row r="375">
          <cell r="A375">
            <v>358</v>
          </cell>
          <cell r="B375">
            <v>72929</v>
          </cell>
          <cell r="C375">
            <v>0</v>
          </cell>
          <cell r="D375">
            <v>272859.94110595033</v>
          </cell>
          <cell r="E375">
            <v>0</v>
          </cell>
          <cell r="F375">
            <v>0</v>
          </cell>
          <cell r="G375">
            <v>0</v>
          </cell>
          <cell r="H375">
            <v>0</v>
          </cell>
          <cell r="I375">
            <v>0</v>
          </cell>
          <cell r="J375">
            <v>1065759.0576951939</v>
          </cell>
        </row>
        <row r="376">
          <cell r="A376">
            <v>359</v>
          </cell>
          <cell r="B376">
            <v>73020</v>
          </cell>
          <cell r="C376">
            <v>0</v>
          </cell>
          <cell r="D376">
            <v>272859.94110595033</v>
          </cell>
          <cell r="E376">
            <v>0</v>
          </cell>
          <cell r="F376">
            <v>0</v>
          </cell>
          <cell r="G376">
            <v>0</v>
          </cell>
          <cell r="H376">
            <v>0</v>
          </cell>
          <cell r="I376">
            <v>0</v>
          </cell>
          <cell r="J376">
            <v>1065759.0576951939</v>
          </cell>
        </row>
        <row r="377">
          <cell r="A377">
            <v>360</v>
          </cell>
          <cell r="B377">
            <v>73110</v>
          </cell>
          <cell r="C377">
            <v>0</v>
          </cell>
          <cell r="D377">
            <v>272859.94110595033</v>
          </cell>
          <cell r="E377">
            <v>0</v>
          </cell>
          <cell r="F377">
            <v>0</v>
          </cell>
          <cell r="G377">
            <v>0</v>
          </cell>
          <cell r="H377">
            <v>0</v>
          </cell>
          <cell r="I377">
            <v>0</v>
          </cell>
          <cell r="J377">
            <v>1065759.0576951939</v>
          </cell>
        </row>
        <row r="378">
          <cell r="A378">
            <v>361</v>
          </cell>
          <cell r="B378">
            <v>73202</v>
          </cell>
          <cell r="C378">
            <v>0</v>
          </cell>
          <cell r="D378">
            <v>272859.94110595033</v>
          </cell>
          <cell r="E378">
            <v>0</v>
          </cell>
          <cell r="F378">
            <v>0</v>
          </cell>
          <cell r="G378">
            <v>0</v>
          </cell>
          <cell r="H378">
            <v>0</v>
          </cell>
          <cell r="I378">
            <v>0</v>
          </cell>
          <cell r="J378">
            <v>1065759.0576951939</v>
          </cell>
        </row>
        <row r="379">
          <cell r="A379">
            <v>362</v>
          </cell>
          <cell r="B379">
            <v>73294</v>
          </cell>
          <cell r="C379">
            <v>0</v>
          </cell>
          <cell r="D379">
            <v>272859.94110595033</v>
          </cell>
          <cell r="E379">
            <v>0</v>
          </cell>
          <cell r="F379">
            <v>0</v>
          </cell>
          <cell r="G379">
            <v>0</v>
          </cell>
          <cell r="H379">
            <v>0</v>
          </cell>
          <cell r="I379">
            <v>0</v>
          </cell>
          <cell r="J379">
            <v>1065759.0576951939</v>
          </cell>
        </row>
        <row r="380">
          <cell r="A380">
            <v>363</v>
          </cell>
          <cell r="B380">
            <v>73385</v>
          </cell>
          <cell r="C380">
            <v>0</v>
          </cell>
          <cell r="D380">
            <v>272859.94110595033</v>
          </cell>
          <cell r="E380">
            <v>0</v>
          </cell>
          <cell r="F380">
            <v>0</v>
          </cell>
          <cell r="G380">
            <v>0</v>
          </cell>
          <cell r="H380">
            <v>0</v>
          </cell>
          <cell r="I380">
            <v>0</v>
          </cell>
          <cell r="J380">
            <v>1065759.0576951939</v>
          </cell>
        </row>
        <row r="381">
          <cell r="A381">
            <v>364</v>
          </cell>
          <cell r="B381">
            <v>73475</v>
          </cell>
          <cell r="C381">
            <v>0</v>
          </cell>
          <cell r="D381">
            <v>272859.94110595033</v>
          </cell>
          <cell r="E381">
            <v>0</v>
          </cell>
          <cell r="F381">
            <v>0</v>
          </cell>
          <cell r="G381">
            <v>0</v>
          </cell>
          <cell r="H381">
            <v>0</v>
          </cell>
          <cell r="I381">
            <v>0</v>
          </cell>
          <cell r="J381">
            <v>1065759.0576951939</v>
          </cell>
        </row>
        <row r="382">
          <cell r="A382">
            <v>365</v>
          </cell>
          <cell r="B382">
            <v>73567</v>
          </cell>
          <cell r="C382">
            <v>0</v>
          </cell>
          <cell r="D382">
            <v>272859.94110595033</v>
          </cell>
          <cell r="E382">
            <v>0</v>
          </cell>
          <cell r="F382">
            <v>0</v>
          </cell>
          <cell r="G382">
            <v>0</v>
          </cell>
          <cell r="H382">
            <v>0</v>
          </cell>
          <cell r="I382">
            <v>0</v>
          </cell>
          <cell r="J382">
            <v>1065759.0576951939</v>
          </cell>
        </row>
        <row r="383">
          <cell r="A383">
            <v>366</v>
          </cell>
          <cell r="B383">
            <v>73659</v>
          </cell>
          <cell r="C383">
            <v>0</v>
          </cell>
          <cell r="D383">
            <v>272859.94110595033</v>
          </cell>
          <cell r="E383">
            <v>0</v>
          </cell>
          <cell r="F383">
            <v>0</v>
          </cell>
          <cell r="G383">
            <v>0</v>
          </cell>
          <cell r="H383">
            <v>0</v>
          </cell>
          <cell r="I383">
            <v>0</v>
          </cell>
          <cell r="J383">
            <v>1065759.0576951939</v>
          </cell>
        </row>
        <row r="384">
          <cell r="A384">
            <v>367</v>
          </cell>
          <cell r="B384">
            <v>73750</v>
          </cell>
          <cell r="C384">
            <v>0</v>
          </cell>
          <cell r="D384">
            <v>272859.94110595033</v>
          </cell>
          <cell r="E384">
            <v>0</v>
          </cell>
          <cell r="F384">
            <v>0</v>
          </cell>
          <cell r="G384">
            <v>0</v>
          </cell>
          <cell r="H384">
            <v>0</v>
          </cell>
          <cell r="I384">
            <v>0</v>
          </cell>
          <cell r="J384">
            <v>1065759.0576951939</v>
          </cell>
        </row>
        <row r="385">
          <cell r="A385">
            <v>368</v>
          </cell>
          <cell r="B385">
            <v>73840</v>
          </cell>
          <cell r="C385">
            <v>0</v>
          </cell>
          <cell r="D385">
            <v>272859.94110595033</v>
          </cell>
          <cell r="E385">
            <v>0</v>
          </cell>
          <cell r="F385">
            <v>0</v>
          </cell>
          <cell r="G385">
            <v>0</v>
          </cell>
          <cell r="H385">
            <v>0</v>
          </cell>
          <cell r="I385">
            <v>0</v>
          </cell>
          <cell r="J385">
            <v>1065759.0576951939</v>
          </cell>
        </row>
        <row r="386">
          <cell r="A386">
            <v>369</v>
          </cell>
          <cell r="B386">
            <v>73932</v>
          </cell>
          <cell r="C386">
            <v>0</v>
          </cell>
          <cell r="D386">
            <v>272859.94110595033</v>
          </cell>
          <cell r="E386">
            <v>0</v>
          </cell>
          <cell r="F386">
            <v>0</v>
          </cell>
          <cell r="G386">
            <v>0</v>
          </cell>
          <cell r="H386">
            <v>0</v>
          </cell>
          <cell r="I386">
            <v>0</v>
          </cell>
          <cell r="J386">
            <v>1065759.0576951939</v>
          </cell>
        </row>
        <row r="387">
          <cell r="A387">
            <v>370</v>
          </cell>
          <cell r="B387">
            <v>74024</v>
          </cell>
          <cell r="C387">
            <v>0</v>
          </cell>
          <cell r="D387">
            <v>272859.94110595033</v>
          </cell>
          <cell r="E387">
            <v>0</v>
          </cell>
          <cell r="F387">
            <v>0</v>
          </cell>
          <cell r="G387">
            <v>0</v>
          </cell>
          <cell r="H387">
            <v>0</v>
          </cell>
          <cell r="I387">
            <v>0</v>
          </cell>
          <cell r="J387">
            <v>1065759.0576951939</v>
          </cell>
        </row>
        <row r="388">
          <cell r="A388">
            <v>371</v>
          </cell>
          <cell r="B388">
            <v>74115</v>
          </cell>
          <cell r="C388">
            <v>0</v>
          </cell>
          <cell r="D388">
            <v>272859.94110595033</v>
          </cell>
          <cell r="E388">
            <v>0</v>
          </cell>
          <cell r="F388">
            <v>0</v>
          </cell>
          <cell r="G388">
            <v>0</v>
          </cell>
          <cell r="H388">
            <v>0</v>
          </cell>
          <cell r="I388">
            <v>0</v>
          </cell>
          <cell r="J388">
            <v>1065759.0576951939</v>
          </cell>
        </row>
        <row r="389">
          <cell r="A389">
            <v>372</v>
          </cell>
          <cell r="B389">
            <v>74205</v>
          </cell>
          <cell r="C389">
            <v>0</v>
          </cell>
          <cell r="D389">
            <v>272859.94110595033</v>
          </cell>
          <cell r="E389">
            <v>0</v>
          </cell>
          <cell r="F389">
            <v>0</v>
          </cell>
          <cell r="G389">
            <v>0</v>
          </cell>
          <cell r="H389">
            <v>0</v>
          </cell>
          <cell r="I389">
            <v>0</v>
          </cell>
          <cell r="J389">
            <v>1065759.0576951939</v>
          </cell>
        </row>
        <row r="390">
          <cell r="A390">
            <v>373</v>
          </cell>
          <cell r="B390">
            <v>74297</v>
          </cell>
          <cell r="C390">
            <v>0</v>
          </cell>
          <cell r="D390">
            <v>272859.94110595033</v>
          </cell>
          <cell r="E390">
            <v>0</v>
          </cell>
          <cell r="F390">
            <v>0</v>
          </cell>
          <cell r="G390">
            <v>0</v>
          </cell>
          <cell r="H390">
            <v>0</v>
          </cell>
          <cell r="I390">
            <v>0</v>
          </cell>
          <cell r="J390">
            <v>1065759.0576951939</v>
          </cell>
        </row>
        <row r="391">
          <cell r="A391">
            <v>374</v>
          </cell>
          <cell r="B391">
            <v>74389</v>
          </cell>
          <cell r="C391">
            <v>0</v>
          </cell>
          <cell r="D391">
            <v>272859.94110595033</v>
          </cell>
          <cell r="E391">
            <v>0</v>
          </cell>
          <cell r="F391">
            <v>0</v>
          </cell>
          <cell r="G391">
            <v>0</v>
          </cell>
          <cell r="H391">
            <v>0</v>
          </cell>
          <cell r="I391">
            <v>0</v>
          </cell>
          <cell r="J391">
            <v>1065759.0576951939</v>
          </cell>
        </row>
        <row r="392">
          <cell r="A392">
            <v>375</v>
          </cell>
          <cell r="B392">
            <v>74480</v>
          </cell>
          <cell r="C392">
            <v>0</v>
          </cell>
          <cell r="D392">
            <v>272859.94110595033</v>
          </cell>
          <cell r="E392">
            <v>0</v>
          </cell>
          <cell r="F392">
            <v>0</v>
          </cell>
          <cell r="G392">
            <v>0</v>
          </cell>
          <cell r="H392">
            <v>0</v>
          </cell>
          <cell r="I392">
            <v>0</v>
          </cell>
          <cell r="J392">
            <v>1065759.0576951939</v>
          </cell>
        </row>
        <row r="393">
          <cell r="A393">
            <v>376</v>
          </cell>
          <cell r="B393">
            <v>74571</v>
          </cell>
          <cell r="C393">
            <v>0</v>
          </cell>
          <cell r="D393">
            <v>272859.94110595033</v>
          </cell>
          <cell r="E393">
            <v>0</v>
          </cell>
          <cell r="F393">
            <v>0</v>
          </cell>
          <cell r="G393">
            <v>0</v>
          </cell>
          <cell r="H393">
            <v>0</v>
          </cell>
          <cell r="I393">
            <v>0</v>
          </cell>
          <cell r="J393">
            <v>1065759.0576951939</v>
          </cell>
        </row>
        <row r="394">
          <cell r="A394">
            <v>377</v>
          </cell>
          <cell r="B394">
            <v>74663</v>
          </cell>
          <cell r="C394">
            <v>0</v>
          </cell>
          <cell r="D394">
            <v>272859.94110595033</v>
          </cell>
          <cell r="E394">
            <v>0</v>
          </cell>
          <cell r="F394">
            <v>0</v>
          </cell>
          <cell r="G394">
            <v>0</v>
          </cell>
          <cell r="H394">
            <v>0</v>
          </cell>
          <cell r="I394">
            <v>0</v>
          </cell>
          <cell r="J394">
            <v>1065759.0576951939</v>
          </cell>
        </row>
        <row r="395">
          <cell r="A395">
            <v>378</v>
          </cell>
          <cell r="B395">
            <v>74755</v>
          </cell>
          <cell r="C395">
            <v>0</v>
          </cell>
          <cell r="D395">
            <v>272859.94110595033</v>
          </cell>
          <cell r="E395">
            <v>0</v>
          </cell>
          <cell r="F395">
            <v>0</v>
          </cell>
          <cell r="G395">
            <v>0</v>
          </cell>
          <cell r="H395">
            <v>0</v>
          </cell>
          <cell r="I395">
            <v>0</v>
          </cell>
          <cell r="J395">
            <v>1065759.0576951939</v>
          </cell>
        </row>
        <row r="396">
          <cell r="A396">
            <v>379</v>
          </cell>
          <cell r="B396">
            <v>74846</v>
          </cell>
          <cell r="C396">
            <v>0</v>
          </cell>
          <cell r="D396">
            <v>272859.94110595033</v>
          </cell>
          <cell r="E396">
            <v>0</v>
          </cell>
          <cell r="F396">
            <v>0</v>
          </cell>
          <cell r="G396">
            <v>0</v>
          </cell>
          <cell r="H396">
            <v>0</v>
          </cell>
          <cell r="I396">
            <v>0</v>
          </cell>
          <cell r="J396">
            <v>1065759.0576951939</v>
          </cell>
        </row>
        <row r="397">
          <cell r="A397">
            <v>380</v>
          </cell>
          <cell r="B397">
            <v>74936</v>
          </cell>
          <cell r="C397">
            <v>0</v>
          </cell>
          <cell r="D397">
            <v>272859.94110595033</v>
          </cell>
          <cell r="E397">
            <v>0</v>
          </cell>
          <cell r="F397">
            <v>0</v>
          </cell>
          <cell r="G397">
            <v>0</v>
          </cell>
          <cell r="H397">
            <v>0</v>
          </cell>
          <cell r="I397">
            <v>0</v>
          </cell>
          <cell r="J397">
            <v>1065759.0576951939</v>
          </cell>
        </row>
        <row r="398">
          <cell r="A398">
            <v>381</v>
          </cell>
          <cell r="B398">
            <v>75028</v>
          </cell>
          <cell r="C398">
            <v>0</v>
          </cell>
          <cell r="D398">
            <v>272859.94110595033</v>
          </cell>
          <cell r="E398">
            <v>0</v>
          </cell>
          <cell r="F398">
            <v>0</v>
          </cell>
          <cell r="G398">
            <v>0</v>
          </cell>
          <cell r="H398">
            <v>0</v>
          </cell>
          <cell r="I398">
            <v>0</v>
          </cell>
          <cell r="J398">
            <v>1065759.0576951939</v>
          </cell>
        </row>
        <row r="399">
          <cell r="A399">
            <v>382</v>
          </cell>
          <cell r="B399">
            <v>75120</v>
          </cell>
          <cell r="C399">
            <v>0</v>
          </cell>
          <cell r="D399">
            <v>272859.94110595033</v>
          </cell>
          <cell r="E399">
            <v>0</v>
          </cell>
          <cell r="F399">
            <v>0</v>
          </cell>
          <cell r="G399">
            <v>0</v>
          </cell>
          <cell r="H399">
            <v>0</v>
          </cell>
          <cell r="I399">
            <v>0</v>
          </cell>
          <cell r="J399">
            <v>1065759.0576951939</v>
          </cell>
        </row>
        <row r="400">
          <cell r="A400">
            <v>383</v>
          </cell>
          <cell r="B400">
            <v>75211</v>
          </cell>
          <cell r="C400">
            <v>0</v>
          </cell>
          <cell r="D400">
            <v>272859.94110595033</v>
          </cell>
          <cell r="E400">
            <v>0</v>
          </cell>
          <cell r="F400">
            <v>0</v>
          </cell>
          <cell r="G400">
            <v>0</v>
          </cell>
          <cell r="H400">
            <v>0</v>
          </cell>
          <cell r="I400">
            <v>0</v>
          </cell>
          <cell r="J400">
            <v>1065759.0576951939</v>
          </cell>
        </row>
        <row r="401">
          <cell r="A401">
            <v>384</v>
          </cell>
          <cell r="B401">
            <v>75301</v>
          </cell>
          <cell r="C401">
            <v>0</v>
          </cell>
          <cell r="D401">
            <v>272859.94110595033</v>
          </cell>
          <cell r="E401">
            <v>0</v>
          </cell>
          <cell r="F401">
            <v>0</v>
          </cell>
          <cell r="G401">
            <v>0</v>
          </cell>
          <cell r="H401">
            <v>0</v>
          </cell>
          <cell r="I401">
            <v>0</v>
          </cell>
          <cell r="J401">
            <v>1065759.0576951939</v>
          </cell>
        </row>
        <row r="402">
          <cell r="A402">
            <v>385</v>
          </cell>
          <cell r="B402">
            <v>75393</v>
          </cell>
          <cell r="C402">
            <v>0</v>
          </cell>
          <cell r="D402">
            <v>272859.94110595033</v>
          </cell>
          <cell r="E402">
            <v>0</v>
          </cell>
          <cell r="F402">
            <v>0</v>
          </cell>
          <cell r="G402">
            <v>0</v>
          </cell>
          <cell r="H402">
            <v>0</v>
          </cell>
          <cell r="I402">
            <v>0</v>
          </cell>
          <cell r="J402">
            <v>1065759.0576951939</v>
          </cell>
        </row>
        <row r="403">
          <cell r="A403">
            <v>386</v>
          </cell>
          <cell r="B403">
            <v>75485</v>
          </cell>
          <cell r="C403">
            <v>0</v>
          </cell>
          <cell r="D403">
            <v>272859.94110595033</v>
          </cell>
          <cell r="E403">
            <v>0</v>
          </cell>
          <cell r="F403">
            <v>0</v>
          </cell>
          <cell r="G403">
            <v>0</v>
          </cell>
          <cell r="H403">
            <v>0</v>
          </cell>
          <cell r="I403">
            <v>0</v>
          </cell>
          <cell r="J403">
            <v>1065759.0576951939</v>
          </cell>
        </row>
        <row r="404">
          <cell r="A404">
            <v>387</v>
          </cell>
          <cell r="B404">
            <v>75576</v>
          </cell>
          <cell r="C404">
            <v>0</v>
          </cell>
          <cell r="D404">
            <v>272859.94110595033</v>
          </cell>
          <cell r="E404">
            <v>0</v>
          </cell>
          <cell r="F404">
            <v>0</v>
          </cell>
          <cell r="G404">
            <v>0</v>
          </cell>
          <cell r="H404">
            <v>0</v>
          </cell>
          <cell r="I404">
            <v>0</v>
          </cell>
          <cell r="J404">
            <v>1065759.0576951939</v>
          </cell>
        </row>
        <row r="405">
          <cell r="A405">
            <v>388</v>
          </cell>
          <cell r="B405">
            <v>75666</v>
          </cell>
          <cell r="C405">
            <v>0</v>
          </cell>
          <cell r="D405">
            <v>272859.94110595033</v>
          </cell>
          <cell r="E405">
            <v>0</v>
          </cell>
          <cell r="F405">
            <v>0</v>
          </cell>
          <cell r="G405">
            <v>0</v>
          </cell>
          <cell r="H405">
            <v>0</v>
          </cell>
          <cell r="I405">
            <v>0</v>
          </cell>
          <cell r="J405">
            <v>1065759.0576951939</v>
          </cell>
        </row>
        <row r="406">
          <cell r="A406">
            <v>389</v>
          </cell>
          <cell r="B406">
            <v>75758</v>
          </cell>
          <cell r="C406">
            <v>0</v>
          </cell>
          <cell r="D406">
            <v>272859.94110595033</v>
          </cell>
          <cell r="E406">
            <v>0</v>
          </cell>
          <cell r="F406">
            <v>0</v>
          </cell>
          <cell r="G406">
            <v>0</v>
          </cell>
          <cell r="H406">
            <v>0</v>
          </cell>
          <cell r="I406">
            <v>0</v>
          </cell>
          <cell r="J406">
            <v>1065759.0576951939</v>
          </cell>
        </row>
        <row r="407">
          <cell r="A407">
            <v>390</v>
          </cell>
          <cell r="B407">
            <v>75850</v>
          </cell>
          <cell r="C407">
            <v>0</v>
          </cell>
          <cell r="D407">
            <v>272859.94110595033</v>
          </cell>
          <cell r="E407">
            <v>0</v>
          </cell>
          <cell r="F407">
            <v>0</v>
          </cell>
          <cell r="G407">
            <v>0</v>
          </cell>
          <cell r="H407">
            <v>0</v>
          </cell>
          <cell r="I407">
            <v>0</v>
          </cell>
          <cell r="J407">
            <v>1065759.0576951939</v>
          </cell>
        </row>
        <row r="408">
          <cell r="A408">
            <v>391</v>
          </cell>
          <cell r="B408">
            <v>75941</v>
          </cell>
          <cell r="C408">
            <v>0</v>
          </cell>
          <cell r="D408">
            <v>272859.94110595033</v>
          </cell>
          <cell r="E408">
            <v>0</v>
          </cell>
          <cell r="F408">
            <v>0</v>
          </cell>
          <cell r="G408">
            <v>0</v>
          </cell>
          <cell r="H408">
            <v>0</v>
          </cell>
          <cell r="I408">
            <v>0</v>
          </cell>
          <cell r="J408">
            <v>1065759.0576951939</v>
          </cell>
        </row>
        <row r="409">
          <cell r="A409">
            <v>392</v>
          </cell>
          <cell r="B409">
            <v>76032</v>
          </cell>
          <cell r="C409">
            <v>0</v>
          </cell>
          <cell r="D409">
            <v>272859.94110595033</v>
          </cell>
          <cell r="E409">
            <v>0</v>
          </cell>
          <cell r="F409">
            <v>0</v>
          </cell>
          <cell r="G409">
            <v>0</v>
          </cell>
          <cell r="H409">
            <v>0</v>
          </cell>
          <cell r="I409">
            <v>0</v>
          </cell>
          <cell r="J409">
            <v>1065759.0576951939</v>
          </cell>
        </row>
        <row r="410">
          <cell r="A410">
            <v>393</v>
          </cell>
          <cell r="B410">
            <v>76124</v>
          </cell>
          <cell r="C410">
            <v>0</v>
          </cell>
          <cell r="D410">
            <v>272859.94110595033</v>
          </cell>
          <cell r="E410">
            <v>0</v>
          </cell>
          <cell r="F410">
            <v>0</v>
          </cell>
          <cell r="G410">
            <v>0</v>
          </cell>
          <cell r="H410">
            <v>0</v>
          </cell>
          <cell r="I410">
            <v>0</v>
          </cell>
          <cell r="J410">
            <v>1065759.0576951939</v>
          </cell>
        </row>
        <row r="411">
          <cell r="A411">
            <v>394</v>
          </cell>
          <cell r="B411">
            <v>76216</v>
          </cell>
          <cell r="C411">
            <v>0</v>
          </cell>
          <cell r="D411">
            <v>272859.94110595033</v>
          </cell>
          <cell r="E411">
            <v>0</v>
          </cell>
          <cell r="F411">
            <v>0</v>
          </cell>
          <cell r="G411">
            <v>0</v>
          </cell>
          <cell r="H411">
            <v>0</v>
          </cell>
          <cell r="I411">
            <v>0</v>
          </cell>
          <cell r="J411">
            <v>1065759.0576951939</v>
          </cell>
        </row>
        <row r="412">
          <cell r="A412">
            <v>395</v>
          </cell>
          <cell r="B412">
            <v>76307</v>
          </cell>
          <cell r="C412">
            <v>0</v>
          </cell>
          <cell r="D412">
            <v>272859.94110595033</v>
          </cell>
          <cell r="E412">
            <v>0</v>
          </cell>
          <cell r="F412">
            <v>0</v>
          </cell>
          <cell r="G412">
            <v>0</v>
          </cell>
          <cell r="H412">
            <v>0</v>
          </cell>
          <cell r="I412">
            <v>0</v>
          </cell>
          <cell r="J412">
            <v>1065759.0576951939</v>
          </cell>
        </row>
        <row r="413">
          <cell r="A413">
            <v>396</v>
          </cell>
          <cell r="B413">
            <v>76397</v>
          </cell>
          <cell r="C413">
            <v>0</v>
          </cell>
          <cell r="D413">
            <v>272859.94110595033</v>
          </cell>
          <cell r="E413">
            <v>0</v>
          </cell>
          <cell r="F413">
            <v>0</v>
          </cell>
          <cell r="G413">
            <v>0</v>
          </cell>
          <cell r="H413">
            <v>0</v>
          </cell>
          <cell r="I413">
            <v>0</v>
          </cell>
          <cell r="J413">
            <v>1065759.0576951939</v>
          </cell>
        </row>
        <row r="414">
          <cell r="A414">
            <v>397</v>
          </cell>
          <cell r="B414">
            <v>76489</v>
          </cell>
          <cell r="C414">
            <v>0</v>
          </cell>
          <cell r="D414">
            <v>272859.94110595033</v>
          </cell>
          <cell r="E414">
            <v>0</v>
          </cell>
          <cell r="F414">
            <v>0</v>
          </cell>
          <cell r="G414">
            <v>0</v>
          </cell>
          <cell r="H414">
            <v>0</v>
          </cell>
          <cell r="I414">
            <v>0</v>
          </cell>
          <cell r="J414">
            <v>1065759.0576951939</v>
          </cell>
        </row>
        <row r="415">
          <cell r="A415">
            <v>398</v>
          </cell>
          <cell r="B415">
            <v>76581</v>
          </cell>
          <cell r="C415">
            <v>0</v>
          </cell>
          <cell r="D415">
            <v>272859.94110595033</v>
          </cell>
          <cell r="E415">
            <v>0</v>
          </cell>
          <cell r="F415">
            <v>0</v>
          </cell>
          <cell r="G415">
            <v>0</v>
          </cell>
          <cell r="H415">
            <v>0</v>
          </cell>
          <cell r="I415">
            <v>0</v>
          </cell>
          <cell r="J415">
            <v>1065759.0576951939</v>
          </cell>
        </row>
        <row r="416">
          <cell r="A416">
            <v>399</v>
          </cell>
          <cell r="B416">
            <v>76672</v>
          </cell>
          <cell r="C416">
            <v>0</v>
          </cell>
          <cell r="D416">
            <v>272859.94110595033</v>
          </cell>
          <cell r="E416">
            <v>0</v>
          </cell>
          <cell r="F416">
            <v>0</v>
          </cell>
          <cell r="G416">
            <v>0</v>
          </cell>
          <cell r="H416">
            <v>0</v>
          </cell>
          <cell r="I416">
            <v>0</v>
          </cell>
          <cell r="J416">
            <v>1065759.0576951939</v>
          </cell>
        </row>
        <row r="417">
          <cell r="A417">
            <v>400</v>
          </cell>
          <cell r="B417">
            <v>76762</v>
          </cell>
          <cell r="C417">
            <v>0</v>
          </cell>
          <cell r="D417">
            <v>272859.94110595033</v>
          </cell>
          <cell r="E417">
            <v>0</v>
          </cell>
          <cell r="F417">
            <v>0</v>
          </cell>
          <cell r="G417">
            <v>0</v>
          </cell>
          <cell r="H417">
            <v>0</v>
          </cell>
          <cell r="I417">
            <v>0</v>
          </cell>
          <cell r="J417">
            <v>1065759.0576951939</v>
          </cell>
        </row>
        <row r="418">
          <cell r="A418">
            <v>401</v>
          </cell>
          <cell r="B418">
            <v>76854</v>
          </cell>
          <cell r="C418">
            <v>0</v>
          </cell>
          <cell r="D418">
            <v>272859.94110595033</v>
          </cell>
          <cell r="E418">
            <v>0</v>
          </cell>
          <cell r="F418">
            <v>0</v>
          </cell>
          <cell r="G418">
            <v>0</v>
          </cell>
          <cell r="H418">
            <v>0</v>
          </cell>
          <cell r="I418">
            <v>0</v>
          </cell>
          <cell r="J418">
            <v>1065759.0576951939</v>
          </cell>
        </row>
        <row r="419">
          <cell r="A419">
            <v>402</v>
          </cell>
          <cell r="B419">
            <v>76946</v>
          </cell>
          <cell r="C419">
            <v>0</v>
          </cell>
          <cell r="D419">
            <v>272859.94110595033</v>
          </cell>
          <cell r="E419">
            <v>0</v>
          </cell>
          <cell r="F419">
            <v>0</v>
          </cell>
          <cell r="G419">
            <v>0</v>
          </cell>
          <cell r="H419">
            <v>0</v>
          </cell>
          <cell r="I419">
            <v>0</v>
          </cell>
          <cell r="J419">
            <v>1065759.0576951939</v>
          </cell>
        </row>
        <row r="420">
          <cell r="A420">
            <v>403</v>
          </cell>
          <cell r="B420">
            <v>77037</v>
          </cell>
          <cell r="C420">
            <v>0</v>
          </cell>
          <cell r="D420">
            <v>272859.94110595033</v>
          </cell>
          <cell r="E420">
            <v>0</v>
          </cell>
          <cell r="F420">
            <v>0</v>
          </cell>
          <cell r="G420">
            <v>0</v>
          </cell>
          <cell r="H420">
            <v>0</v>
          </cell>
          <cell r="I420">
            <v>0</v>
          </cell>
          <cell r="J420">
            <v>1065759.0576951939</v>
          </cell>
        </row>
        <row r="421">
          <cell r="A421">
            <v>404</v>
          </cell>
          <cell r="B421">
            <v>77127</v>
          </cell>
          <cell r="C421">
            <v>0</v>
          </cell>
          <cell r="D421">
            <v>272859.94110595033</v>
          </cell>
          <cell r="E421">
            <v>0</v>
          </cell>
          <cell r="F421">
            <v>0</v>
          </cell>
          <cell r="G421">
            <v>0</v>
          </cell>
          <cell r="H421">
            <v>0</v>
          </cell>
          <cell r="I421">
            <v>0</v>
          </cell>
          <cell r="J421">
            <v>1065759.0576951939</v>
          </cell>
        </row>
        <row r="422">
          <cell r="A422">
            <v>405</v>
          </cell>
          <cell r="B422">
            <v>77219</v>
          </cell>
          <cell r="C422">
            <v>0</v>
          </cell>
          <cell r="D422">
            <v>272859.94110595033</v>
          </cell>
          <cell r="E422">
            <v>0</v>
          </cell>
          <cell r="F422">
            <v>0</v>
          </cell>
          <cell r="G422">
            <v>0</v>
          </cell>
          <cell r="H422">
            <v>0</v>
          </cell>
          <cell r="I422">
            <v>0</v>
          </cell>
          <cell r="J422">
            <v>1065759.0576951939</v>
          </cell>
        </row>
        <row r="423">
          <cell r="A423">
            <v>406</v>
          </cell>
          <cell r="B423">
            <v>77311</v>
          </cell>
          <cell r="C423">
            <v>0</v>
          </cell>
          <cell r="D423">
            <v>272859.94110595033</v>
          </cell>
          <cell r="E423">
            <v>0</v>
          </cell>
          <cell r="F423">
            <v>0</v>
          </cell>
          <cell r="G423">
            <v>0</v>
          </cell>
          <cell r="H423">
            <v>0</v>
          </cell>
          <cell r="I423">
            <v>0</v>
          </cell>
          <cell r="J423">
            <v>1065759.0576951939</v>
          </cell>
        </row>
        <row r="424">
          <cell r="A424">
            <v>407</v>
          </cell>
          <cell r="B424">
            <v>77402</v>
          </cell>
          <cell r="C424">
            <v>0</v>
          </cell>
          <cell r="D424">
            <v>272859.94110595033</v>
          </cell>
          <cell r="E424">
            <v>0</v>
          </cell>
          <cell r="F424">
            <v>0</v>
          </cell>
          <cell r="G424">
            <v>0</v>
          </cell>
          <cell r="H424">
            <v>0</v>
          </cell>
          <cell r="I424">
            <v>0</v>
          </cell>
          <cell r="J424">
            <v>1065759.0576951939</v>
          </cell>
        </row>
        <row r="425">
          <cell r="A425">
            <v>408</v>
          </cell>
          <cell r="B425">
            <v>77493</v>
          </cell>
          <cell r="C425">
            <v>0</v>
          </cell>
          <cell r="D425">
            <v>272859.94110595033</v>
          </cell>
          <cell r="E425">
            <v>0</v>
          </cell>
          <cell r="F425">
            <v>0</v>
          </cell>
          <cell r="G425">
            <v>0</v>
          </cell>
          <cell r="H425">
            <v>0</v>
          </cell>
          <cell r="I425">
            <v>0</v>
          </cell>
          <cell r="J425">
            <v>1065759.0576951939</v>
          </cell>
        </row>
        <row r="426">
          <cell r="A426">
            <v>409</v>
          </cell>
          <cell r="B426">
            <v>77585</v>
          </cell>
          <cell r="C426">
            <v>0</v>
          </cell>
          <cell r="D426">
            <v>272859.94110595033</v>
          </cell>
          <cell r="E426">
            <v>0</v>
          </cell>
          <cell r="F426">
            <v>0</v>
          </cell>
          <cell r="G426">
            <v>0</v>
          </cell>
          <cell r="H426">
            <v>0</v>
          </cell>
          <cell r="I426">
            <v>0</v>
          </cell>
          <cell r="J426">
            <v>1065759.0576951939</v>
          </cell>
        </row>
        <row r="427">
          <cell r="A427">
            <v>410</v>
          </cell>
          <cell r="B427">
            <v>77677</v>
          </cell>
          <cell r="C427">
            <v>0</v>
          </cell>
          <cell r="D427">
            <v>272859.94110595033</v>
          </cell>
          <cell r="E427">
            <v>0</v>
          </cell>
          <cell r="F427">
            <v>0</v>
          </cell>
          <cell r="G427">
            <v>0</v>
          </cell>
          <cell r="H427">
            <v>0</v>
          </cell>
          <cell r="I427">
            <v>0</v>
          </cell>
          <cell r="J427">
            <v>1065759.0576951939</v>
          </cell>
        </row>
        <row r="428">
          <cell r="A428">
            <v>411</v>
          </cell>
          <cell r="B428">
            <v>77768</v>
          </cell>
          <cell r="C428">
            <v>0</v>
          </cell>
          <cell r="D428">
            <v>272859.94110595033</v>
          </cell>
          <cell r="E428">
            <v>0</v>
          </cell>
          <cell r="F428">
            <v>0</v>
          </cell>
          <cell r="G428">
            <v>0</v>
          </cell>
          <cell r="H428">
            <v>0</v>
          </cell>
          <cell r="I428">
            <v>0</v>
          </cell>
          <cell r="J428">
            <v>1065759.0576951939</v>
          </cell>
        </row>
        <row r="429">
          <cell r="A429">
            <v>412</v>
          </cell>
          <cell r="B429">
            <v>77858</v>
          </cell>
          <cell r="C429">
            <v>0</v>
          </cell>
          <cell r="D429">
            <v>272859.94110595033</v>
          </cell>
          <cell r="E429">
            <v>0</v>
          </cell>
          <cell r="F429">
            <v>0</v>
          </cell>
          <cell r="G429">
            <v>0</v>
          </cell>
          <cell r="H429">
            <v>0</v>
          </cell>
          <cell r="I429">
            <v>0</v>
          </cell>
          <cell r="J429">
            <v>1065759.0576951939</v>
          </cell>
        </row>
        <row r="430">
          <cell r="A430">
            <v>413</v>
          </cell>
          <cell r="B430">
            <v>77950</v>
          </cell>
          <cell r="C430">
            <v>0</v>
          </cell>
          <cell r="D430">
            <v>272859.94110595033</v>
          </cell>
          <cell r="E430">
            <v>0</v>
          </cell>
          <cell r="F430">
            <v>0</v>
          </cell>
          <cell r="G430">
            <v>0</v>
          </cell>
          <cell r="H430">
            <v>0</v>
          </cell>
          <cell r="I430">
            <v>0</v>
          </cell>
          <cell r="J430">
            <v>1065759.0576951939</v>
          </cell>
        </row>
        <row r="431">
          <cell r="A431">
            <v>414</v>
          </cell>
          <cell r="B431">
            <v>78042</v>
          </cell>
          <cell r="C431">
            <v>0</v>
          </cell>
          <cell r="D431">
            <v>272859.94110595033</v>
          </cell>
          <cell r="E431">
            <v>0</v>
          </cell>
          <cell r="F431">
            <v>0</v>
          </cell>
          <cell r="G431">
            <v>0</v>
          </cell>
          <cell r="H431">
            <v>0</v>
          </cell>
          <cell r="I431">
            <v>0</v>
          </cell>
          <cell r="J431">
            <v>1065759.0576951939</v>
          </cell>
        </row>
        <row r="432">
          <cell r="A432">
            <v>415</v>
          </cell>
          <cell r="B432">
            <v>78133</v>
          </cell>
          <cell r="C432">
            <v>0</v>
          </cell>
          <cell r="D432">
            <v>272859.94110595033</v>
          </cell>
          <cell r="E432">
            <v>0</v>
          </cell>
          <cell r="F432">
            <v>0</v>
          </cell>
          <cell r="G432">
            <v>0</v>
          </cell>
          <cell r="H432">
            <v>0</v>
          </cell>
          <cell r="I432">
            <v>0</v>
          </cell>
          <cell r="J432">
            <v>1065759.0576951939</v>
          </cell>
        </row>
        <row r="433">
          <cell r="A433">
            <v>416</v>
          </cell>
          <cell r="B433">
            <v>78223</v>
          </cell>
          <cell r="C433">
            <v>0</v>
          </cell>
          <cell r="D433">
            <v>272859.94110595033</v>
          </cell>
          <cell r="E433">
            <v>0</v>
          </cell>
          <cell r="F433">
            <v>0</v>
          </cell>
          <cell r="G433">
            <v>0</v>
          </cell>
          <cell r="H433">
            <v>0</v>
          </cell>
          <cell r="I433">
            <v>0</v>
          </cell>
          <cell r="J433">
            <v>1065759.0576951939</v>
          </cell>
        </row>
        <row r="434">
          <cell r="A434">
            <v>417</v>
          </cell>
          <cell r="B434">
            <v>78315</v>
          </cell>
          <cell r="C434">
            <v>0</v>
          </cell>
          <cell r="D434">
            <v>272859.94110595033</v>
          </cell>
          <cell r="E434">
            <v>0</v>
          </cell>
          <cell r="F434">
            <v>0</v>
          </cell>
          <cell r="G434">
            <v>0</v>
          </cell>
          <cell r="H434">
            <v>0</v>
          </cell>
          <cell r="I434">
            <v>0</v>
          </cell>
          <cell r="J434">
            <v>1065759.0576951939</v>
          </cell>
        </row>
        <row r="435">
          <cell r="A435">
            <v>418</v>
          </cell>
          <cell r="B435">
            <v>78407</v>
          </cell>
          <cell r="C435">
            <v>0</v>
          </cell>
          <cell r="D435">
            <v>272859.94110595033</v>
          </cell>
          <cell r="E435">
            <v>0</v>
          </cell>
          <cell r="F435">
            <v>0</v>
          </cell>
          <cell r="G435">
            <v>0</v>
          </cell>
          <cell r="H435">
            <v>0</v>
          </cell>
          <cell r="I435">
            <v>0</v>
          </cell>
          <cell r="J435">
            <v>1065759.0576951939</v>
          </cell>
        </row>
        <row r="436">
          <cell r="A436">
            <v>419</v>
          </cell>
          <cell r="B436">
            <v>78498</v>
          </cell>
          <cell r="C436">
            <v>0</v>
          </cell>
          <cell r="D436">
            <v>272859.94110595033</v>
          </cell>
          <cell r="E436">
            <v>0</v>
          </cell>
          <cell r="F436">
            <v>0</v>
          </cell>
          <cell r="G436">
            <v>0</v>
          </cell>
          <cell r="H436">
            <v>0</v>
          </cell>
          <cell r="I436">
            <v>0</v>
          </cell>
          <cell r="J436">
            <v>1065759.0576951939</v>
          </cell>
        </row>
        <row r="437">
          <cell r="A437">
            <v>420</v>
          </cell>
          <cell r="B437">
            <v>78588</v>
          </cell>
          <cell r="C437">
            <v>0</v>
          </cell>
          <cell r="D437">
            <v>272859.94110595033</v>
          </cell>
          <cell r="E437">
            <v>0</v>
          </cell>
          <cell r="F437">
            <v>0</v>
          </cell>
          <cell r="G437">
            <v>0</v>
          </cell>
          <cell r="H437">
            <v>0</v>
          </cell>
          <cell r="I437">
            <v>0</v>
          </cell>
          <cell r="J437">
            <v>1065759.0576951939</v>
          </cell>
        </row>
        <row r="438">
          <cell r="A438">
            <v>421</v>
          </cell>
          <cell r="B438">
            <v>78680</v>
          </cell>
          <cell r="C438">
            <v>0</v>
          </cell>
          <cell r="D438">
            <v>272859.94110595033</v>
          </cell>
          <cell r="E438">
            <v>0</v>
          </cell>
          <cell r="F438">
            <v>0</v>
          </cell>
          <cell r="G438">
            <v>0</v>
          </cell>
          <cell r="H438">
            <v>0</v>
          </cell>
          <cell r="I438">
            <v>0</v>
          </cell>
          <cell r="J438">
            <v>1065759.0576951939</v>
          </cell>
        </row>
        <row r="439">
          <cell r="A439">
            <v>422</v>
          </cell>
          <cell r="B439">
            <v>78772</v>
          </cell>
          <cell r="C439">
            <v>0</v>
          </cell>
          <cell r="D439">
            <v>272859.94110595033</v>
          </cell>
          <cell r="E439">
            <v>0</v>
          </cell>
          <cell r="F439">
            <v>0</v>
          </cell>
          <cell r="G439">
            <v>0</v>
          </cell>
          <cell r="H439">
            <v>0</v>
          </cell>
          <cell r="I439">
            <v>0</v>
          </cell>
          <cell r="J439">
            <v>1065759.0576951939</v>
          </cell>
        </row>
        <row r="440">
          <cell r="A440">
            <v>423</v>
          </cell>
          <cell r="B440">
            <v>78863</v>
          </cell>
          <cell r="C440">
            <v>0</v>
          </cell>
          <cell r="D440">
            <v>272859.94110595033</v>
          </cell>
          <cell r="E440">
            <v>0</v>
          </cell>
          <cell r="F440">
            <v>0</v>
          </cell>
          <cell r="G440">
            <v>0</v>
          </cell>
          <cell r="H440">
            <v>0</v>
          </cell>
          <cell r="I440">
            <v>0</v>
          </cell>
          <cell r="J440">
            <v>1065759.0576951939</v>
          </cell>
        </row>
        <row r="441">
          <cell r="A441">
            <v>424</v>
          </cell>
          <cell r="B441">
            <v>78954</v>
          </cell>
          <cell r="C441">
            <v>0</v>
          </cell>
          <cell r="D441">
            <v>272859.94110595033</v>
          </cell>
          <cell r="E441">
            <v>0</v>
          </cell>
          <cell r="F441">
            <v>0</v>
          </cell>
          <cell r="G441">
            <v>0</v>
          </cell>
          <cell r="H441">
            <v>0</v>
          </cell>
          <cell r="I441">
            <v>0</v>
          </cell>
          <cell r="J441">
            <v>1065759.0576951939</v>
          </cell>
        </row>
        <row r="442">
          <cell r="A442">
            <v>425</v>
          </cell>
          <cell r="B442">
            <v>79046</v>
          </cell>
          <cell r="C442">
            <v>0</v>
          </cell>
          <cell r="D442">
            <v>272859.94110595033</v>
          </cell>
          <cell r="E442">
            <v>0</v>
          </cell>
          <cell r="F442">
            <v>0</v>
          </cell>
          <cell r="G442">
            <v>0</v>
          </cell>
          <cell r="H442">
            <v>0</v>
          </cell>
          <cell r="I442">
            <v>0</v>
          </cell>
          <cell r="J442">
            <v>1065759.0576951939</v>
          </cell>
        </row>
        <row r="443">
          <cell r="A443">
            <v>426</v>
          </cell>
          <cell r="B443">
            <v>79138</v>
          </cell>
          <cell r="C443">
            <v>0</v>
          </cell>
          <cell r="D443">
            <v>272859.94110595033</v>
          </cell>
          <cell r="E443">
            <v>0</v>
          </cell>
          <cell r="F443">
            <v>0</v>
          </cell>
          <cell r="G443">
            <v>0</v>
          </cell>
          <cell r="H443">
            <v>0</v>
          </cell>
          <cell r="I443">
            <v>0</v>
          </cell>
          <cell r="J443">
            <v>1065759.0576951939</v>
          </cell>
        </row>
        <row r="444">
          <cell r="A444">
            <v>427</v>
          </cell>
          <cell r="B444">
            <v>79229</v>
          </cell>
          <cell r="C444">
            <v>0</v>
          </cell>
          <cell r="D444">
            <v>272859.94110595033</v>
          </cell>
          <cell r="E444">
            <v>0</v>
          </cell>
          <cell r="F444">
            <v>0</v>
          </cell>
          <cell r="G444">
            <v>0</v>
          </cell>
          <cell r="H444">
            <v>0</v>
          </cell>
          <cell r="I444">
            <v>0</v>
          </cell>
          <cell r="J444">
            <v>1065759.0576951939</v>
          </cell>
        </row>
        <row r="445">
          <cell r="A445">
            <v>428</v>
          </cell>
          <cell r="B445">
            <v>79319</v>
          </cell>
          <cell r="C445">
            <v>0</v>
          </cell>
          <cell r="D445">
            <v>272859.94110595033</v>
          </cell>
          <cell r="E445">
            <v>0</v>
          </cell>
          <cell r="F445">
            <v>0</v>
          </cell>
          <cell r="G445">
            <v>0</v>
          </cell>
          <cell r="H445">
            <v>0</v>
          </cell>
          <cell r="I445">
            <v>0</v>
          </cell>
          <cell r="J445">
            <v>1065759.0576951939</v>
          </cell>
        </row>
        <row r="446">
          <cell r="A446">
            <v>429</v>
          </cell>
          <cell r="B446">
            <v>79411</v>
          </cell>
          <cell r="C446">
            <v>0</v>
          </cell>
          <cell r="D446">
            <v>272859.94110595033</v>
          </cell>
          <cell r="E446">
            <v>0</v>
          </cell>
          <cell r="F446">
            <v>0</v>
          </cell>
          <cell r="G446">
            <v>0</v>
          </cell>
          <cell r="H446">
            <v>0</v>
          </cell>
          <cell r="I446">
            <v>0</v>
          </cell>
          <cell r="J446">
            <v>1065759.0576951939</v>
          </cell>
        </row>
        <row r="447">
          <cell r="A447">
            <v>430</v>
          </cell>
          <cell r="B447">
            <v>79503</v>
          </cell>
          <cell r="C447">
            <v>0</v>
          </cell>
          <cell r="D447">
            <v>272859.94110595033</v>
          </cell>
          <cell r="E447">
            <v>0</v>
          </cell>
          <cell r="F447">
            <v>0</v>
          </cell>
          <cell r="G447">
            <v>0</v>
          </cell>
          <cell r="H447">
            <v>0</v>
          </cell>
          <cell r="I447">
            <v>0</v>
          </cell>
          <cell r="J447">
            <v>1065759.0576951939</v>
          </cell>
        </row>
        <row r="448">
          <cell r="A448">
            <v>431</v>
          </cell>
          <cell r="B448">
            <v>79594</v>
          </cell>
          <cell r="C448">
            <v>0</v>
          </cell>
          <cell r="D448">
            <v>272859.94110595033</v>
          </cell>
          <cell r="E448">
            <v>0</v>
          </cell>
          <cell r="F448">
            <v>0</v>
          </cell>
          <cell r="G448">
            <v>0</v>
          </cell>
          <cell r="H448">
            <v>0</v>
          </cell>
          <cell r="I448">
            <v>0</v>
          </cell>
          <cell r="J448">
            <v>1065759.0576951939</v>
          </cell>
        </row>
        <row r="449">
          <cell r="A449">
            <v>432</v>
          </cell>
          <cell r="B449">
            <v>79684</v>
          </cell>
          <cell r="C449">
            <v>0</v>
          </cell>
          <cell r="D449">
            <v>272859.94110595033</v>
          </cell>
          <cell r="E449">
            <v>0</v>
          </cell>
          <cell r="F449">
            <v>0</v>
          </cell>
          <cell r="G449">
            <v>0</v>
          </cell>
          <cell r="H449">
            <v>0</v>
          </cell>
          <cell r="I449">
            <v>0</v>
          </cell>
          <cell r="J449">
            <v>1065759.0576951939</v>
          </cell>
        </row>
        <row r="450">
          <cell r="A450">
            <v>433</v>
          </cell>
          <cell r="B450">
            <v>79776</v>
          </cell>
          <cell r="C450">
            <v>0</v>
          </cell>
          <cell r="D450">
            <v>272859.94110595033</v>
          </cell>
          <cell r="E450">
            <v>0</v>
          </cell>
          <cell r="F450">
            <v>0</v>
          </cell>
          <cell r="G450">
            <v>0</v>
          </cell>
          <cell r="H450">
            <v>0</v>
          </cell>
          <cell r="I450">
            <v>0</v>
          </cell>
          <cell r="J450">
            <v>1065759.0576951939</v>
          </cell>
        </row>
        <row r="451">
          <cell r="A451">
            <v>434</v>
          </cell>
          <cell r="B451">
            <v>79868</v>
          </cell>
          <cell r="C451">
            <v>0</v>
          </cell>
          <cell r="D451">
            <v>272859.94110595033</v>
          </cell>
          <cell r="E451">
            <v>0</v>
          </cell>
          <cell r="F451">
            <v>0</v>
          </cell>
          <cell r="G451">
            <v>0</v>
          </cell>
          <cell r="H451">
            <v>0</v>
          </cell>
          <cell r="I451">
            <v>0</v>
          </cell>
          <cell r="J451">
            <v>1065759.0576951939</v>
          </cell>
        </row>
        <row r="452">
          <cell r="A452">
            <v>435</v>
          </cell>
          <cell r="B452">
            <v>79959</v>
          </cell>
          <cell r="C452">
            <v>0</v>
          </cell>
          <cell r="D452">
            <v>272859.94110595033</v>
          </cell>
          <cell r="E452">
            <v>0</v>
          </cell>
          <cell r="F452">
            <v>0</v>
          </cell>
          <cell r="G452">
            <v>0</v>
          </cell>
          <cell r="H452">
            <v>0</v>
          </cell>
          <cell r="I452">
            <v>0</v>
          </cell>
          <cell r="J452">
            <v>1065759.0576951939</v>
          </cell>
        </row>
        <row r="453">
          <cell r="A453">
            <v>436</v>
          </cell>
          <cell r="B453">
            <v>80049</v>
          </cell>
          <cell r="C453">
            <v>0</v>
          </cell>
          <cell r="D453">
            <v>272859.94110595033</v>
          </cell>
          <cell r="E453">
            <v>0</v>
          </cell>
          <cell r="F453">
            <v>0</v>
          </cell>
          <cell r="G453">
            <v>0</v>
          </cell>
          <cell r="H453">
            <v>0</v>
          </cell>
          <cell r="I453">
            <v>0</v>
          </cell>
          <cell r="J453">
            <v>1065759.0576951939</v>
          </cell>
        </row>
        <row r="454">
          <cell r="A454">
            <v>437</v>
          </cell>
          <cell r="B454">
            <v>80141</v>
          </cell>
          <cell r="C454">
            <v>0</v>
          </cell>
          <cell r="D454">
            <v>272859.94110595033</v>
          </cell>
          <cell r="E454">
            <v>0</v>
          </cell>
          <cell r="F454">
            <v>0</v>
          </cell>
          <cell r="G454">
            <v>0</v>
          </cell>
          <cell r="H454">
            <v>0</v>
          </cell>
          <cell r="I454">
            <v>0</v>
          </cell>
          <cell r="J454">
            <v>1065759.0576951939</v>
          </cell>
        </row>
        <row r="455">
          <cell r="A455">
            <v>438</v>
          </cell>
          <cell r="B455">
            <v>80233</v>
          </cell>
          <cell r="C455">
            <v>0</v>
          </cell>
          <cell r="D455">
            <v>272859.94110595033</v>
          </cell>
          <cell r="E455">
            <v>0</v>
          </cell>
          <cell r="F455">
            <v>0</v>
          </cell>
          <cell r="G455">
            <v>0</v>
          </cell>
          <cell r="H455">
            <v>0</v>
          </cell>
          <cell r="I455">
            <v>0</v>
          </cell>
          <cell r="J455">
            <v>1065759.0576951939</v>
          </cell>
        </row>
        <row r="456">
          <cell r="A456">
            <v>439</v>
          </cell>
          <cell r="B456">
            <v>80324</v>
          </cell>
          <cell r="C456">
            <v>0</v>
          </cell>
          <cell r="D456">
            <v>272859.94110595033</v>
          </cell>
          <cell r="E456">
            <v>0</v>
          </cell>
          <cell r="F456">
            <v>0</v>
          </cell>
          <cell r="G456">
            <v>0</v>
          </cell>
          <cell r="H456">
            <v>0</v>
          </cell>
          <cell r="I456">
            <v>0</v>
          </cell>
          <cell r="J456">
            <v>1065759.0576951939</v>
          </cell>
        </row>
        <row r="457">
          <cell r="A457">
            <v>440</v>
          </cell>
          <cell r="B457">
            <v>80415</v>
          </cell>
          <cell r="C457">
            <v>0</v>
          </cell>
          <cell r="D457">
            <v>272859.94110595033</v>
          </cell>
          <cell r="E457">
            <v>0</v>
          </cell>
          <cell r="F457">
            <v>0</v>
          </cell>
          <cell r="G457">
            <v>0</v>
          </cell>
          <cell r="H457">
            <v>0</v>
          </cell>
          <cell r="I457">
            <v>0</v>
          </cell>
          <cell r="J457">
            <v>1065759.0576951939</v>
          </cell>
        </row>
        <row r="458">
          <cell r="A458">
            <v>441</v>
          </cell>
          <cell r="B458">
            <v>80507</v>
          </cell>
          <cell r="C458">
            <v>0</v>
          </cell>
          <cell r="D458">
            <v>272859.94110595033</v>
          </cell>
          <cell r="E458">
            <v>0</v>
          </cell>
          <cell r="F458">
            <v>0</v>
          </cell>
          <cell r="G458">
            <v>0</v>
          </cell>
          <cell r="H458">
            <v>0</v>
          </cell>
          <cell r="I458">
            <v>0</v>
          </cell>
          <cell r="J458">
            <v>1065759.0576951939</v>
          </cell>
        </row>
        <row r="459">
          <cell r="A459">
            <v>442</v>
          </cell>
          <cell r="B459">
            <v>80599</v>
          </cell>
          <cell r="C459">
            <v>0</v>
          </cell>
          <cell r="D459">
            <v>272859.94110595033</v>
          </cell>
          <cell r="E459">
            <v>0</v>
          </cell>
          <cell r="F459">
            <v>0</v>
          </cell>
          <cell r="G459">
            <v>0</v>
          </cell>
          <cell r="H459">
            <v>0</v>
          </cell>
          <cell r="I459">
            <v>0</v>
          </cell>
          <cell r="J459">
            <v>1065759.0576951939</v>
          </cell>
        </row>
        <row r="460">
          <cell r="A460">
            <v>443</v>
          </cell>
          <cell r="B460">
            <v>80690</v>
          </cell>
          <cell r="C460">
            <v>0</v>
          </cell>
          <cell r="D460">
            <v>272859.94110595033</v>
          </cell>
          <cell r="E460">
            <v>0</v>
          </cell>
          <cell r="F460">
            <v>0</v>
          </cell>
          <cell r="G460">
            <v>0</v>
          </cell>
          <cell r="H460">
            <v>0</v>
          </cell>
          <cell r="I460">
            <v>0</v>
          </cell>
          <cell r="J460">
            <v>1065759.0576951939</v>
          </cell>
        </row>
        <row r="461">
          <cell r="A461">
            <v>444</v>
          </cell>
          <cell r="B461">
            <v>80780</v>
          </cell>
          <cell r="C461">
            <v>0</v>
          </cell>
          <cell r="D461">
            <v>272859.94110595033</v>
          </cell>
          <cell r="E461">
            <v>0</v>
          </cell>
          <cell r="F461">
            <v>0</v>
          </cell>
          <cell r="G461">
            <v>0</v>
          </cell>
          <cell r="H461">
            <v>0</v>
          </cell>
          <cell r="I461">
            <v>0</v>
          </cell>
          <cell r="J461">
            <v>1065759.0576951939</v>
          </cell>
        </row>
        <row r="462">
          <cell r="A462">
            <v>445</v>
          </cell>
          <cell r="B462">
            <v>80872</v>
          </cell>
          <cell r="C462">
            <v>0</v>
          </cell>
          <cell r="D462">
            <v>272859.94110595033</v>
          </cell>
          <cell r="E462">
            <v>0</v>
          </cell>
          <cell r="F462">
            <v>0</v>
          </cell>
          <cell r="G462">
            <v>0</v>
          </cell>
          <cell r="H462">
            <v>0</v>
          </cell>
          <cell r="I462">
            <v>0</v>
          </cell>
          <cell r="J462">
            <v>1065759.0576951939</v>
          </cell>
        </row>
        <row r="463">
          <cell r="A463">
            <v>446</v>
          </cell>
          <cell r="B463">
            <v>80964</v>
          </cell>
          <cell r="C463">
            <v>0</v>
          </cell>
          <cell r="D463">
            <v>272859.94110595033</v>
          </cell>
          <cell r="E463">
            <v>0</v>
          </cell>
          <cell r="F463">
            <v>0</v>
          </cell>
          <cell r="G463">
            <v>0</v>
          </cell>
          <cell r="H463">
            <v>0</v>
          </cell>
          <cell r="I463">
            <v>0</v>
          </cell>
          <cell r="J463">
            <v>1065759.0576951939</v>
          </cell>
        </row>
        <row r="464">
          <cell r="A464">
            <v>447</v>
          </cell>
          <cell r="B464">
            <v>81055</v>
          </cell>
          <cell r="C464">
            <v>0</v>
          </cell>
          <cell r="D464">
            <v>272859.94110595033</v>
          </cell>
          <cell r="E464">
            <v>0</v>
          </cell>
          <cell r="F464">
            <v>0</v>
          </cell>
          <cell r="G464">
            <v>0</v>
          </cell>
          <cell r="H464">
            <v>0</v>
          </cell>
          <cell r="I464">
            <v>0</v>
          </cell>
          <cell r="J464">
            <v>1065759.0576951939</v>
          </cell>
        </row>
        <row r="465">
          <cell r="A465">
            <v>448</v>
          </cell>
          <cell r="B465">
            <v>81145</v>
          </cell>
          <cell r="C465">
            <v>0</v>
          </cell>
          <cell r="D465">
            <v>272859.94110595033</v>
          </cell>
          <cell r="E465">
            <v>0</v>
          </cell>
          <cell r="F465">
            <v>0</v>
          </cell>
          <cell r="G465">
            <v>0</v>
          </cell>
          <cell r="H465">
            <v>0</v>
          </cell>
          <cell r="I465">
            <v>0</v>
          </cell>
          <cell r="J465">
            <v>1065759.0576951939</v>
          </cell>
        </row>
        <row r="466">
          <cell r="A466">
            <v>449</v>
          </cell>
          <cell r="B466">
            <v>81237</v>
          </cell>
          <cell r="C466">
            <v>0</v>
          </cell>
          <cell r="D466">
            <v>272859.94110595033</v>
          </cell>
          <cell r="E466">
            <v>0</v>
          </cell>
          <cell r="F466">
            <v>0</v>
          </cell>
          <cell r="G466">
            <v>0</v>
          </cell>
          <cell r="H466">
            <v>0</v>
          </cell>
          <cell r="I466">
            <v>0</v>
          </cell>
          <cell r="J466">
            <v>1065759.0576951939</v>
          </cell>
        </row>
        <row r="467">
          <cell r="A467">
            <v>450</v>
          </cell>
          <cell r="B467">
            <v>81329</v>
          </cell>
          <cell r="C467">
            <v>0</v>
          </cell>
          <cell r="D467">
            <v>272859.94110595033</v>
          </cell>
          <cell r="E467">
            <v>0</v>
          </cell>
          <cell r="F467">
            <v>0</v>
          </cell>
          <cell r="G467">
            <v>0</v>
          </cell>
          <cell r="H467">
            <v>0</v>
          </cell>
          <cell r="I467">
            <v>0</v>
          </cell>
          <cell r="J467">
            <v>1065759.0576951939</v>
          </cell>
        </row>
        <row r="468">
          <cell r="A468">
            <v>451</v>
          </cell>
          <cell r="B468">
            <v>81420</v>
          </cell>
          <cell r="C468">
            <v>0</v>
          </cell>
          <cell r="D468">
            <v>272859.94110595033</v>
          </cell>
          <cell r="E468">
            <v>0</v>
          </cell>
          <cell r="F468">
            <v>0</v>
          </cell>
          <cell r="G468">
            <v>0</v>
          </cell>
          <cell r="H468">
            <v>0</v>
          </cell>
          <cell r="I468">
            <v>0</v>
          </cell>
          <cell r="J468">
            <v>1065759.0576951939</v>
          </cell>
        </row>
        <row r="469">
          <cell r="A469">
            <v>452</v>
          </cell>
          <cell r="B469">
            <v>81510</v>
          </cell>
          <cell r="C469">
            <v>0</v>
          </cell>
          <cell r="D469">
            <v>272859.94110595033</v>
          </cell>
          <cell r="E469">
            <v>0</v>
          </cell>
          <cell r="F469">
            <v>0</v>
          </cell>
          <cell r="G469">
            <v>0</v>
          </cell>
          <cell r="H469">
            <v>0</v>
          </cell>
          <cell r="I469">
            <v>0</v>
          </cell>
          <cell r="J469">
            <v>1065759.0576951939</v>
          </cell>
        </row>
        <row r="470">
          <cell r="A470">
            <v>453</v>
          </cell>
          <cell r="B470">
            <v>81602</v>
          </cell>
          <cell r="C470">
            <v>0</v>
          </cell>
          <cell r="D470">
            <v>272859.94110595033</v>
          </cell>
          <cell r="E470">
            <v>0</v>
          </cell>
          <cell r="F470">
            <v>0</v>
          </cell>
          <cell r="G470">
            <v>0</v>
          </cell>
          <cell r="H470">
            <v>0</v>
          </cell>
          <cell r="I470">
            <v>0</v>
          </cell>
          <cell r="J470">
            <v>1065759.0576951939</v>
          </cell>
        </row>
        <row r="471">
          <cell r="A471">
            <v>454</v>
          </cell>
          <cell r="B471">
            <v>81694</v>
          </cell>
          <cell r="C471">
            <v>0</v>
          </cell>
          <cell r="D471">
            <v>272859.94110595033</v>
          </cell>
          <cell r="E471">
            <v>0</v>
          </cell>
          <cell r="F471">
            <v>0</v>
          </cell>
          <cell r="G471">
            <v>0</v>
          </cell>
          <cell r="H471">
            <v>0</v>
          </cell>
          <cell r="I471">
            <v>0</v>
          </cell>
          <cell r="J471">
            <v>1065759.0576951939</v>
          </cell>
        </row>
        <row r="472">
          <cell r="A472">
            <v>455</v>
          </cell>
          <cell r="B472">
            <v>81785</v>
          </cell>
          <cell r="C472">
            <v>0</v>
          </cell>
          <cell r="D472">
            <v>272859.94110595033</v>
          </cell>
          <cell r="E472">
            <v>0</v>
          </cell>
          <cell r="F472">
            <v>0</v>
          </cell>
          <cell r="G472">
            <v>0</v>
          </cell>
          <cell r="H472">
            <v>0</v>
          </cell>
          <cell r="I472">
            <v>0</v>
          </cell>
          <cell r="J472">
            <v>1065759.0576951939</v>
          </cell>
        </row>
        <row r="473">
          <cell r="A473">
            <v>456</v>
          </cell>
          <cell r="B473">
            <v>81876</v>
          </cell>
          <cell r="C473">
            <v>0</v>
          </cell>
          <cell r="D473">
            <v>272859.94110595033</v>
          </cell>
          <cell r="E473">
            <v>0</v>
          </cell>
          <cell r="F473">
            <v>0</v>
          </cell>
          <cell r="G473">
            <v>0</v>
          </cell>
          <cell r="H473">
            <v>0</v>
          </cell>
          <cell r="I473">
            <v>0</v>
          </cell>
          <cell r="J473">
            <v>1065759.0576951939</v>
          </cell>
        </row>
        <row r="474">
          <cell r="A474">
            <v>457</v>
          </cell>
          <cell r="B474">
            <v>81968</v>
          </cell>
          <cell r="C474">
            <v>0</v>
          </cell>
          <cell r="D474">
            <v>272859.94110595033</v>
          </cell>
          <cell r="E474">
            <v>0</v>
          </cell>
          <cell r="F474">
            <v>0</v>
          </cell>
          <cell r="G474">
            <v>0</v>
          </cell>
          <cell r="H474">
            <v>0</v>
          </cell>
          <cell r="I474">
            <v>0</v>
          </cell>
          <cell r="J474">
            <v>1065759.0576951939</v>
          </cell>
        </row>
        <row r="475">
          <cell r="A475">
            <v>458</v>
          </cell>
          <cell r="B475">
            <v>82060</v>
          </cell>
          <cell r="C475">
            <v>0</v>
          </cell>
          <cell r="D475">
            <v>272859.94110595033</v>
          </cell>
          <cell r="E475">
            <v>0</v>
          </cell>
          <cell r="F475">
            <v>0</v>
          </cell>
          <cell r="G475">
            <v>0</v>
          </cell>
          <cell r="H475">
            <v>0</v>
          </cell>
          <cell r="I475">
            <v>0</v>
          </cell>
          <cell r="J475">
            <v>1065759.0576951939</v>
          </cell>
        </row>
        <row r="476">
          <cell r="A476">
            <v>459</v>
          </cell>
          <cell r="B476">
            <v>82151</v>
          </cell>
          <cell r="C476">
            <v>0</v>
          </cell>
          <cell r="D476">
            <v>272859.94110595033</v>
          </cell>
          <cell r="E476">
            <v>0</v>
          </cell>
          <cell r="F476">
            <v>0</v>
          </cell>
          <cell r="G476">
            <v>0</v>
          </cell>
          <cell r="H476">
            <v>0</v>
          </cell>
          <cell r="I476">
            <v>0</v>
          </cell>
          <cell r="J476">
            <v>1065759.0576951939</v>
          </cell>
        </row>
        <row r="477">
          <cell r="A477">
            <v>460</v>
          </cell>
          <cell r="B477">
            <v>82241</v>
          </cell>
          <cell r="C477">
            <v>0</v>
          </cell>
          <cell r="D477">
            <v>272859.94110595033</v>
          </cell>
          <cell r="E477">
            <v>0</v>
          </cell>
          <cell r="F477">
            <v>0</v>
          </cell>
          <cell r="G477">
            <v>0</v>
          </cell>
          <cell r="H477">
            <v>0</v>
          </cell>
          <cell r="I477">
            <v>0</v>
          </cell>
          <cell r="J477">
            <v>1065759.0576951939</v>
          </cell>
        </row>
        <row r="478">
          <cell r="A478">
            <v>461</v>
          </cell>
          <cell r="B478">
            <v>82333</v>
          </cell>
          <cell r="C478">
            <v>0</v>
          </cell>
          <cell r="D478">
            <v>272859.94110595033</v>
          </cell>
          <cell r="E478">
            <v>0</v>
          </cell>
          <cell r="F478">
            <v>0</v>
          </cell>
          <cell r="G478">
            <v>0</v>
          </cell>
          <cell r="H478">
            <v>0</v>
          </cell>
          <cell r="I478">
            <v>0</v>
          </cell>
          <cell r="J478">
            <v>1065759.0576951939</v>
          </cell>
        </row>
        <row r="479">
          <cell r="A479">
            <v>462</v>
          </cell>
          <cell r="B479">
            <v>82425</v>
          </cell>
          <cell r="C479">
            <v>0</v>
          </cell>
          <cell r="D479">
            <v>272859.94110595033</v>
          </cell>
          <cell r="E479">
            <v>0</v>
          </cell>
          <cell r="F479">
            <v>0</v>
          </cell>
          <cell r="G479">
            <v>0</v>
          </cell>
          <cell r="H479">
            <v>0</v>
          </cell>
          <cell r="I479">
            <v>0</v>
          </cell>
          <cell r="J479">
            <v>1065759.0576951939</v>
          </cell>
        </row>
        <row r="480">
          <cell r="A480">
            <v>463</v>
          </cell>
          <cell r="B480">
            <v>82516</v>
          </cell>
          <cell r="C480">
            <v>0</v>
          </cell>
          <cell r="D480">
            <v>272859.94110595033</v>
          </cell>
          <cell r="E480">
            <v>0</v>
          </cell>
          <cell r="F480">
            <v>0</v>
          </cell>
          <cell r="G480">
            <v>0</v>
          </cell>
          <cell r="H480">
            <v>0</v>
          </cell>
          <cell r="I480">
            <v>0</v>
          </cell>
          <cell r="J480">
            <v>1065759.0576951939</v>
          </cell>
        </row>
        <row r="481">
          <cell r="A481">
            <v>464</v>
          </cell>
          <cell r="B481">
            <v>82606</v>
          </cell>
          <cell r="C481">
            <v>0</v>
          </cell>
          <cell r="D481">
            <v>272859.94110595033</v>
          </cell>
          <cell r="E481">
            <v>0</v>
          </cell>
          <cell r="F481">
            <v>0</v>
          </cell>
          <cell r="G481">
            <v>0</v>
          </cell>
          <cell r="H481">
            <v>0</v>
          </cell>
          <cell r="I481">
            <v>0</v>
          </cell>
          <cell r="J481">
            <v>1065759.0576951939</v>
          </cell>
        </row>
        <row r="482">
          <cell r="A482">
            <v>465</v>
          </cell>
          <cell r="B482">
            <v>82698</v>
          </cell>
          <cell r="C482">
            <v>0</v>
          </cell>
          <cell r="D482">
            <v>272859.94110595033</v>
          </cell>
          <cell r="E482">
            <v>0</v>
          </cell>
          <cell r="F482">
            <v>0</v>
          </cell>
          <cell r="G482">
            <v>0</v>
          </cell>
          <cell r="H482">
            <v>0</v>
          </cell>
          <cell r="I482">
            <v>0</v>
          </cell>
          <cell r="J482">
            <v>1065759.0576951939</v>
          </cell>
        </row>
        <row r="483">
          <cell r="A483">
            <v>466</v>
          </cell>
          <cell r="B483">
            <v>82790</v>
          </cell>
          <cell r="C483">
            <v>0</v>
          </cell>
          <cell r="D483">
            <v>272859.94110595033</v>
          </cell>
          <cell r="E483">
            <v>0</v>
          </cell>
          <cell r="F483">
            <v>0</v>
          </cell>
          <cell r="G483">
            <v>0</v>
          </cell>
          <cell r="H483">
            <v>0</v>
          </cell>
          <cell r="I483">
            <v>0</v>
          </cell>
          <cell r="J483">
            <v>1065759.0576951939</v>
          </cell>
        </row>
        <row r="484">
          <cell r="A484">
            <v>467</v>
          </cell>
          <cell r="B484">
            <v>82881</v>
          </cell>
          <cell r="C484">
            <v>0</v>
          </cell>
          <cell r="D484">
            <v>272859.94110595033</v>
          </cell>
          <cell r="E484">
            <v>0</v>
          </cell>
          <cell r="F484">
            <v>0</v>
          </cell>
          <cell r="G484">
            <v>0</v>
          </cell>
          <cell r="H484">
            <v>0</v>
          </cell>
          <cell r="I484">
            <v>0</v>
          </cell>
          <cell r="J484">
            <v>1065759.0576951939</v>
          </cell>
        </row>
        <row r="485">
          <cell r="A485">
            <v>468</v>
          </cell>
          <cell r="B485">
            <v>82971</v>
          </cell>
          <cell r="C485">
            <v>0</v>
          </cell>
          <cell r="D485">
            <v>272859.94110595033</v>
          </cell>
          <cell r="E485">
            <v>0</v>
          </cell>
          <cell r="F485">
            <v>0</v>
          </cell>
          <cell r="G485">
            <v>0</v>
          </cell>
          <cell r="H485">
            <v>0</v>
          </cell>
          <cell r="I485">
            <v>0</v>
          </cell>
          <cell r="J485">
            <v>1065759.0576951939</v>
          </cell>
        </row>
        <row r="486">
          <cell r="A486">
            <v>469</v>
          </cell>
          <cell r="B486">
            <v>83063</v>
          </cell>
          <cell r="C486">
            <v>0</v>
          </cell>
          <cell r="D486">
            <v>272859.94110595033</v>
          </cell>
          <cell r="E486">
            <v>0</v>
          </cell>
          <cell r="F486">
            <v>0</v>
          </cell>
          <cell r="G486">
            <v>0</v>
          </cell>
          <cell r="H486">
            <v>0</v>
          </cell>
          <cell r="I486">
            <v>0</v>
          </cell>
          <cell r="J486">
            <v>1065759.0576951939</v>
          </cell>
        </row>
        <row r="487">
          <cell r="A487">
            <v>470</v>
          </cell>
          <cell r="B487">
            <v>83155</v>
          </cell>
          <cell r="C487">
            <v>0</v>
          </cell>
          <cell r="D487">
            <v>272859.94110595033</v>
          </cell>
          <cell r="E487">
            <v>0</v>
          </cell>
          <cell r="F487">
            <v>0</v>
          </cell>
          <cell r="G487">
            <v>0</v>
          </cell>
          <cell r="H487">
            <v>0</v>
          </cell>
          <cell r="I487">
            <v>0</v>
          </cell>
          <cell r="J487">
            <v>1065759.0576951939</v>
          </cell>
        </row>
        <row r="488">
          <cell r="A488">
            <v>471</v>
          </cell>
          <cell r="B488">
            <v>83246</v>
          </cell>
          <cell r="C488">
            <v>0</v>
          </cell>
          <cell r="D488">
            <v>272859.94110595033</v>
          </cell>
          <cell r="E488">
            <v>0</v>
          </cell>
          <cell r="F488">
            <v>0</v>
          </cell>
          <cell r="G488">
            <v>0</v>
          </cell>
          <cell r="H488">
            <v>0</v>
          </cell>
          <cell r="I488">
            <v>0</v>
          </cell>
          <cell r="J488">
            <v>1065759.0576951939</v>
          </cell>
        </row>
        <row r="489">
          <cell r="A489">
            <v>472</v>
          </cell>
          <cell r="B489">
            <v>83337</v>
          </cell>
          <cell r="C489">
            <v>0</v>
          </cell>
          <cell r="D489">
            <v>272859.94110595033</v>
          </cell>
          <cell r="E489">
            <v>0</v>
          </cell>
          <cell r="F489">
            <v>0</v>
          </cell>
          <cell r="G489">
            <v>0</v>
          </cell>
          <cell r="H489">
            <v>0</v>
          </cell>
          <cell r="I489">
            <v>0</v>
          </cell>
          <cell r="J489">
            <v>1065759.0576951939</v>
          </cell>
        </row>
        <row r="490">
          <cell r="A490">
            <v>473</v>
          </cell>
          <cell r="B490">
            <v>83429</v>
          </cell>
          <cell r="C490">
            <v>0</v>
          </cell>
          <cell r="D490">
            <v>272859.94110595033</v>
          </cell>
          <cell r="E490">
            <v>0</v>
          </cell>
          <cell r="F490">
            <v>0</v>
          </cell>
          <cell r="G490">
            <v>0</v>
          </cell>
          <cell r="H490">
            <v>0</v>
          </cell>
          <cell r="I490">
            <v>0</v>
          </cell>
          <cell r="J490">
            <v>1065759.0576951939</v>
          </cell>
        </row>
        <row r="491">
          <cell r="A491">
            <v>474</v>
          </cell>
          <cell r="B491">
            <v>83521</v>
          </cell>
          <cell r="C491">
            <v>0</v>
          </cell>
          <cell r="D491">
            <v>272859.94110595033</v>
          </cell>
          <cell r="E491">
            <v>0</v>
          </cell>
          <cell r="F491">
            <v>0</v>
          </cell>
          <cell r="G491">
            <v>0</v>
          </cell>
          <cell r="H491">
            <v>0</v>
          </cell>
          <cell r="I491">
            <v>0</v>
          </cell>
          <cell r="J491">
            <v>1065759.0576951939</v>
          </cell>
        </row>
        <row r="492">
          <cell r="A492">
            <v>475</v>
          </cell>
          <cell r="B492">
            <v>83612</v>
          </cell>
          <cell r="C492">
            <v>0</v>
          </cell>
          <cell r="D492">
            <v>272859.94110595033</v>
          </cell>
          <cell r="E492">
            <v>0</v>
          </cell>
          <cell r="F492">
            <v>0</v>
          </cell>
          <cell r="G492">
            <v>0</v>
          </cell>
          <cell r="H492">
            <v>0</v>
          </cell>
          <cell r="I492">
            <v>0</v>
          </cell>
          <cell r="J492">
            <v>1065759.0576951939</v>
          </cell>
        </row>
        <row r="493">
          <cell r="A493">
            <v>476</v>
          </cell>
          <cell r="B493">
            <v>83702</v>
          </cell>
          <cell r="C493">
            <v>0</v>
          </cell>
          <cell r="D493">
            <v>272859.94110595033</v>
          </cell>
          <cell r="E493">
            <v>0</v>
          </cell>
          <cell r="F493">
            <v>0</v>
          </cell>
          <cell r="G493">
            <v>0</v>
          </cell>
          <cell r="H493">
            <v>0</v>
          </cell>
          <cell r="I493">
            <v>0</v>
          </cell>
          <cell r="J493">
            <v>1065759.0576951939</v>
          </cell>
        </row>
        <row r="494">
          <cell r="A494">
            <v>477</v>
          </cell>
          <cell r="B494">
            <v>83794</v>
          </cell>
          <cell r="C494">
            <v>0</v>
          </cell>
          <cell r="D494">
            <v>272859.94110595033</v>
          </cell>
          <cell r="E494">
            <v>0</v>
          </cell>
          <cell r="F494">
            <v>0</v>
          </cell>
          <cell r="G494">
            <v>0</v>
          </cell>
          <cell r="H494">
            <v>0</v>
          </cell>
          <cell r="I494">
            <v>0</v>
          </cell>
          <cell r="J494">
            <v>1065759.0576951939</v>
          </cell>
        </row>
        <row r="495">
          <cell r="A495">
            <v>478</v>
          </cell>
          <cell r="B495">
            <v>83886</v>
          </cell>
          <cell r="C495">
            <v>0</v>
          </cell>
          <cell r="D495">
            <v>272859.94110595033</v>
          </cell>
          <cell r="E495">
            <v>0</v>
          </cell>
          <cell r="F495">
            <v>0</v>
          </cell>
          <cell r="G495">
            <v>0</v>
          </cell>
          <cell r="H495">
            <v>0</v>
          </cell>
          <cell r="I495">
            <v>0</v>
          </cell>
          <cell r="J495">
            <v>1065759.0576951939</v>
          </cell>
        </row>
        <row r="496">
          <cell r="A496">
            <v>479</v>
          </cell>
          <cell r="B496">
            <v>83977</v>
          </cell>
          <cell r="C496">
            <v>0</v>
          </cell>
          <cell r="D496">
            <v>272859.94110595033</v>
          </cell>
          <cell r="E496">
            <v>0</v>
          </cell>
          <cell r="F496">
            <v>0</v>
          </cell>
          <cell r="G496">
            <v>0</v>
          </cell>
          <cell r="H496">
            <v>0</v>
          </cell>
          <cell r="I496">
            <v>0</v>
          </cell>
          <cell r="J496">
            <v>1065759.0576951939</v>
          </cell>
        </row>
        <row r="497">
          <cell r="A497">
            <v>480</v>
          </cell>
          <cell r="B497">
            <v>84067</v>
          </cell>
          <cell r="C497">
            <v>0</v>
          </cell>
          <cell r="D497">
            <v>272859.94110595033</v>
          </cell>
          <cell r="E497">
            <v>0</v>
          </cell>
          <cell r="F497">
            <v>0</v>
          </cell>
          <cell r="G497">
            <v>0</v>
          </cell>
          <cell r="H497">
            <v>0</v>
          </cell>
          <cell r="I497">
            <v>0</v>
          </cell>
          <cell r="J497">
            <v>1065759.0576951939</v>
          </cell>
        </row>
      </sheetData>
      <sheetData sheetId="16" refreshError="1"/>
      <sheetData sheetId="17" refreshError="1"/>
      <sheetData sheetId="18"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Assistant Department"/>
      <sheetName val="Administration "/>
      <sheetName val="Marketing"/>
      <sheetName val="Nurse"/>
      <sheetName val="Financial"/>
      <sheetName val="Pharmacy"/>
      <sheetName val="Hospitality"/>
      <sheetName val="Medical"/>
      <sheetName val="Duty Managers"/>
      <sheetName val="HR"/>
      <sheetName val="Increes"/>
      <sheetName val="SMH Salary Increase (2)"/>
      <sheetName val="KSA"/>
      <sheetName val="over view"/>
      <sheetName val="Digital Volume Contribution "/>
      <sheetName val="HJH"/>
      <sheetName val="Payment Type "/>
      <sheetName val="HJH OVERVIEW "/>
      <sheetName val="AKW"/>
      <sheetName val="OPD Analysis  (2)"/>
      <sheetName val="ADC"/>
      <sheetName val="Polyclinic "/>
      <sheetName val="Assistant_Department"/>
      <sheetName val="Administration_"/>
      <sheetName val="Duty_Managers"/>
      <sheetName val="SMH_Salary_Increase_(2)"/>
      <sheetName val="Assistant_Department1"/>
      <sheetName val="Administration_1"/>
      <sheetName val="Duty_Managers1"/>
      <sheetName val="SMH_Salary_Increase_(2)1"/>
      <sheetName val="over_view"/>
      <sheetName val="Digital_Volume_Contribution_"/>
      <sheetName val="Payment_Type_"/>
      <sheetName val="HJH_OVERVIEW_"/>
      <sheetName val="OPD_Analysis__(2)"/>
      <sheetName val="Polyclinic_"/>
      <sheetName val="Assistant_Department2"/>
      <sheetName val="Administration_2"/>
      <sheetName val="Duty_Managers2"/>
      <sheetName val="SMH_Salary_Increase_(2)2"/>
      <sheetName val="over_view1"/>
      <sheetName val="Digital_Volume_Contribution_1"/>
      <sheetName val="Payment_Type_1"/>
      <sheetName val="HJH_OVERVIEW_1"/>
      <sheetName val="OPD_Analysis__(2)1"/>
      <sheetName val="Polyclinic_1"/>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كشف الرواتب"/>
      <sheetName val="الطباعة"/>
      <sheetName val="التوقيعات 2"/>
      <sheetName val="KSA"/>
      <sheetName val="over view"/>
      <sheetName val="Digital Volume Contribution "/>
      <sheetName val="HJH"/>
      <sheetName val="Payment Type "/>
      <sheetName val="HJH OVERVIEW "/>
      <sheetName val="AKW"/>
      <sheetName val="OPD Analysis  (2)"/>
      <sheetName val="ADC"/>
      <sheetName val="Polyclinic "/>
      <sheetName val="Sheet1"/>
      <sheetName val="  target per Specialty  "/>
      <sheetName val="كشف_الرواتب1"/>
      <sheetName val="التوقيعات_21"/>
      <sheetName val="كشف_الرواتب"/>
      <sheetName val="التوقيعات_2"/>
      <sheetName val="كشف_الرواتب2"/>
      <sheetName val="التوقيعات_22"/>
      <sheetName val="كشف_الرواتب6"/>
      <sheetName val="التوقيعات_26"/>
      <sheetName val="over_view2"/>
      <sheetName val="Digital_Volume_Contribution_2"/>
      <sheetName val="Payment_Type_2"/>
      <sheetName val="HJH_OVERVIEW_2"/>
      <sheetName val="OPD_Analysis__(2)2"/>
      <sheetName val="Polyclinic_2"/>
      <sheetName val="__target_per_Specialty__2"/>
      <sheetName val="كشف_الرواتب3"/>
      <sheetName val="التوقيعات_23"/>
      <sheetName val="كشف_الرواتب4"/>
      <sheetName val="التوقيعات_24"/>
      <sheetName val="over_view"/>
      <sheetName val="Digital_Volume_Contribution_"/>
      <sheetName val="Payment_Type_"/>
      <sheetName val="HJH_OVERVIEW_"/>
      <sheetName val="OPD_Analysis__(2)"/>
      <sheetName val="Polyclinic_"/>
      <sheetName val="__target_per_Specialty__"/>
      <sheetName val="كشف_الرواتب5"/>
      <sheetName val="التوقيعات_25"/>
      <sheetName val="over_view1"/>
      <sheetName val="Digital_Volume_Contribution_1"/>
      <sheetName val="Payment_Type_1"/>
      <sheetName val="HJH_OVERVIEW_1"/>
      <sheetName val="OPD_Analysis__(2)1"/>
      <sheetName val="Polyclinic_1"/>
      <sheetName val="__target_per_Specialty__1"/>
      <sheetName val="كشف_الرواتب7"/>
      <sheetName val="التوقيعات_27"/>
      <sheetName val="كشف_الرواتب8"/>
      <sheetName val="التوقيعات_28"/>
      <sheetName val="over_view3"/>
      <sheetName val="Digital_Volume_Contribution_3"/>
      <sheetName val="Payment_Type_3"/>
      <sheetName val="HJH_OVERVIEW_3"/>
      <sheetName val="OPD_Analysis__(2)3"/>
      <sheetName val="Polyclinic_3"/>
      <sheetName val="__target_per_Specialty__3"/>
      <sheetName val="كشف_الرواتب9"/>
      <sheetName val="التوقيعات_29"/>
      <sheetName val="over_view4"/>
      <sheetName val="Digital_Volume_Contribution_4"/>
      <sheetName val="Payment_Type_4"/>
      <sheetName val="HJH_OVERVIEW_4"/>
      <sheetName val="OPD_Analysis__(2)4"/>
      <sheetName val="Polyclinic_4"/>
      <sheetName val="__target_per_Specialty__4"/>
      <sheetName val="كشف_الرواتب10"/>
      <sheetName val="التوقيعات_210"/>
      <sheetName val="over_view5"/>
      <sheetName val="Digital_Volume_Contribution_5"/>
      <sheetName val="Payment_Type_5"/>
      <sheetName val="HJH_OVERVIEW_5"/>
      <sheetName val="OPD_Analysis__(2)5"/>
      <sheetName val="Polyclinic_5"/>
      <sheetName val="__target_per_Specialty__5"/>
      <sheetName val="كشف_الرواتب11"/>
      <sheetName val="التوقيعات_211"/>
      <sheetName val="over_view6"/>
      <sheetName val="Digital_Volume_Contribution_6"/>
      <sheetName val="Payment_Type_6"/>
      <sheetName val="HJH_OVERVIEW_6"/>
      <sheetName val="OPD_Analysis__(2)6"/>
      <sheetName val="Polyclinic_6"/>
      <sheetName val="__target_per_Specialty__6"/>
      <sheetName val="كشف_الرواتب12"/>
      <sheetName val="التوقيعات_212"/>
      <sheetName val="over_view7"/>
      <sheetName val="Digital_Volume_Contribution_7"/>
      <sheetName val="Payment_Type_7"/>
      <sheetName val="HJH_OVERVIEW_7"/>
      <sheetName val="OPD_Analysis__(2)7"/>
      <sheetName val="Polyclinic_7"/>
      <sheetName val="__target_per_Specialty__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mote Area Total "/>
      <sheetName val="Remote Area"/>
      <sheetName val="Coaching Form"/>
      <sheetName val="Needs Criteria"/>
      <sheetName val="Compaigns-Activities"/>
      <sheetName val="Activities "/>
      <sheetName val="Remote_Area_Total_1"/>
      <sheetName val="Remote_Area1"/>
      <sheetName val="Coaching_Form1"/>
      <sheetName val="Needs_Criteria1"/>
      <sheetName val="Activities_1"/>
      <sheetName val="Remote_Area_Total_"/>
      <sheetName val="Remote_Area"/>
      <sheetName val="Coaching_Form"/>
      <sheetName val="Needs_Criteria"/>
      <sheetName val="Activities_"/>
      <sheetName val="Remote_Area_Total_2"/>
      <sheetName val="Remote_Area2"/>
      <sheetName val="Coaching_Form2"/>
      <sheetName val="Needs_Criteria2"/>
      <sheetName val="Activities_2"/>
      <sheetName val="Remote_Area_Total_6"/>
      <sheetName val="Remote_Area6"/>
      <sheetName val="Coaching_Form6"/>
      <sheetName val="Needs_Criteria6"/>
      <sheetName val="Activities_6"/>
      <sheetName val="Remote_Area_Total_3"/>
      <sheetName val="Remote_Area3"/>
      <sheetName val="Coaching_Form3"/>
      <sheetName val="Needs_Criteria3"/>
      <sheetName val="Activities_3"/>
      <sheetName val="Remote_Area_Total_4"/>
      <sheetName val="Remote_Area4"/>
      <sheetName val="Coaching_Form4"/>
      <sheetName val="Needs_Criteria4"/>
      <sheetName val="Activities_4"/>
      <sheetName val="Remote_Area_Total_5"/>
      <sheetName val="Remote_Area5"/>
      <sheetName val="Coaching_Form5"/>
      <sheetName val="Needs_Criteria5"/>
      <sheetName val="Activities_5"/>
      <sheetName val="Remote_Area_Total_7"/>
      <sheetName val="Remote_Area7"/>
      <sheetName val="Coaching_Form7"/>
      <sheetName val="Needs_Criteria7"/>
      <sheetName val="Activities_7"/>
      <sheetName val="Remote_Area_Total_8"/>
      <sheetName val="Remote_Area8"/>
      <sheetName val="Coaching_Form8"/>
      <sheetName val="Needs_Criteria8"/>
      <sheetName val="Activities_8"/>
      <sheetName val="Remote_Area_Total_9"/>
      <sheetName val="Remote_Area9"/>
      <sheetName val="Coaching_Form9"/>
      <sheetName val="Needs_Criteria9"/>
      <sheetName val="Activities_9"/>
      <sheetName val="Remote_Area_Total_10"/>
      <sheetName val="Remote_Area10"/>
      <sheetName val="Coaching_Form10"/>
      <sheetName val="Needs_Criteria10"/>
      <sheetName val="Activities_10"/>
      <sheetName val="Remote_Area_Total_11"/>
      <sheetName val="Remote_Area11"/>
      <sheetName val="Coaching_Form11"/>
      <sheetName val="Needs_Criteria11"/>
      <sheetName val="Activities_11"/>
      <sheetName val="Remote_Area_Total_12"/>
      <sheetName val="Remote_Area12"/>
      <sheetName val="Coaching_Form12"/>
      <sheetName val="Needs_Criteria12"/>
      <sheetName val="Activities_12"/>
      <sheetName val="sour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Page summary"/>
      <sheetName val="Accout. break down Oct 31 .2016"/>
      <sheetName val="co.classification"/>
      <sheetName val="Growth &amp;decline account"/>
      <sheetName val="actual activities vs target"/>
      <sheetName val="Activities"/>
      <sheetName val="Agent PMS"/>
      <sheetName val="Corrective action"/>
      <sheetName val="Top 20 Accounts Needs"/>
      <sheetName val="Visits "/>
      <sheetName val="Corrective Actions ICU &amp; Cath"/>
      <sheetName val="ER action plan"/>
      <sheetName val="cath activity"/>
      <sheetName val="cath visits schedule "/>
      <sheetName val="coorrective action PICU &amp;ER "/>
      <sheetName val="Corrective action opd &amp;IPD"/>
      <sheetName val="Man power"/>
      <sheetName val="Co. b.down pr. month new targe "/>
      <sheetName val="Cover_Page1"/>
      <sheetName val="Page_summary1"/>
      <sheetName val="Accout__break_down_Oct_31__2011"/>
      <sheetName val="co_classification1"/>
      <sheetName val="Growth_&amp;decline_account1"/>
      <sheetName val="actual_activities_vs_target1"/>
      <sheetName val="Agent_PMS1"/>
      <sheetName val="Corrective_action1"/>
      <sheetName val="Top_20_Accounts_Needs1"/>
      <sheetName val="Visits_1"/>
      <sheetName val="Corrective_Actions_ICU_&amp;_Cath1"/>
      <sheetName val="ER_action_plan1"/>
      <sheetName val="cath_activity1"/>
      <sheetName val="cath_visits_schedule_1"/>
      <sheetName val="coorrective_action_PICU_&amp;ER_1"/>
      <sheetName val="Corrective_action_opd_&amp;IPD1"/>
      <sheetName val="Man_power1"/>
      <sheetName val="Co__b_down_pr__month_new_targe1"/>
      <sheetName val="Cover_Page"/>
      <sheetName val="Page_summary"/>
      <sheetName val="Accout__break_down_Oct_31__2016"/>
      <sheetName val="co_classification"/>
      <sheetName val="Growth_&amp;decline_account"/>
      <sheetName val="actual_activities_vs_target"/>
      <sheetName val="Agent_PMS"/>
      <sheetName val="Corrective_action"/>
      <sheetName val="Top_20_Accounts_Needs"/>
      <sheetName val="Visits_"/>
      <sheetName val="Corrective_Actions_ICU_&amp;_Cath"/>
      <sheetName val="ER_action_plan"/>
      <sheetName val="cath_activity"/>
      <sheetName val="cath_visits_schedule_"/>
      <sheetName val="coorrective_action_PICU_&amp;ER_"/>
      <sheetName val="Corrective_action_opd_&amp;IPD"/>
      <sheetName val="Man_power"/>
      <sheetName val="Co__b_down_pr__month_new_targe_"/>
      <sheetName val="Cover_Page2"/>
      <sheetName val="Page_summary2"/>
      <sheetName val="Accout__break_down_Oct_31__2012"/>
      <sheetName val="co_classification2"/>
      <sheetName val="Growth_&amp;decline_account2"/>
      <sheetName val="actual_activities_vs_target2"/>
      <sheetName val="Agent_PMS2"/>
      <sheetName val="Corrective_action2"/>
      <sheetName val="Top_20_Accounts_Needs2"/>
      <sheetName val="Visits_2"/>
      <sheetName val="Corrective_Actions_ICU_&amp;_Cath2"/>
      <sheetName val="ER_action_plan2"/>
      <sheetName val="cath_activity2"/>
      <sheetName val="cath_visits_schedule_2"/>
      <sheetName val="coorrective_action_PICU_&amp;ER_2"/>
      <sheetName val="Corrective_action_opd_&amp;IPD2"/>
      <sheetName val="Man_power2"/>
      <sheetName val="Co__b_down_pr__month_new_targe2"/>
      <sheetName val="Cover_Page6"/>
      <sheetName val="Page_summary6"/>
      <sheetName val="Accout__break_down_Oct_31__2017"/>
      <sheetName val="co_classification6"/>
      <sheetName val="Growth_&amp;decline_account6"/>
      <sheetName val="actual_activities_vs_target6"/>
      <sheetName val="Agent_PMS6"/>
      <sheetName val="Corrective_action6"/>
      <sheetName val="Top_20_Accounts_Needs6"/>
      <sheetName val="Visits_6"/>
      <sheetName val="Corrective_Actions_ICU_&amp;_Cath6"/>
      <sheetName val="ER_action_plan6"/>
      <sheetName val="cath_activity6"/>
      <sheetName val="cath_visits_schedule_6"/>
      <sheetName val="coorrective_action_PICU_&amp;ER_6"/>
      <sheetName val="Corrective_action_opd_&amp;IPD6"/>
      <sheetName val="Man_power6"/>
      <sheetName val="Co__b_down_pr__month_new_targe6"/>
      <sheetName val="Cover_Page3"/>
      <sheetName val="Page_summary3"/>
      <sheetName val="Accout__break_down_Oct_31__2013"/>
      <sheetName val="co_classification3"/>
      <sheetName val="Growth_&amp;decline_account3"/>
      <sheetName val="actual_activities_vs_target3"/>
      <sheetName val="Agent_PMS3"/>
      <sheetName val="Corrective_action3"/>
      <sheetName val="Top_20_Accounts_Needs3"/>
      <sheetName val="Visits_3"/>
      <sheetName val="Corrective_Actions_ICU_&amp;_Cath3"/>
      <sheetName val="ER_action_plan3"/>
      <sheetName val="cath_activity3"/>
      <sheetName val="cath_visits_schedule_3"/>
      <sheetName val="coorrective_action_PICU_&amp;ER_3"/>
      <sheetName val="Corrective_action_opd_&amp;IPD3"/>
      <sheetName val="Man_power3"/>
      <sheetName val="Co__b_down_pr__month_new_targe3"/>
      <sheetName val="Cover_Page4"/>
      <sheetName val="Page_summary4"/>
      <sheetName val="Accout__break_down_Oct_31__2014"/>
      <sheetName val="co_classification4"/>
      <sheetName val="Growth_&amp;decline_account4"/>
      <sheetName val="actual_activities_vs_target4"/>
      <sheetName val="Agent_PMS4"/>
      <sheetName val="Corrective_action4"/>
      <sheetName val="Top_20_Accounts_Needs4"/>
      <sheetName val="Visits_4"/>
      <sheetName val="Corrective_Actions_ICU_&amp;_Cath4"/>
      <sheetName val="ER_action_plan4"/>
      <sheetName val="cath_activity4"/>
      <sheetName val="cath_visits_schedule_4"/>
      <sheetName val="coorrective_action_PICU_&amp;ER_4"/>
      <sheetName val="Corrective_action_opd_&amp;IPD4"/>
      <sheetName val="Man_power4"/>
      <sheetName val="Co__b_down_pr__month_new_targe4"/>
      <sheetName val="Cover_Page5"/>
      <sheetName val="Page_summary5"/>
      <sheetName val="Accout__break_down_Oct_31__2015"/>
      <sheetName val="co_classification5"/>
      <sheetName val="Growth_&amp;decline_account5"/>
      <sheetName val="actual_activities_vs_target5"/>
      <sheetName val="Agent_PMS5"/>
      <sheetName val="Corrective_action5"/>
      <sheetName val="Top_20_Accounts_Needs5"/>
      <sheetName val="Visits_5"/>
      <sheetName val="Corrective_Actions_ICU_&amp;_Cath5"/>
      <sheetName val="ER_action_plan5"/>
      <sheetName val="cath_activity5"/>
      <sheetName val="cath_visits_schedule_5"/>
      <sheetName val="coorrective_action_PICU_&amp;ER_5"/>
      <sheetName val="Corrective_action_opd_&amp;IPD5"/>
      <sheetName val="Man_power5"/>
      <sheetName val="Co__b_down_pr__month_new_targe5"/>
      <sheetName val="Cover_Page7"/>
      <sheetName val="Page_summary7"/>
      <sheetName val="Accout__break_down_Oct_31__2018"/>
      <sheetName val="co_classification7"/>
      <sheetName val="Growth_&amp;decline_account7"/>
      <sheetName val="actual_activities_vs_target7"/>
      <sheetName val="Agent_PMS7"/>
      <sheetName val="Corrective_action7"/>
      <sheetName val="Top_20_Accounts_Needs7"/>
      <sheetName val="Visits_7"/>
      <sheetName val="Corrective_Actions_ICU_&amp;_Cath7"/>
      <sheetName val="ER_action_plan7"/>
      <sheetName val="cath_activity7"/>
      <sheetName val="cath_visits_schedule_7"/>
      <sheetName val="coorrective_action_PICU_&amp;ER_7"/>
      <sheetName val="Corrective_action_opd_&amp;IPD7"/>
      <sheetName val="Man_power7"/>
      <sheetName val="Co__b_down_pr__month_new_targe7"/>
      <sheetName val="Cover_Page8"/>
      <sheetName val="Page_summary8"/>
      <sheetName val="Accout__break_down_Oct_31__2019"/>
      <sheetName val="co_classification8"/>
      <sheetName val="Growth_&amp;decline_account8"/>
      <sheetName val="actual_activities_vs_target8"/>
      <sheetName val="Agent_PMS8"/>
      <sheetName val="Corrective_action8"/>
      <sheetName val="Top_20_Accounts_Needs8"/>
      <sheetName val="Visits_8"/>
      <sheetName val="Corrective_Actions_ICU_&amp;_Cath8"/>
      <sheetName val="ER_action_plan8"/>
      <sheetName val="cath_activity8"/>
      <sheetName val="cath_visits_schedule_8"/>
      <sheetName val="coorrective_action_PICU_&amp;ER_8"/>
      <sheetName val="Corrective_action_opd_&amp;IPD8"/>
      <sheetName val="Man_power8"/>
      <sheetName val="Co__b_down_pr__month_new_targe8"/>
      <sheetName val="Cover_Page9"/>
      <sheetName val="Page_summary9"/>
      <sheetName val="Accout__break_down_Oct_31__2010"/>
      <sheetName val="co_classification9"/>
      <sheetName val="Growth_&amp;decline_account9"/>
      <sheetName val="actual_activities_vs_target9"/>
      <sheetName val="Agent_PMS9"/>
      <sheetName val="Corrective_action9"/>
      <sheetName val="Top_20_Accounts_Needs9"/>
      <sheetName val="Visits_9"/>
      <sheetName val="Corrective_Actions_ICU_&amp;_Cath9"/>
      <sheetName val="ER_action_plan9"/>
      <sheetName val="cath_activity9"/>
      <sheetName val="cath_visits_schedule_9"/>
      <sheetName val="coorrective_action_PICU_&amp;ER_9"/>
      <sheetName val="Corrective_action_opd_&amp;IPD9"/>
      <sheetName val="Man_power9"/>
      <sheetName val="Co__b_down_pr__month_new_targe9"/>
      <sheetName val="Cover_Page10"/>
      <sheetName val="Page_summary10"/>
      <sheetName val="Accout__break_down_Oct_31__2020"/>
      <sheetName val="co_classification10"/>
      <sheetName val="Growth_&amp;decline_account10"/>
      <sheetName val="actual_activities_vs_target10"/>
      <sheetName val="Agent_PMS10"/>
      <sheetName val="Corrective_action10"/>
      <sheetName val="Top_20_Accounts_Needs10"/>
      <sheetName val="Visits_10"/>
      <sheetName val="Corrective_Actions_ICU_&amp;_Cath10"/>
      <sheetName val="ER_action_plan10"/>
      <sheetName val="cath_activity10"/>
      <sheetName val="cath_visits_schedule_10"/>
      <sheetName val="coorrective_action_PICU_&amp;ER_10"/>
      <sheetName val="Corrective_action_opd_&amp;IPD10"/>
      <sheetName val="Man_power10"/>
      <sheetName val="Co__b_down_pr__month_new_targ10"/>
      <sheetName val="Cover_Page11"/>
      <sheetName val="Page_summary11"/>
      <sheetName val="Accout__break_down_Oct_31__2021"/>
      <sheetName val="co_classification11"/>
      <sheetName val="Growth_&amp;decline_account11"/>
      <sheetName val="actual_activities_vs_target11"/>
      <sheetName val="Agent_PMS11"/>
      <sheetName val="Corrective_action11"/>
      <sheetName val="Top_20_Accounts_Needs11"/>
      <sheetName val="Visits_11"/>
      <sheetName val="Corrective_Actions_ICU_&amp;_Cath11"/>
      <sheetName val="ER_action_plan11"/>
      <sheetName val="cath_activity11"/>
      <sheetName val="cath_visits_schedule_11"/>
      <sheetName val="coorrective_action_PICU_&amp;ER_11"/>
      <sheetName val="Corrective_action_opd_&amp;IPD11"/>
      <sheetName val="Man_power11"/>
      <sheetName val="Co__b_down_pr__month_new_targ11"/>
      <sheetName val="Cover_Page12"/>
      <sheetName val="Page_summary12"/>
      <sheetName val="Accout__break_down_Oct_31__2022"/>
      <sheetName val="co_classification12"/>
      <sheetName val="Growth_&amp;decline_account12"/>
      <sheetName val="actual_activities_vs_target12"/>
      <sheetName val="Agent_PMS12"/>
      <sheetName val="Corrective_action12"/>
      <sheetName val="Top_20_Accounts_Needs12"/>
      <sheetName val="Visits_12"/>
      <sheetName val="Corrective_Actions_ICU_&amp;_Cath12"/>
      <sheetName val="ER_action_plan12"/>
      <sheetName val="cath_activity12"/>
      <sheetName val="cath_visits_schedule_12"/>
      <sheetName val="coorrective_action_PICU_&amp;ER_12"/>
      <sheetName val="Corrective_action_opd_&amp;IPD12"/>
      <sheetName val="Man_power12"/>
      <sheetName val="Co__b_down_pr__month_new_targ12"/>
      <sheetName val="Copy of Copy of ASH-Corporate 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reak Down"/>
      <sheetName val="Plan Action"/>
      <sheetName val="Action Plan"/>
      <sheetName val="Calendar"/>
      <sheetName val="events"/>
      <sheetName val="Visting Doctors Program"/>
      <sheetName val="Man Power"/>
      <sheetName val="ICU Clubs"/>
      <sheetName val="MM"/>
      <sheetName val="visting shedule"/>
      <sheetName val="Sheet2"/>
      <sheetName val="Monitoring Report"/>
      <sheetName val="ASH."/>
      <sheetName val="Pilot Un locked 2015 break down"/>
      <sheetName val="Calender"/>
      <sheetName val="Break_Down1"/>
      <sheetName val="Plan_Action1"/>
      <sheetName val="Action_Plan1"/>
      <sheetName val="Visting_Doctors_Program1"/>
      <sheetName val="Man_Power1"/>
      <sheetName val="ICU_Clubs1"/>
      <sheetName val="visting_shedule1"/>
      <sheetName val="Monitoring_Report1"/>
      <sheetName val="ASH_1"/>
      <sheetName val="Pilot_Un_locked_2015_break_dow1"/>
      <sheetName val="Break_Down"/>
      <sheetName val="Plan_Action"/>
      <sheetName val="Action_Plan"/>
      <sheetName val="Visting_Doctors_Program"/>
      <sheetName val="Man_Power"/>
      <sheetName val="ICU_Clubs"/>
      <sheetName val="visting_shedule"/>
      <sheetName val="Monitoring_Report"/>
      <sheetName val="ASH_"/>
      <sheetName val="Pilot_Un_locked_2015_break_down"/>
      <sheetName val="Break_Down2"/>
      <sheetName val="Plan_Action2"/>
      <sheetName val="Action_Plan2"/>
      <sheetName val="Visting_Doctors_Program2"/>
      <sheetName val="Man_Power2"/>
      <sheetName val="ICU_Clubs2"/>
      <sheetName val="visting_shedule2"/>
      <sheetName val="Monitoring_Report2"/>
      <sheetName val="ASH_2"/>
      <sheetName val="Pilot_Un_locked_2015_break_dow2"/>
      <sheetName val="Break_Down3"/>
      <sheetName val="Plan_Action3"/>
      <sheetName val="Action_Plan3"/>
      <sheetName val="Visting_Doctors_Program3"/>
      <sheetName val="Man_Power3"/>
      <sheetName val="ICU_Clubs3"/>
      <sheetName val="visting_shedule3"/>
      <sheetName val="Monitoring_Report3"/>
      <sheetName val="ASH_3"/>
      <sheetName val="Pilot_Un_locked_2015_break_dow3"/>
      <sheetName val="Break_Down4"/>
      <sheetName val="Plan_Action4"/>
      <sheetName val="Action_Plan4"/>
      <sheetName val="Visting_Doctors_Program4"/>
      <sheetName val="Man_Power4"/>
      <sheetName val="ICU_Clubs4"/>
      <sheetName val="visting_shedule4"/>
      <sheetName val="Monitoring_Report4"/>
      <sheetName val="ASH_4"/>
      <sheetName val="Pilot_Un_locked_2015_break_dow4"/>
      <sheetName val="Break_Down5"/>
      <sheetName val="Plan_Action5"/>
      <sheetName val="Action_Plan5"/>
      <sheetName val="Visting_Doctors_Program5"/>
      <sheetName val="Man_Power5"/>
      <sheetName val="ICU_Clubs5"/>
      <sheetName val="visting_shedule5"/>
      <sheetName val="Monitoring_Report5"/>
      <sheetName val="ASH_5"/>
      <sheetName val="Pilot_Un_locked_2015_break_dow5"/>
      <sheetName val="Break_Down6"/>
      <sheetName val="Plan_Action6"/>
      <sheetName val="Action_Plan6"/>
      <sheetName val="Visting_Doctors_Program6"/>
      <sheetName val="Man_Power6"/>
      <sheetName val="ICU_Clubs6"/>
      <sheetName val="visting_shedule6"/>
      <sheetName val="Monitoring_Report6"/>
      <sheetName val="ASH_6"/>
      <sheetName val="Pilot_Un_locked_2015_break_dow6"/>
      <sheetName val="Sheet1"/>
      <sheetName val="1"/>
    </sheetNames>
    <sheetDataSet>
      <sheetData sheetId="0"/>
      <sheetData sheetId="1"/>
      <sheetData sheetId="2"/>
      <sheetData sheetId="3">
        <row r="2">
          <cell r="Z2">
            <v>2015</v>
          </cell>
        </row>
      </sheetData>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alities"/>
      <sheetName val="Input"/>
      <sheetName val="Sheet1"/>
      <sheetName val="Calendar"/>
      <sheetName val="pivots"/>
    </sheetNames>
    <sheetDataSet>
      <sheetData sheetId="0"/>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E652F-10DC-4BB6-8BEA-74F0F72E78DD}">
  <sheetPr codeName="Sheet1">
    <outlinePr summaryBelow="0"/>
  </sheetPr>
  <dimension ref="A1:AH366"/>
  <sheetViews>
    <sheetView showGridLines="0" tabSelected="1" zoomScale="90" zoomScaleNormal="90" workbookViewId="0">
      <selection activeCell="C1" sqref="C1:C2"/>
    </sheetView>
  </sheetViews>
  <sheetFormatPr defaultRowHeight="15" outlineLevelRow="1" x14ac:dyDescent="0.25"/>
  <cols>
    <col min="1" max="1" width="6.42578125" customWidth="1"/>
    <col min="2" max="2" width="15.7109375" customWidth="1"/>
    <col min="3" max="3" width="34" style="3" customWidth="1"/>
    <col min="4" max="5" width="7.7109375" style="3" bestFit="1" customWidth="1"/>
    <col min="6" max="6" width="10.140625" style="3" customWidth="1"/>
    <col min="7" max="8" width="7.7109375" style="3" bestFit="1" customWidth="1"/>
    <col min="9" max="9" width="11.140625" style="3" bestFit="1" customWidth="1"/>
    <col min="10" max="11" width="7.7109375" style="3" bestFit="1" customWidth="1"/>
    <col min="12" max="12" width="10.140625" style="3" customWidth="1"/>
    <col min="13" max="13" width="9" style="3" bestFit="1" customWidth="1"/>
    <col min="14" max="14" width="9.85546875" style="3" bestFit="1" customWidth="1"/>
    <col min="15" max="15" width="9.85546875" style="3" customWidth="1"/>
    <col min="16" max="16" width="7.7109375" style="3" bestFit="1" customWidth="1"/>
    <col min="17" max="17" width="10.28515625" style="3" customWidth="1"/>
    <col min="18" max="18" width="9.140625" style="3" customWidth="1"/>
    <col min="19" max="19" width="7.7109375" style="3" bestFit="1" customWidth="1"/>
    <col min="20" max="20" width="11.140625" style="3" bestFit="1" customWidth="1"/>
    <col min="21" max="21" width="9" style="3" customWidth="1"/>
    <col min="22" max="22" width="7.7109375" style="3" bestFit="1" customWidth="1"/>
    <col min="23" max="23" width="10.5703125" style="3" customWidth="1"/>
    <col min="24" max="24" width="8.7109375" style="3" customWidth="1"/>
    <col min="25" max="25" width="8" style="3" customWidth="1"/>
    <col min="26" max="26" width="9.7109375" style="3" bestFit="1" customWidth="1"/>
    <col min="27" max="27" width="12" style="3" bestFit="1" customWidth="1"/>
    <col min="28" max="28" width="13.42578125" style="3" bestFit="1" customWidth="1"/>
    <col min="29" max="34" width="10.140625" customWidth="1"/>
    <col min="35" max="35" width="4.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 min="54" max="55" width="9" customWidth="1"/>
  </cols>
  <sheetData>
    <row r="1" spans="2:34" ht="15" customHeight="1" x14ac:dyDescent="0.25">
      <c r="C1" s="112" t="s">
        <v>351</v>
      </c>
      <c r="D1" s="114">
        <v>44698</v>
      </c>
      <c r="E1" s="115"/>
      <c r="F1" s="115"/>
      <c r="G1" s="115"/>
      <c r="H1" s="115"/>
      <c r="I1" s="12" t="str">
        <f>TEXT(D1,"D-MMM")</f>
        <v>17-May</v>
      </c>
      <c r="J1" s="1"/>
      <c r="K1" s="99">
        <f>NETWORKDAYS.INTL("5/1/2022",D1,16,O1:O4)/23</f>
        <v>0.47826086956521741</v>
      </c>
      <c r="L1" s="99">
        <f>NETWORKDAYS.INTL("5/1/2022",D1,16)/27</f>
        <v>0.55555555555555558</v>
      </c>
      <c r="O1" s="30">
        <v>44683</v>
      </c>
      <c r="AB1" s="28" t="s">
        <v>351</v>
      </c>
      <c r="AC1" s="3"/>
    </row>
    <row r="2" spans="2:34" ht="24.75" customHeight="1" x14ac:dyDescent="0.25">
      <c r="C2" s="113"/>
      <c r="D2" s="114"/>
      <c r="E2" s="115"/>
      <c r="F2" s="115"/>
      <c r="G2" s="115"/>
      <c r="H2" s="115"/>
      <c r="I2"/>
      <c r="J2"/>
      <c r="O2" s="30">
        <v>44684</v>
      </c>
      <c r="AB2" s="28" t="s">
        <v>352</v>
      </c>
      <c r="AC2" s="3"/>
    </row>
    <row r="3" spans="2:34" x14ac:dyDescent="0.25">
      <c r="C3"/>
      <c r="D3"/>
      <c r="E3"/>
      <c r="F3"/>
      <c r="G3"/>
      <c r="H3"/>
      <c r="I3"/>
      <c r="J3"/>
      <c r="K3"/>
      <c r="L3"/>
      <c r="M3"/>
      <c r="N3"/>
      <c r="O3" s="30">
        <v>44685</v>
      </c>
      <c r="P3"/>
      <c r="Q3"/>
      <c r="R3"/>
      <c r="S3"/>
      <c r="T3"/>
      <c r="U3"/>
      <c r="V3"/>
      <c r="W3"/>
      <c r="X3"/>
      <c r="Y3"/>
      <c r="Z3"/>
      <c r="AA3"/>
      <c r="AB3"/>
    </row>
    <row r="4" spans="2:34" x14ac:dyDescent="0.25">
      <c r="C4"/>
      <c r="D4"/>
      <c r="E4"/>
      <c r="F4"/>
      <c r="G4"/>
      <c r="H4"/>
      <c r="I4"/>
      <c r="J4"/>
      <c r="K4"/>
      <c r="L4"/>
      <c r="M4"/>
      <c r="N4"/>
      <c r="O4" s="30">
        <v>44686</v>
      </c>
      <c r="P4"/>
      <c r="Q4"/>
      <c r="R4"/>
      <c r="S4"/>
      <c r="T4"/>
      <c r="U4"/>
      <c r="V4"/>
      <c r="W4"/>
      <c r="X4"/>
      <c r="Y4"/>
      <c r="Z4"/>
      <c r="AA4"/>
      <c r="AB4"/>
    </row>
    <row r="5" spans="2:34" x14ac:dyDescent="0.25">
      <c r="C5"/>
      <c r="D5"/>
      <c r="E5"/>
      <c r="F5"/>
      <c r="G5"/>
      <c r="H5"/>
      <c r="I5"/>
      <c r="J5"/>
      <c r="K5"/>
      <c r="L5"/>
      <c r="M5"/>
      <c r="N5"/>
      <c r="O5"/>
      <c r="P5"/>
      <c r="Q5"/>
      <c r="R5"/>
      <c r="S5"/>
      <c r="T5"/>
      <c r="U5"/>
      <c r="V5"/>
      <c r="W5"/>
      <c r="X5"/>
      <c r="Y5"/>
      <c r="Z5"/>
      <c r="AA5"/>
      <c r="AB5"/>
    </row>
    <row r="6" spans="2:34" x14ac:dyDescent="0.25">
      <c r="D6" s="102" t="s">
        <v>30</v>
      </c>
      <c r="E6" s="103"/>
      <c r="F6" s="104"/>
      <c r="G6" s="102" t="s">
        <v>31</v>
      </c>
      <c r="H6" s="103"/>
      <c r="I6" s="104"/>
      <c r="J6" s="102" t="s">
        <v>353</v>
      </c>
      <c r="K6" s="103"/>
      <c r="L6" s="103"/>
      <c r="M6" s="103"/>
      <c r="N6" s="104"/>
      <c r="O6" s="102" t="s">
        <v>354</v>
      </c>
      <c r="P6" s="103"/>
      <c r="Q6" s="104"/>
      <c r="R6" s="102" t="s">
        <v>32</v>
      </c>
      <c r="S6" s="103"/>
      <c r="T6" s="104"/>
      <c r="U6" s="102" t="s">
        <v>2</v>
      </c>
      <c r="V6" s="103"/>
      <c r="W6" s="104"/>
      <c r="X6" s="110" t="s">
        <v>3</v>
      </c>
      <c r="Y6" s="111"/>
      <c r="Z6" s="111"/>
      <c r="AA6" s="111"/>
      <c r="AB6" s="111"/>
      <c r="AC6" s="100" t="s">
        <v>6</v>
      </c>
      <c r="AD6" s="100"/>
      <c r="AE6" s="100" t="s">
        <v>7</v>
      </c>
      <c r="AF6" s="100"/>
      <c r="AG6" s="100" t="s">
        <v>8</v>
      </c>
      <c r="AH6" s="100"/>
    </row>
    <row r="7" spans="2:34" x14ac:dyDescent="0.25">
      <c r="C7" s="116" t="s">
        <v>24</v>
      </c>
      <c r="D7" s="105"/>
      <c r="E7" s="106"/>
      <c r="F7" s="107"/>
      <c r="G7" s="105"/>
      <c r="H7" s="106"/>
      <c r="I7" s="107"/>
      <c r="J7" s="105"/>
      <c r="K7" s="106"/>
      <c r="L7" s="106"/>
      <c r="M7" s="106"/>
      <c r="N7" s="107"/>
      <c r="O7" s="105"/>
      <c r="P7" s="106"/>
      <c r="Q7" s="107"/>
      <c r="R7" s="105"/>
      <c r="S7" s="106"/>
      <c r="T7" s="107"/>
      <c r="U7" s="105"/>
      <c r="V7" s="106"/>
      <c r="W7" s="107"/>
      <c r="X7" s="105"/>
      <c r="Y7" s="106"/>
      <c r="Z7" s="106"/>
      <c r="AA7" s="106"/>
      <c r="AB7" s="106"/>
      <c r="AC7" s="101"/>
      <c r="AD7" s="101"/>
      <c r="AE7" s="101"/>
      <c r="AF7" s="101"/>
      <c r="AG7" s="101"/>
      <c r="AH7" s="101"/>
    </row>
    <row r="8" spans="2:34" x14ac:dyDescent="0.25">
      <c r="C8" s="117"/>
      <c r="D8" s="4" t="s">
        <v>9</v>
      </c>
      <c r="E8" s="4" t="s">
        <v>10</v>
      </c>
      <c r="F8" s="4" t="s">
        <v>11</v>
      </c>
      <c r="G8" s="4" t="s">
        <v>9</v>
      </c>
      <c r="H8" s="4" t="s">
        <v>10</v>
      </c>
      <c r="I8" s="4" t="s">
        <v>11</v>
      </c>
      <c r="J8" s="4" t="s">
        <v>9</v>
      </c>
      <c r="K8" s="4" t="s">
        <v>10</v>
      </c>
      <c r="L8" s="4" t="s">
        <v>11</v>
      </c>
      <c r="M8" s="4" t="s">
        <v>12</v>
      </c>
      <c r="N8" s="4" t="s">
        <v>13</v>
      </c>
      <c r="O8" s="4" t="s">
        <v>9</v>
      </c>
      <c r="P8" s="4" t="s">
        <v>10</v>
      </c>
      <c r="Q8" s="4" t="s">
        <v>11</v>
      </c>
      <c r="R8" s="4" t="s">
        <v>9</v>
      </c>
      <c r="S8" s="4" t="s">
        <v>10</v>
      </c>
      <c r="T8" s="4" t="s">
        <v>11</v>
      </c>
      <c r="U8" s="4" t="s">
        <v>9</v>
      </c>
      <c r="V8" s="4" t="s">
        <v>10</v>
      </c>
      <c r="W8" s="4" t="s">
        <v>11</v>
      </c>
      <c r="X8" s="4" t="s">
        <v>9</v>
      </c>
      <c r="Y8" s="4" t="s">
        <v>10</v>
      </c>
      <c r="Z8" s="4" t="s">
        <v>11</v>
      </c>
      <c r="AA8" s="4" t="s">
        <v>14</v>
      </c>
      <c r="AB8" s="4" t="s">
        <v>15</v>
      </c>
      <c r="AC8" s="4" t="s">
        <v>16</v>
      </c>
      <c r="AD8" s="4" t="s">
        <v>11</v>
      </c>
      <c r="AE8" s="4" t="s">
        <v>16</v>
      </c>
      <c r="AF8" s="4" t="s">
        <v>11</v>
      </c>
      <c r="AG8" s="4" t="s">
        <v>16</v>
      </c>
      <c r="AH8" s="4" t="s">
        <v>11</v>
      </c>
    </row>
    <row r="9" spans="2:34" x14ac:dyDescent="0.25">
      <c r="C9" s="31" t="str">
        <f>C93</f>
        <v>KSA</v>
      </c>
      <c r="D9" s="11">
        <f ca="1">SUM(D16:D28)</f>
        <v>13438.400966183575</v>
      </c>
      <c r="E9" s="10">
        <f ca="1">F9/D9</f>
        <v>1081.7619360553372</v>
      </c>
      <c r="F9" s="11">
        <f ca="1">SUM(F16:F28)</f>
        <v>14537150.646666659</v>
      </c>
      <c r="G9" s="11">
        <f ca="1">SUM(G16:G28)</f>
        <v>17616.106280193238</v>
      </c>
      <c r="H9" s="10">
        <f ca="1">I9/G9</f>
        <v>982.42740516336448</v>
      </c>
      <c r="I9" s="11">
        <f ca="1">SUM(I16:I28)</f>
        <v>17306545.581932291</v>
      </c>
      <c r="J9" s="11">
        <f ca="1">SUM(J16:J28)</f>
        <v>15312</v>
      </c>
      <c r="K9" s="10">
        <f ca="1">L9/J9</f>
        <v>964.36196773772201</v>
      </c>
      <c r="L9" s="11">
        <f ca="1">SUM(L16:L28)</f>
        <v>14766310.449999999</v>
      </c>
      <c r="M9" s="7">
        <f ca="1">IF($C$1="DTD","-",AVERAGE(M15:M28))</f>
        <v>0.44621180603152327</v>
      </c>
      <c r="N9" s="7">
        <f ca="1">IF($C$1="DTD","-",AVERAGE(N15:N28))</f>
        <v>0.38712152730181004</v>
      </c>
      <c r="O9" s="11">
        <f ca="1">SUM(O16:O28)</f>
        <v>16109.307594095812</v>
      </c>
      <c r="P9" s="10">
        <f ca="1">Q9/O9</f>
        <v>1136.8894944482026</v>
      </c>
      <c r="Q9" s="11">
        <f ca="1">SUM(Q16:Q28)</f>
        <v>18314502.566562179</v>
      </c>
      <c r="R9" s="11">
        <f ca="1">SUM(R16:R28)</f>
        <v>29907.490909090906</v>
      </c>
      <c r="S9" s="10">
        <f ca="1">T9/R9</f>
        <v>926.63239058989177</v>
      </c>
      <c r="T9" s="11">
        <f ca="1">SUM(T16:T28)</f>
        <v>27713249.79763636</v>
      </c>
      <c r="U9" s="11">
        <f ca="1">SUM(U16:U28)</f>
        <v>31479.90252766246</v>
      </c>
      <c r="V9" s="10">
        <f ca="1">W9/U9</f>
        <v>1097.5359619415976</v>
      </c>
      <c r="W9" s="11">
        <f ca="1">SUM(W16:W28)</f>
        <v>34550325.102525748</v>
      </c>
      <c r="X9" s="6">
        <f ca="1">J9-O9</f>
        <v>-797.30759409581151</v>
      </c>
      <c r="Y9" s="6">
        <f ca="1">IFERROR(K9-P9,0)</f>
        <v>-172.52752671048063</v>
      </c>
      <c r="Z9" s="6">
        <f ca="1">L9-Q9</f>
        <v>-3548192.1165621802</v>
      </c>
      <c r="AA9" s="6">
        <f ca="1">SUM(AA15,AA25:AA28)</f>
        <v>-3722374.6473894254</v>
      </c>
      <c r="AB9" s="6">
        <f ca="1">SUM(AB15,AB25:AB28)</f>
        <v>174182.53082724247</v>
      </c>
      <c r="AC9" s="8">
        <f ca="1">IFERROR(J9/O9,"-")</f>
        <v>0.95050640200153413</v>
      </c>
      <c r="AD9" s="8">
        <f ca="1">IFERROR(L9/Q9,"-")</f>
        <v>0.80626325483497896</v>
      </c>
      <c r="AE9" s="8">
        <f ca="1">IFERROR((J9-D9)/D9,"-")</f>
        <v>0.13942127776445679</v>
      </c>
      <c r="AF9" s="8">
        <f ca="1">IFERROR((L9-F9)/F9,"-")</f>
        <v>1.5763735886295305E-2</v>
      </c>
      <c r="AG9" s="8">
        <f ca="1">IFERROR((J9-G9)/G9,"-")</f>
        <v>-0.13079543478821268</v>
      </c>
      <c r="AH9" s="8">
        <f ca="1">IFERROR((L9-I9)/I9,"-")</f>
        <v>-0.14677886582890637</v>
      </c>
    </row>
    <row r="10" spans="2:34" x14ac:dyDescent="0.25">
      <c r="C10"/>
      <c r="D10"/>
      <c r="E10"/>
      <c r="F10"/>
      <c r="G10"/>
      <c r="H10"/>
      <c r="I10"/>
      <c r="J10"/>
      <c r="K10"/>
      <c r="L10"/>
      <c r="M10"/>
      <c r="N10"/>
      <c r="O10"/>
      <c r="P10"/>
      <c r="Q10"/>
      <c r="R10"/>
      <c r="S10"/>
      <c r="T10"/>
      <c r="U10"/>
      <c r="V10"/>
      <c r="W10"/>
      <c r="X10"/>
      <c r="Y10"/>
      <c r="Z10"/>
      <c r="AA10"/>
      <c r="AB10"/>
    </row>
    <row r="11" spans="2:34" x14ac:dyDescent="0.25">
      <c r="D11" s="13">
        <v>2</v>
      </c>
      <c r="E11" s="13">
        <f>D11+1</f>
        <v>3</v>
      </c>
      <c r="F11" s="13">
        <f t="shared" ref="F11:AH11" si="0">E11+1</f>
        <v>4</v>
      </c>
      <c r="G11" s="13">
        <f t="shared" si="0"/>
        <v>5</v>
      </c>
      <c r="H11" s="13">
        <f t="shared" si="0"/>
        <v>6</v>
      </c>
      <c r="I11" s="13">
        <f t="shared" si="0"/>
        <v>7</v>
      </c>
      <c r="J11" s="13">
        <f t="shared" si="0"/>
        <v>8</v>
      </c>
      <c r="K11" s="13">
        <f t="shared" si="0"/>
        <v>9</v>
      </c>
      <c r="L11" s="13">
        <f t="shared" si="0"/>
        <v>10</v>
      </c>
      <c r="M11" s="13">
        <f t="shared" si="0"/>
        <v>11</v>
      </c>
      <c r="N11" s="13">
        <f t="shared" si="0"/>
        <v>12</v>
      </c>
      <c r="O11" s="13">
        <f>IF($C$1="DTD",L11+1,N11+1)</f>
        <v>13</v>
      </c>
      <c r="P11" s="13">
        <f t="shared" si="0"/>
        <v>14</v>
      </c>
      <c r="Q11" s="13">
        <f t="shared" si="0"/>
        <v>15</v>
      </c>
      <c r="R11" s="13">
        <f t="shared" si="0"/>
        <v>16</v>
      </c>
      <c r="S11" s="13">
        <f t="shared" si="0"/>
        <v>17</v>
      </c>
      <c r="T11" s="13">
        <f t="shared" si="0"/>
        <v>18</v>
      </c>
      <c r="U11" s="13">
        <f t="shared" si="0"/>
        <v>19</v>
      </c>
      <c r="V11" s="13">
        <f t="shared" si="0"/>
        <v>20</v>
      </c>
      <c r="W11" s="13">
        <f t="shared" si="0"/>
        <v>21</v>
      </c>
      <c r="X11" s="13">
        <f t="shared" si="0"/>
        <v>22</v>
      </c>
      <c r="Y11" s="13">
        <f t="shared" si="0"/>
        <v>23</v>
      </c>
      <c r="Z11" s="13">
        <f t="shared" si="0"/>
        <v>24</v>
      </c>
      <c r="AA11" s="13">
        <f t="shared" si="0"/>
        <v>25</v>
      </c>
      <c r="AB11" s="13">
        <f t="shared" si="0"/>
        <v>26</v>
      </c>
      <c r="AC11" s="13">
        <f t="shared" si="0"/>
        <v>27</v>
      </c>
      <c r="AD11" s="13">
        <f t="shared" si="0"/>
        <v>28</v>
      </c>
      <c r="AE11" s="13">
        <f t="shared" si="0"/>
        <v>29</v>
      </c>
      <c r="AF11" s="13">
        <f t="shared" si="0"/>
        <v>30</v>
      </c>
      <c r="AG11" s="13">
        <f t="shared" si="0"/>
        <v>31</v>
      </c>
      <c r="AH11" s="13">
        <f t="shared" si="0"/>
        <v>32</v>
      </c>
    </row>
    <row r="12" spans="2:34" x14ac:dyDescent="0.25">
      <c r="D12" s="102" t="s">
        <v>30</v>
      </c>
      <c r="E12" s="103"/>
      <c r="F12" s="104"/>
      <c r="G12" s="102" t="s">
        <v>31</v>
      </c>
      <c r="H12" s="103"/>
      <c r="I12" s="104"/>
      <c r="J12" s="102" t="s">
        <v>353</v>
      </c>
      <c r="K12" s="103"/>
      <c r="L12" s="103"/>
      <c r="M12" s="103"/>
      <c r="N12" s="104"/>
      <c r="O12" s="102" t="s">
        <v>354</v>
      </c>
      <c r="P12" s="103"/>
      <c r="Q12" s="104"/>
      <c r="R12" s="102" t="s">
        <v>32</v>
      </c>
      <c r="S12" s="103"/>
      <c r="T12" s="104"/>
      <c r="U12" s="102" t="s">
        <v>2</v>
      </c>
      <c r="V12" s="103"/>
      <c r="W12" s="104"/>
      <c r="X12" s="110" t="s">
        <v>3</v>
      </c>
      <c r="Y12" s="111"/>
      <c r="Z12" s="111"/>
      <c r="AA12" s="111"/>
      <c r="AB12" s="111"/>
      <c r="AC12" s="100" t="s">
        <v>6</v>
      </c>
      <c r="AD12" s="100"/>
      <c r="AE12" s="100" t="s">
        <v>7</v>
      </c>
      <c r="AF12" s="100"/>
      <c r="AG12" s="100" t="s">
        <v>8</v>
      </c>
      <c r="AH12" s="100"/>
    </row>
    <row r="13" spans="2:34" x14ac:dyDescent="0.25">
      <c r="C13" s="116" t="s">
        <v>4</v>
      </c>
      <c r="D13" s="105"/>
      <c r="E13" s="106"/>
      <c r="F13" s="107"/>
      <c r="G13" s="105"/>
      <c r="H13" s="106"/>
      <c r="I13" s="107"/>
      <c r="J13" s="105"/>
      <c r="K13" s="106"/>
      <c r="L13" s="106"/>
      <c r="M13" s="106"/>
      <c r="N13" s="107"/>
      <c r="O13" s="105"/>
      <c r="P13" s="106"/>
      <c r="Q13" s="107"/>
      <c r="R13" s="105"/>
      <c r="S13" s="106"/>
      <c r="T13" s="107"/>
      <c r="U13" s="105"/>
      <c r="V13" s="106"/>
      <c r="W13" s="107"/>
      <c r="X13" s="105"/>
      <c r="Y13" s="106"/>
      <c r="Z13" s="106"/>
      <c r="AA13" s="106"/>
      <c r="AB13" s="106"/>
      <c r="AC13" s="101"/>
      <c r="AD13" s="101"/>
      <c r="AE13" s="101"/>
      <c r="AF13" s="101"/>
      <c r="AG13" s="101"/>
      <c r="AH13" s="101"/>
    </row>
    <row r="14" spans="2:34" x14ac:dyDescent="0.25">
      <c r="B14" s="27"/>
      <c r="C14" s="117"/>
      <c r="D14" s="4" t="s">
        <v>9</v>
      </c>
      <c r="E14" s="4" t="s">
        <v>10</v>
      </c>
      <c r="F14" s="4" t="s">
        <v>11</v>
      </c>
      <c r="G14" s="4" t="s">
        <v>9</v>
      </c>
      <c r="H14" s="4" t="s">
        <v>10</v>
      </c>
      <c r="I14" s="4" t="s">
        <v>11</v>
      </c>
      <c r="J14" s="4" t="s">
        <v>9</v>
      </c>
      <c r="K14" s="4" t="s">
        <v>10</v>
      </c>
      <c r="L14" s="4" t="s">
        <v>11</v>
      </c>
      <c r="M14" s="4" t="s">
        <v>12</v>
      </c>
      <c r="N14" s="4" t="s">
        <v>13</v>
      </c>
      <c r="O14" s="4" t="s">
        <v>9</v>
      </c>
      <c r="P14" s="4" t="s">
        <v>10</v>
      </c>
      <c r="Q14" s="4" t="s">
        <v>11</v>
      </c>
      <c r="R14" s="4" t="s">
        <v>9</v>
      </c>
      <c r="S14" s="4" t="s">
        <v>10</v>
      </c>
      <c r="T14" s="4" t="s">
        <v>11</v>
      </c>
      <c r="U14" s="4" t="s">
        <v>9</v>
      </c>
      <c r="V14" s="4" t="s">
        <v>10</v>
      </c>
      <c r="W14" s="4" t="s">
        <v>11</v>
      </c>
      <c r="X14" s="4" t="s">
        <v>9</v>
      </c>
      <c r="Y14" s="4" t="s">
        <v>10</v>
      </c>
      <c r="Z14" s="4" t="s">
        <v>11</v>
      </c>
      <c r="AA14" s="4" t="s">
        <v>14</v>
      </c>
      <c r="AB14" s="4" t="s">
        <v>15</v>
      </c>
      <c r="AC14" s="4" t="s">
        <v>16</v>
      </c>
      <c r="AD14" s="4" t="s">
        <v>11</v>
      </c>
      <c r="AE14" s="4" t="s">
        <v>16</v>
      </c>
      <c r="AF14" s="4" t="s">
        <v>11</v>
      </c>
      <c r="AG14" s="4" t="s">
        <v>16</v>
      </c>
      <c r="AH14" s="4" t="s">
        <v>11</v>
      </c>
    </row>
    <row r="15" spans="2:34" collapsed="1" x14ac:dyDescent="0.25">
      <c r="B15" s="12" t="str">
        <f>C15&amp;"-"&amp;$C$1</f>
        <v>HJH-MTD</v>
      </c>
      <c r="C15" s="5" t="s">
        <v>22</v>
      </c>
      <c r="D15" s="6">
        <f ca="1">SUM(D16:D24)</f>
        <v>6694.4444444444443</v>
      </c>
      <c r="E15" s="6">
        <f ca="1">F15/D15</f>
        <v>1651.2687659751027</v>
      </c>
      <c r="F15" s="6">
        <f ca="1">SUM(F16:F24)</f>
        <v>11054327.01666666</v>
      </c>
      <c r="G15" s="6">
        <f ca="1">SUM(G16:G24)</f>
        <v>8688.8888888888887</v>
      </c>
      <c r="H15" s="6">
        <f ca="1">I15/G15</f>
        <v>1412.9973401534442</v>
      </c>
      <c r="I15" s="6">
        <f ca="1">SUM(I16:I24)</f>
        <v>12277376.888888815</v>
      </c>
      <c r="J15" s="6">
        <f ca="1">SUM(J16:J24)</f>
        <v>7248</v>
      </c>
      <c r="K15" s="6">
        <f ca="1">L15/J15</f>
        <v>1499.5254111479028</v>
      </c>
      <c r="L15" s="6">
        <f ca="1">SUM(L16:L24)</f>
        <v>10868560.18</v>
      </c>
      <c r="M15" s="7">
        <f ca="1">IFERROR(AVERAGE(M16:M24),"-")</f>
        <v>0.61939218523878437</v>
      </c>
      <c r="N15" s="7">
        <f ca="1">IFERROR(AVERAGE(N16:N24),"-")</f>
        <v>0.38060781476121563</v>
      </c>
      <c r="O15" s="6">
        <f ca="1">SUM(O16:O24)</f>
        <v>6850.8206877580169</v>
      </c>
      <c r="P15" s="6">
        <f ca="1">Q15/O15</f>
        <v>1815.0025313819174</v>
      </c>
      <c r="Q15" s="6">
        <f ca="1">SUM(Q16:Q24)</f>
        <v>12434256.890324408</v>
      </c>
      <c r="R15" s="6">
        <f ca="1">SUM(R16:R24)</f>
        <v>13046.399999999998</v>
      </c>
      <c r="S15" s="6">
        <f ca="1">T15/R15</f>
        <v>1499.5254111479032</v>
      </c>
      <c r="T15" s="6">
        <f ca="1">SUM(T16:T24)</f>
        <v>19563408.324000001</v>
      </c>
      <c r="U15" s="6">
        <f ca="1">SUM(U16:U24)</f>
        <v>12331.477237964429</v>
      </c>
      <c r="V15" s="6">
        <f ca="1">W15/U15</f>
        <v>1815.0025313819174</v>
      </c>
      <c r="W15" s="6">
        <f ca="1">SUM(W16:W24)</f>
        <v>22381662.402583934</v>
      </c>
      <c r="X15" s="6">
        <f t="shared" ref="X15" ca="1" si="1">J15-O15</f>
        <v>397.1793122419831</v>
      </c>
      <c r="Y15" s="6">
        <f t="shared" ref="Y15" ca="1" si="2">IFERROR(K15-P15,0)</f>
        <v>-315.47712023401459</v>
      </c>
      <c r="Z15" s="6">
        <f t="shared" ref="Z15" ca="1" si="3">L15-Q15</f>
        <v>-1565696.7103244085</v>
      </c>
      <c r="AA15" s="6">
        <f ca="1">IFERROR((K15-P15)*J15,0)</f>
        <v>-2286578.1674561379</v>
      </c>
      <c r="AB15" s="6">
        <f t="shared" ref="AB15" ca="1" si="4">(J15-O15)*P15</f>
        <v>720881.4571317283</v>
      </c>
      <c r="AC15" s="8">
        <f t="shared" ref="AC15" ca="1" si="5">IFERROR(J15/O15,"-")</f>
        <v>1.0579754354031945</v>
      </c>
      <c r="AD15" s="8">
        <f t="shared" ref="AD15" ca="1" si="6">IFERROR(L15/Q15,"-")</f>
        <v>0.87408200392395463</v>
      </c>
      <c r="AE15" s="8">
        <f t="shared" ref="AE15" ca="1" si="7">IFERROR((J15-D15)/D15,"-")</f>
        <v>8.2688796680497945E-2</v>
      </c>
      <c r="AF15" s="8">
        <f t="shared" ref="AF15" ca="1" si="8">IFERROR((L15-F15)/F15,"-")</f>
        <v>-1.6804897881759682E-2</v>
      </c>
      <c r="AG15" s="8">
        <f t="shared" ref="AG15" ca="1" si="9">IFERROR((J15-G15)/G15,"-")</f>
        <v>-0.1658312020460358</v>
      </c>
      <c r="AH15" s="8">
        <f t="shared" ref="AH15" ca="1" si="10">IFERROR((L15-I15)/I15,"-")</f>
        <v>-0.11474899904423501</v>
      </c>
    </row>
    <row r="16" spans="2:34" hidden="1" outlineLevel="1" x14ac:dyDescent="0.25">
      <c r="B16" s="12" t="str">
        <f t="shared" ref="B16:B23" si="11">$B$15</f>
        <v>HJH-MTD</v>
      </c>
      <c r="C16" s="21" t="s">
        <v>344</v>
      </c>
      <c r="D16" s="29">
        <f ca="1">IF(OR($C$1="DTD",OR(D$14="Retention",D$14="Acquisition")),"-",VLOOKUP($C16,INDIRECT("'"&amp;$B16&amp;"'!C10:AL20"),D$11,0))</f>
        <v>29.444444444444446</v>
      </c>
      <c r="E16" s="29">
        <f t="shared" ref="E16:Q16" ca="1" si="12">IF(OR($C$1="DTD",OR(E$14="Retention",E$14="Acquisition")),"-",VLOOKUP($C16,INDIRECT("'"&amp;$B16&amp;"'!C10:AL20"),E$11,0))</f>
        <v>31044.090377358625</v>
      </c>
      <c r="F16" s="29">
        <f t="shared" ca="1" si="12"/>
        <v>914075.9944444485</v>
      </c>
      <c r="G16" s="29">
        <f t="shared" ca="1" si="12"/>
        <v>31.666666666666668</v>
      </c>
      <c r="H16" s="29">
        <f t="shared" ca="1" si="12"/>
        <v>25557.578596491228</v>
      </c>
      <c r="I16" s="29">
        <f t="shared" ca="1" si="12"/>
        <v>809323.32222222222</v>
      </c>
      <c r="J16" s="29">
        <f t="shared" ca="1" si="12"/>
        <v>26</v>
      </c>
      <c r="K16" s="29">
        <f t="shared" ca="1" si="12"/>
        <v>28785.147307692321</v>
      </c>
      <c r="L16" s="29">
        <f t="shared" ca="1" si="12"/>
        <v>748413.83000000031</v>
      </c>
      <c r="M16" s="29" t="str">
        <f t="shared" ca="1" si="12"/>
        <v>-</v>
      </c>
      <c r="N16" s="29" t="str">
        <f t="shared" ca="1" si="12"/>
        <v>-</v>
      </c>
      <c r="O16" s="29">
        <f t="shared" ca="1" si="12"/>
        <v>41.42094017094017</v>
      </c>
      <c r="P16" s="29">
        <f t="shared" ca="1" si="12"/>
        <v>27196.86350044463</v>
      </c>
      <c r="Q16" s="29">
        <f t="shared" ca="1" si="12"/>
        <v>1126519.6558891435</v>
      </c>
      <c r="R16" s="29">
        <f ca="1">IFERROR(J16/$L$1,"-")</f>
        <v>46.8</v>
      </c>
      <c r="S16" s="14">
        <f ca="1">IFERROR(T16/R16,"-")</f>
        <v>28785.147307692321</v>
      </c>
      <c r="T16" s="29">
        <f ca="1">IFERROR(L16/$L$1,"-")</f>
        <v>1347144.8940000006</v>
      </c>
      <c r="U16" s="29">
        <f ca="1">IFERROR(O16/$L$1,"-")</f>
        <v>74.557692307692307</v>
      </c>
      <c r="V16" s="14">
        <f ca="1">IFERROR(W16/U16,"-")</f>
        <v>27196.86350044463</v>
      </c>
      <c r="W16" s="29">
        <f ca="1">IFERROR(Q16/$L$1,"-")</f>
        <v>2027735.3806004582</v>
      </c>
      <c r="X16" s="15">
        <f ca="1">IFERROR(J16-O16,"-")</f>
        <v>-15.42094017094017</v>
      </c>
      <c r="Y16" s="15">
        <f ca="1">IFERROR(K16-P16,"-")</f>
        <v>1588.2838072476916</v>
      </c>
      <c r="Z16" s="15">
        <f ca="1">IFERROR(L16-Q16,"-")</f>
        <v>-378105.82588914316</v>
      </c>
      <c r="AA16" s="15">
        <f ca="1">IFERROR((K16-P16)*J16,"-")</f>
        <v>41295.378988439981</v>
      </c>
      <c r="AB16" s="15">
        <f ca="1">IFERROR((J16-O16)*P16,"-")</f>
        <v>-419401.20487758308</v>
      </c>
      <c r="AC16" s="17">
        <f t="shared" ref="AC16:AC28" ca="1" si="13">IFERROR(J16/O16,"-")</f>
        <v>0.62770183131287083</v>
      </c>
      <c r="AD16" s="17">
        <f t="shared" ref="AD16:AD28" ca="1" si="14">IFERROR(L16/Q16,"-")</f>
        <v>0.66435931773359924</v>
      </c>
      <c r="AE16" s="17">
        <f t="shared" ref="AE16:AE28" ca="1" si="15">IFERROR((J16-D16)/D16,"-")</f>
        <v>-0.11698113207547176</v>
      </c>
      <c r="AF16" s="17">
        <f t="shared" ref="AF16:AF28" ca="1" si="16">IFERROR((L16-F16)/F16,"-")</f>
        <v>-0.18123456414051584</v>
      </c>
      <c r="AG16" s="17">
        <f t="shared" ref="AG16:AG28" ca="1" si="17">IFERROR((J16-G16)/G16,"-")</f>
        <v>-0.17894736842105266</v>
      </c>
      <c r="AH16" s="17">
        <f t="shared" ref="AH16:AH28" ca="1" si="18">IFERROR((L16-I16)/I16,"-")</f>
        <v>-7.5259776346217194E-2</v>
      </c>
    </row>
    <row r="17" spans="1:34" hidden="1" outlineLevel="1" x14ac:dyDescent="0.25">
      <c r="B17" s="12" t="str">
        <f t="shared" si="11"/>
        <v>HJH-MTD</v>
      </c>
      <c r="C17" s="21" t="s">
        <v>209</v>
      </c>
      <c r="D17" s="29">
        <f t="shared" ref="D17:Q23" ca="1" si="19">IF(OR($C$1="DTD",OR(D$14="Retention",D$14="Acquisition")),"-",VLOOKUP($C17,INDIRECT("'"&amp;$B17&amp;"'!C10:AL20"),D$11,0))</f>
        <v>305</v>
      </c>
      <c r="E17" s="29">
        <f t="shared" ca="1" si="19"/>
        <v>911.14956284152868</v>
      </c>
      <c r="F17" s="29">
        <f t="shared" ca="1" si="19"/>
        <v>277900.61666666623</v>
      </c>
      <c r="G17" s="29">
        <f t="shared" ca="1" si="19"/>
        <v>298.33333333333337</v>
      </c>
      <c r="H17" s="29">
        <f t="shared" ca="1" si="19"/>
        <v>994.32869646182587</v>
      </c>
      <c r="I17" s="29">
        <f t="shared" ca="1" si="19"/>
        <v>296641.39444444474</v>
      </c>
      <c r="J17" s="29">
        <f t="shared" ca="1" si="19"/>
        <v>438</v>
      </c>
      <c r="K17" s="29">
        <f t="shared" ca="1" si="19"/>
        <v>938.01041095890491</v>
      </c>
      <c r="L17" s="29">
        <f t="shared" ca="1" si="19"/>
        <v>410848.56000000035</v>
      </c>
      <c r="M17" s="29" t="str">
        <f t="shared" ca="1" si="19"/>
        <v>-</v>
      </c>
      <c r="N17" s="29" t="str">
        <f t="shared" ca="1" si="19"/>
        <v>-</v>
      </c>
      <c r="O17" s="29">
        <f t="shared" ca="1" si="19"/>
        <v>286.11111111111114</v>
      </c>
      <c r="P17" s="29">
        <f t="shared" ca="1" si="19"/>
        <v>1083.3581465601246</v>
      </c>
      <c r="Q17" s="29">
        <f t="shared" ca="1" si="19"/>
        <v>309960.80304359127</v>
      </c>
      <c r="R17" s="29">
        <f t="shared" ref="R17:T23" ca="1" si="20">IFERROR(J17/$L$1,"-")</f>
        <v>788.4</v>
      </c>
      <c r="S17" s="14">
        <f t="shared" ref="S17:S23" ca="1" si="21">IFERROR(T17/R17,"-")</f>
        <v>938.01041095890491</v>
      </c>
      <c r="T17" s="29">
        <f t="shared" ca="1" si="20"/>
        <v>739527.40800000064</v>
      </c>
      <c r="U17" s="29">
        <f t="shared" ref="U17:W23" ca="1" si="22">IFERROR(O17/$L$1,"-")</f>
        <v>515</v>
      </c>
      <c r="V17" s="14">
        <f t="shared" ref="V17:V23" ca="1" si="23">IFERROR(W17/U17,"-")</f>
        <v>1083.3581465601249</v>
      </c>
      <c r="W17" s="29">
        <f t="shared" ca="1" si="22"/>
        <v>557929.44547846424</v>
      </c>
      <c r="X17" s="15">
        <f t="shared" ref="X17:Z23" ca="1" si="24">IFERROR(J17-O17,"-")</f>
        <v>151.88888888888886</v>
      </c>
      <c r="Y17" s="15">
        <f t="shared" ref="Y17:Y23" ca="1" si="25">IFERROR(K17-P17,"-")</f>
        <v>-145.34773560121971</v>
      </c>
      <c r="Z17" s="15">
        <f t="shared" ca="1" si="24"/>
        <v>100887.75695640908</v>
      </c>
      <c r="AA17" s="15">
        <f t="shared" ref="AA17:AA23" ca="1" si="26">IFERROR((K17-P17)*J17,"-")</f>
        <v>-63662.308193334233</v>
      </c>
      <c r="AB17" s="15">
        <f t="shared" ref="AB17:AB23" ca="1" si="27">IFERROR((J17-O17)*P17,"-")</f>
        <v>164550.06514974334</v>
      </c>
      <c r="AC17" s="17">
        <f t="shared" ca="1" si="13"/>
        <v>1.5308737864077668</v>
      </c>
      <c r="AD17" s="17">
        <f t="shared" ca="1" si="14"/>
        <v>1.3254855322536403</v>
      </c>
      <c r="AE17" s="17">
        <f t="shared" ca="1" si="15"/>
        <v>0.43606557377049182</v>
      </c>
      <c r="AF17" s="17">
        <f t="shared" ca="1" si="16"/>
        <v>0.47840103749320334</v>
      </c>
      <c r="AG17" s="17">
        <f t="shared" ca="1" si="17"/>
        <v>0.46815642458100543</v>
      </c>
      <c r="AH17" s="17">
        <f t="shared" ca="1" si="18"/>
        <v>0.38500077094582436</v>
      </c>
    </row>
    <row r="18" spans="1:34" hidden="1" outlineLevel="1" x14ac:dyDescent="0.25">
      <c r="B18" s="12" t="str">
        <f t="shared" si="11"/>
        <v>HJH-MTD</v>
      </c>
      <c r="C18" s="21" t="s">
        <v>345</v>
      </c>
      <c r="D18" s="29">
        <f t="shared" ca="1" si="19"/>
        <v>0</v>
      </c>
      <c r="E18" s="29">
        <f t="shared" ca="1" si="19"/>
        <v>0</v>
      </c>
      <c r="F18" s="29">
        <f t="shared" ca="1" si="19"/>
        <v>64939.655555555495</v>
      </c>
      <c r="G18" s="29">
        <f t="shared" ca="1" si="19"/>
        <v>0</v>
      </c>
      <c r="H18" s="29">
        <f t="shared" ca="1" si="19"/>
        <v>0</v>
      </c>
      <c r="I18" s="29">
        <f t="shared" ca="1" si="19"/>
        <v>49954.544444444429</v>
      </c>
      <c r="J18" s="29">
        <f t="shared" ca="1" si="19"/>
        <v>0</v>
      </c>
      <c r="K18" s="29">
        <f t="shared" ca="1" si="19"/>
        <v>0</v>
      </c>
      <c r="L18" s="29">
        <f t="shared" ca="1" si="19"/>
        <v>68834.160000000047</v>
      </c>
      <c r="M18" s="29" t="str">
        <f t="shared" ca="1" si="19"/>
        <v>-</v>
      </c>
      <c r="N18" s="29" t="str">
        <f t="shared" ca="1" si="19"/>
        <v>-</v>
      </c>
      <c r="O18" s="29">
        <f t="shared" ca="1" si="19"/>
        <v>0</v>
      </c>
      <c r="P18" s="29">
        <f t="shared" ca="1" si="19"/>
        <v>0</v>
      </c>
      <c r="Q18" s="29">
        <f t="shared" ca="1" si="19"/>
        <v>83838.372871966945</v>
      </c>
      <c r="R18" s="29">
        <f t="shared" ca="1" si="20"/>
        <v>0</v>
      </c>
      <c r="S18" s="14" t="str">
        <f t="shared" ca="1" si="21"/>
        <v>-</v>
      </c>
      <c r="T18" s="29">
        <f t="shared" ca="1" si="20"/>
        <v>123901.48800000008</v>
      </c>
      <c r="U18" s="29">
        <f t="shared" ca="1" si="22"/>
        <v>0</v>
      </c>
      <c r="V18" s="14" t="str">
        <f t="shared" ca="1" si="23"/>
        <v>-</v>
      </c>
      <c r="W18" s="29">
        <f t="shared" ca="1" si="22"/>
        <v>150909.07116954049</v>
      </c>
      <c r="X18" s="15">
        <f t="shared" ca="1" si="24"/>
        <v>0</v>
      </c>
      <c r="Y18" s="15">
        <f t="shared" ca="1" si="25"/>
        <v>0</v>
      </c>
      <c r="Z18" s="15">
        <f t="shared" ca="1" si="24"/>
        <v>-15004.212871966898</v>
      </c>
      <c r="AA18" s="15">
        <f t="shared" ca="1" si="26"/>
        <v>0</v>
      </c>
      <c r="AB18" s="15">
        <f t="shared" ca="1" si="27"/>
        <v>0</v>
      </c>
      <c r="AC18" s="17" t="str">
        <f t="shared" ca="1" si="13"/>
        <v>-</v>
      </c>
      <c r="AD18" s="17">
        <f t="shared" ca="1" si="14"/>
        <v>0.82103406402125134</v>
      </c>
      <c r="AE18" s="17" t="str">
        <f t="shared" ca="1" si="15"/>
        <v>-</v>
      </c>
      <c r="AF18" s="17">
        <f t="shared" ca="1" si="16"/>
        <v>5.9971128752181725E-2</v>
      </c>
      <c r="AG18" s="17" t="str">
        <f t="shared" ca="1" si="17"/>
        <v>-</v>
      </c>
      <c r="AH18" s="17">
        <f t="shared" ca="1" si="18"/>
        <v>0.37793589683421219</v>
      </c>
    </row>
    <row r="19" spans="1:34" hidden="1" outlineLevel="1" x14ac:dyDescent="0.25">
      <c r="B19" s="12" t="str">
        <f t="shared" si="11"/>
        <v>HJH-MTD</v>
      </c>
      <c r="C19" s="21" t="s">
        <v>346</v>
      </c>
      <c r="D19" s="29">
        <f t="shared" ca="1" si="19"/>
        <v>18.333333333333336</v>
      </c>
      <c r="E19" s="29">
        <f t="shared" ca="1" si="19"/>
        <v>107859.53757575777</v>
      </c>
      <c r="F19" s="29">
        <f t="shared" ca="1" si="19"/>
        <v>1977424.8555555593</v>
      </c>
      <c r="G19" s="29">
        <f t="shared" ca="1" si="19"/>
        <v>26.666666666666668</v>
      </c>
      <c r="H19" s="29">
        <f t="shared" ca="1" si="19"/>
        <v>96750.741041666319</v>
      </c>
      <c r="I19" s="29">
        <f t="shared" ca="1" si="19"/>
        <v>2580019.7611111021</v>
      </c>
      <c r="J19" s="29">
        <f t="shared" ca="1" si="19"/>
        <v>29</v>
      </c>
      <c r="K19" s="29">
        <f t="shared" ca="1" si="19"/>
        <v>87279.131379310289</v>
      </c>
      <c r="L19" s="29">
        <f t="shared" ca="1" si="19"/>
        <v>2531094.8099999982</v>
      </c>
      <c r="M19" s="29" t="str">
        <f t="shared" ca="1" si="19"/>
        <v>-</v>
      </c>
      <c r="N19" s="29" t="str">
        <f t="shared" ca="1" si="19"/>
        <v>-</v>
      </c>
      <c r="O19" s="29">
        <f t="shared" ca="1" si="19"/>
        <v>30.555555555555557</v>
      </c>
      <c r="P19" s="29">
        <f t="shared" ca="1" si="19"/>
        <v>87800.903669305291</v>
      </c>
      <c r="Q19" s="29">
        <f t="shared" ca="1" si="19"/>
        <v>2682805.3898954396</v>
      </c>
      <c r="R19" s="29">
        <f t="shared" ca="1" si="20"/>
        <v>52.199999999999996</v>
      </c>
      <c r="S19" s="14">
        <f t="shared" ca="1" si="21"/>
        <v>87279.131379310274</v>
      </c>
      <c r="T19" s="29">
        <f t="shared" ca="1" si="20"/>
        <v>4555970.6579999961</v>
      </c>
      <c r="U19" s="29">
        <f t="shared" ca="1" si="22"/>
        <v>55</v>
      </c>
      <c r="V19" s="14">
        <f t="shared" ca="1" si="23"/>
        <v>87800.903669305291</v>
      </c>
      <c r="W19" s="29">
        <f t="shared" ca="1" si="22"/>
        <v>4829049.7018117914</v>
      </c>
      <c r="X19" s="15">
        <f t="shared" ca="1" si="24"/>
        <v>-1.5555555555555571</v>
      </c>
      <c r="Y19" s="15">
        <f t="shared" ca="1" si="25"/>
        <v>-521.77228999500221</v>
      </c>
      <c r="Z19" s="15">
        <f t="shared" ca="1" si="24"/>
        <v>-151710.57989544142</v>
      </c>
      <c r="AA19" s="15">
        <f t="shared" ca="1" si="26"/>
        <v>-15131.396409855064</v>
      </c>
      <c r="AB19" s="15">
        <f t="shared" ca="1" si="27"/>
        <v>-136579.18348558614</v>
      </c>
      <c r="AC19" s="17">
        <f t="shared" ca="1" si="13"/>
        <v>0.9490909090909091</v>
      </c>
      <c r="AD19" s="17">
        <f t="shared" ca="1" si="14"/>
        <v>0.94345076968055663</v>
      </c>
      <c r="AE19" s="17">
        <f t="shared" ca="1" si="15"/>
        <v>0.58181818181818157</v>
      </c>
      <c r="AF19" s="17">
        <f t="shared" ca="1" si="16"/>
        <v>0.2799954460413035</v>
      </c>
      <c r="AG19" s="17">
        <f t="shared" ca="1" si="17"/>
        <v>8.7499999999999953E-2</v>
      </c>
      <c r="AH19" s="17">
        <f t="shared" ca="1" si="18"/>
        <v>-1.8963014101114492E-2</v>
      </c>
    </row>
    <row r="20" spans="1:34" hidden="1" outlineLevel="1" x14ac:dyDescent="0.25">
      <c r="B20" s="12" t="str">
        <f t="shared" si="11"/>
        <v>HJH-MTD</v>
      </c>
      <c r="C20" s="21" t="s">
        <v>347</v>
      </c>
      <c r="D20" s="29">
        <f t="shared" ca="1" si="19"/>
        <v>340</v>
      </c>
      <c r="E20" s="29">
        <f t="shared" ca="1" si="19"/>
        <v>8102.9142810457115</v>
      </c>
      <c r="F20" s="29">
        <f t="shared" ca="1" si="19"/>
        <v>2754990.8555555418</v>
      </c>
      <c r="G20" s="29">
        <f t="shared" ca="1" si="19"/>
        <v>433.33333333333337</v>
      </c>
      <c r="H20" s="29">
        <f t="shared" ca="1" si="19"/>
        <v>7316.505320512676</v>
      </c>
      <c r="I20" s="29">
        <f t="shared" ca="1" si="19"/>
        <v>3170485.6388888266</v>
      </c>
      <c r="J20" s="29">
        <f t="shared" ca="1" si="19"/>
        <v>321</v>
      </c>
      <c r="K20" s="29">
        <f t="shared" ca="1" si="19"/>
        <v>7774.5698442367684</v>
      </c>
      <c r="L20" s="29">
        <f t="shared" ca="1" si="19"/>
        <v>2495636.9200000027</v>
      </c>
      <c r="M20" s="29" t="str">
        <f t="shared" ca="1" si="19"/>
        <v>-</v>
      </c>
      <c r="N20" s="29" t="str">
        <f t="shared" ca="1" si="19"/>
        <v>-</v>
      </c>
      <c r="O20" s="29">
        <f t="shared" ca="1" si="19"/>
        <v>420.5555555555556</v>
      </c>
      <c r="P20" s="29">
        <f t="shared" ca="1" si="19"/>
        <v>7706.2940495922112</v>
      </c>
      <c r="Q20" s="29">
        <f t="shared" ca="1" si="19"/>
        <v>3240924.7753007249</v>
      </c>
      <c r="R20" s="29">
        <f t="shared" ca="1" si="20"/>
        <v>577.79999999999995</v>
      </c>
      <c r="S20" s="14">
        <f t="shared" ca="1" si="21"/>
        <v>7774.5698442367693</v>
      </c>
      <c r="T20" s="29">
        <f t="shared" ca="1" si="20"/>
        <v>4492146.4560000049</v>
      </c>
      <c r="U20" s="29">
        <f t="shared" ca="1" si="22"/>
        <v>757</v>
      </c>
      <c r="V20" s="14">
        <f t="shared" ca="1" si="23"/>
        <v>7706.294049592213</v>
      </c>
      <c r="W20" s="29">
        <f t="shared" ca="1" si="22"/>
        <v>5833664.5955413049</v>
      </c>
      <c r="X20" s="15">
        <f t="shared" ca="1" si="24"/>
        <v>-99.5555555555556</v>
      </c>
      <c r="Y20" s="15">
        <f t="shared" ca="1" si="25"/>
        <v>68.275794644557209</v>
      </c>
      <c r="Z20" s="15">
        <f t="shared" ca="1" si="24"/>
        <v>-745287.85530072218</v>
      </c>
      <c r="AA20" s="15">
        <f t="shared" ca="1" si="26"/>
        <v>21916.530080902863</v>
      </c>
      <c r="AB20" s="15">
        <f t="shared" ca="1" si="27"/>
        <v>-767204.38538162492</v>
      </c>
      <c r="AC20" s="17">
        <f t="shared" ca="1" si="13"/>
        <v>0.76327608982826944</v>
      </c>
      <c r="AD20" s="17">
        <f t="shared" ca="1" si="14"/>
        <v>0.77003852080103674</v>
      </c>
      <c r="AE20" s="17">
        <f t="shared" ca="1" si="15"/>
        <v>-5.5882352941176473E-2</v>
      </c>
      <c r="AF20" s="17">
        <f t="shared" ca="1" si="16"/>
        <v>-9.413967201834525E-2</v>
      </c>
      <c r="AG20" s="17">
        <f t="shared" ca="1" si="17"/>
        <v>-0.25923076923076932</v>
      </c>
      <c r="AH20" s="17">
        <f t="shared" ca="1" si="18"/>
        <v>-0.21285342239409763</v>
      </c>
    </row>
    <row r="21" spans="1:34" hidden="1" outlineLevel="1" x14ac:dyDescent="0.25">
      <c r="B21" s="12" t="str">
        <f t="shared" si="11"/>
        <v>HJH-MTD</v>
      </c>
      <c r="C21" s="21" t="s">
        <v>348</v>
      </c>
      <c r="D21" s="29">
        <f t="shared" ca="1" si="19"/>
        <v>21.111111111111111</v>
      </c>
      <c r="E21" s="29">
        <f t="shared" ca="1" si="19"/>
        <v>36501.179210526301</v>
      </c>
      <c r="F21" s="29">
        <f t="shared" ca="1" si="19"/>
        <v>770580.44999999972</v>
      </c>
      <c r="G21" s="29">
        <f t="shared" ca="1" si="19"/>
        <v>17.777777777777779</v>
      </c>
      <c r="H21" s="29">
        <f t="shared" ca="1" si="19"/>
        <v>28385.627187499867</v>
      </c>
      <c r="I21" s="29">
        <f t="shared" ca="1" si="19"/>
        <v>504633.37222221988</v>
      </c>
      <c r="J21" s="29">
        <f t="shared" ca="1" si="19"/>
        <v>20</v>
      </c>
      <c r="K21" s="29">
        <f t="shared" ca="1" si="19"/>
        <v>29780.042000000081</v>
      </c>
      <c r="L21" s="29">
        <f t="shared" ca="1" si="19"/>
        <v>595600.8400000016</v>
      </c>
      <c r="M21" s="29" t="str">
        <f t="shared" ca="1" si="19"/>
        <v>-</v>
      </c>
      <c r="N21" s="29" t="str">
        <f t="shared" ca="1" si="19"/>
        <v>-</v>
      </c>
      <c r="O21" s="29">
        <f t="shared" ca="1" si="19"/>
        <v>18.440860215053764</v>
      </c>
      <c r="P21" s="29">
        <f t="shared" ca="1" si="19"/>
        <v>39766.763848396506</v>
      </c>
      <c r="Q21" s="29">
        <f t="shared" ca="1" si="19"/>
        <v>733333.33333333337</v>
      </c>
      <c r="R21" s="29">
        <f t="shared" ca="1" si="20"/>
        <v>36</v>
      </c>
      <c r="S21" s="14">
        <f t="shared" ca="1" si="21"/>
        <v>29780.042000000081</v>
      </c>
      <c r="T21" s="29">
        <f t="shared" ca="1" si="20"/>
        <v>1072081.5120000029</v>
      </c>
      <c r="U21" s="29">
        <f t="shared" ca="1" si="22"/>
        <v>33.193548387096776</v>
      </c>
      <c r="V21" s="14">
        <f t="shared" ca="1" si="23"/>
        <v>39766.763848396498</v>
      </c>
      <c r="W21" s="29">
        <f t="shared" ca="1" si="22"/>
        <v>1320000</v>
      </c>
      <c r="X21" s="15">
        <f t="shared" ca="1" si="24"/>
        <v>1.5591397849462361</v>
      </c>
      <c r="Y21" s="15">
        <f t="shared" ca="1" si="25"/>
        <v>-9986.7218483964243</v>
      </c>
      <c r="Z21" s="15">
        <f t="shared" ca="1" si="24"/>
        <v>-137732.49333333177</v>
      </c>
      <c r="AA21" s="15">
        <f t="shared" ca="1" si="26"/>
        <v>-199734.43696792849</v>
      </c>
      <c r="AB21" s="15">
        <f t="shared" ca="1" si="27"/>
        <v>62001.943634596682</v>
      </c>
      <c r="AC21" s="17">
        <f t="shared" ca="1" si="13"/>
        <v>1.0845481049562682</v>
      </c>
      <c r="AD21" s="17">
        <f t="shared" ca="1" si="14"/>
        <v>0.81218296363636577</v>
      </c>
      <c r="AE21" s="17">
        <f t="shared" ca="1" si="15"/>
        <v>-5.2631578947368404E-2</v>
      </c>
      <c r="AF21" s="17">
        <f t="shared" ca="1" si="16"/>
        <v>-0.22707507048744643</v>
      </c>
      <c r="AG21" s="17">
        <f t="shared" ca="1" si="17"/>
        <v>0.12499999999999994</v>
      </c>
      <c r="AH21" s="17">
        <f t="shared" ca="1" si="18"/>
        <v>0.18026447077250246</v>
      </c>
    </row>
    <row r="22" spans="1:34" hidden="1" outlineLevel="1" x14ac:dyDescent="0.25">
      <c r="B22" s="12" t="str">
        <f t="shared" si="11"/>
        <v>HJH-MTD</v>
      </c>
      <c r="C22" s="21" t="s">
        <v>349</v>
      </c>
      <c r="D22" s="29">
        <f t="shared" ca="1" si="19"/>
        <v>3.3333333333333335</v>
      </c>
      <c r="E22" s="29">
        <f t="shared" ca="1" si="19"/>
        <v>87229.078333333324</v>
      </c>
      <c r="F22" s="29">
        <f t="shared" ca="1" si="19"/>
        <v>290763.5944444444</v>
      </c>
      <c r="G22" s="29">
        <f t="shared" ca="1" si="19"/>
        <v>2.7777777777777777</v>
      </c>
      <c r="H22" s="29">
        <f t="shared" ca="1" si="19"/>
        <v>48170.79800000001</v>
      </c>
      <c r="I22" s="29">
        <f t="shared" ca="1" si="19"/>
        <v>133807.77222222224</v>
      </c>
      <c r="J22" s="29">
        <f t="shared" ca="1" si="19"/>
        <v>1</v>
      </c>
      <c r="K22" s="29">
        <f t="shared" ca="1" si="19"/>
        <v>52396.109999999993</v>
      </c>
      <c r="L22" s="29">
        <f t="shared" ca="1" si="19"/>
        <v>52396.109999999993</v>
      </c>
      <c r="M22" s="29" t="str">
        <f t="shared" ca="1" si="19"/>
        <v>-</v>
      </c>
      <c r="N22" s="29" t="str">
        <f t="shared" ca="1" si="19"/>
        <v>-</v>
      </c>
      <c r="O22" s="29">
        <f t="shared" ca="1" si="19"/>
        <v>3.3333333333333335</v>
      </c>
      <c r="P22" s="29">
        <f t="shared" ca="1" si="19"/>
        <v>57841</v>
      </c>
      <c r="Q22" s="29">
        <f t="shared" ca="1" si="19"/>
        <v>192803.33333333334</v>
      </c>
      <c r="R22" s="29">
        <f t="shared" ca="1" si="20"/>
        <v>1.7999999999999998</v>
      </c>
      <c r="S22" s="14">
        <f t="shared" ca="1" si="21"/>
        <v>52396.109999999993</v>
      </c>
      <c r="T22" s="29">
        <f t="shared" ca="1" si="20"/>
        <v>94312.997999999978</v>
      </c>
      <c r="U22" s="29">
        <f t="shared" ca="1" si="22"/>
        <v>6</v>
      </c>
      <c r="V22" s="14">
        <f t="shared" ca="1" si="23"/>
        <v>57841</v>
      </c>
      <c r="W22" s="29">
        <f t="shared" ca="1" si="22"/>
        <v>347046</v>
      </c>
      <c r="X22" s="15">
        <f t="shared" ca="1" si="24"/>
        <v>-2.3333333333333335</v>
      </c>
      <c r="Y22" s="15">
        <f t="shared" ca="1" si="25"/>
        <v>-5444.8900000000067</v>
      </c>
      <c r="Z22" s="15">
        <f t="shared" ca="1" si="24"/>
        <v>-140407.22333333336</v>
      </c>
      <c r="AA22" s="15">
        <f t="shared" ca="1" si="26"/>
        <v>-5444.8900000000067</v>
      </c>
      <c r="AB22" s="15">
        <f t="shared" ca="1" si="27"/>
        <v>-134962.33333333334</v>
      </c>
      <c r="AC22" s="17">
        <f t="shared" ca="1" si="13"/>
        <v>0.3</v>
      </c>
      <c r="AD22" s="17">
        <f t="shared" ca="1" si="14"/>
        <v>0.27175935754914327</v>
      </c>
      <c r="AE22" s="17">
        <f t="shared" ca="1" si="15"/>
        <v>-0.70000000000000007</v>
      </c>
      <c r="AF22" s="17">
        <f t="shared" ca="1" si="16"/>
        <v>-0.81979824503094312</v>
      </c>
      <c r="AG22" s="17">
        <f t="shared" ca="1" si="17"/>
        <v>-0.64</v>
      </c>
      <c r="AH22" s="17">
        <f t="shared" ca="1" si="18"/>
        <v>-0.60842252187725865</v>
      </c>
    </row>
    <row r="23" spans="1:34" hidden="1" outlineLevel="1" x14ac:dyDescent="0.25">
      <c r="B23" s="12" t="str">
        <f t="shared" si="11"/>
        <v>HJH-MTD</v>
      </c>
      <c r="C23" s="21" t="s">
        <v>350</v>
      </c>
      <c r="D23" s="29">
        <f t="shared" ca="1" si="19"/>
        <v>1.6666666666666667</v>
      </c>
      <c r="E23" s="29">
        <f t="shared" ca="1" si="19"/>
        <v>16135.470000000007</v>
      </c>
      <c r="F23" s="29">
        <f t="shared" ca="1" si="19"/>
        <v>26892.450000000012</v>
      </c>
      <c r="G23" s="29">
        <f t="shared" ca="1" si="19"/>
        <v>2.2222222222222223</v>
      </c>
      <c r="H23" s="29">
        <f t="shared" ca="1" si="19"/>
        <v>68658.219999999958</v>
      </c>
      <c r="I23" s="29">
        <f t="shared" ca="1" si="19"/>
        <v>152573.82222222214</v>
      </c>
      <c r="J23" s="29">
        <f t="shared" ca="1" si="19"/>
        <v>4</v>
      </c>
      <c r="K23" s="29">
        <f t="shared" ca="1" si="19"/>
        <v>34986.550000000032</v>
      </c>
      <c r="L23" s="29">
        <f t="shared" ca="1" si="19"/>
        <v>139946.20000000013</v>
      </c>
      <c r="M23" s="29" t="str">
        <f t="shared" ca="1" si="19"/>
        <v>-</v>
      </c>
      <c r="N23" s="29" t="str">
        <f t="shared" ca="1" si="19"/>
        <v>-</v>
      </c>
      <c r="O23" s="29">
        <f t="shared" ca="1" si="19"/>
        <v>3.3333333333333335</v>
      </c>
      <c r="P23" s="29">
        <f t="shared" ca="1" si="19"/>
        <v>35000</v>
      </c>
      <c r="Q23" s="29">
        <f t="shared" ca="1" si="19"/>
        <v>116666.66666666667</v>
      </c>
      <c r="R23" s="29">
        <f t="shared" ca="1" si="20"/>
        <v>7.1999999999999993</v>
      </c>
      <c r="S23" s="14">
        <f t="shared" ca="1" si="21"/>
        <v>34986.550000000032</v>
      </c>
      <c r="T23" s="29">
        <f t="shared" ca="1" si="20"/>
        <v>251903.16000000021</v>
      </c>
      <c r="U23" s="29">
        <f t="shared" ca="1" si="22"/>
        <v>6</v>
      </c>
      <c r="V23" s="14">
        <f t="shared" ca="1" si="23"/>
        <v>35000</v>
      </c>
      <c r="W23" s="29">
        <f t="shared" ca="1" si="22"/>
        <v>210000</v>
      </c>
      <c r="X23" s="15">
        <f t="shared" ca="1" si="24"/>
        <v>0.66666666666666652</v>
      </c>
      <c r="Y23" s="15">
        <f t="shared" ca="1" si="25"/>
        <v>-13.449999999967986</v>
      </c>
      <c r="Z23" s="15">
        <f t="shared" ca="1" si="24"/>
        <v>23279.533333333457</v>
      </c>
      <c r="AA23" s="15">
        <f t="shared" ca="1" si="26"/>
        <v>-53.799999999871943</v>
      </c>
      <c r="AB23" s="15">
        <f t="shared" ca="1" si="27"/>
        <v>23333.333333333328</v>
      </c>
      <c r="AC23" s="17">
        <f t="shared" ca="1" si="13"/>
        <v>1.2</v>
      </c>
      <c r="AD23" s="17">
        <f t="shared" ca="1" si="14"/>
        <v>1.1995388571428582</v>
      </c>
      <c r="AE23" s="17">
        <f t="shared" ca="1" si="15"/>
        <v>1.3999999999999997</v>
      </c>
      <c r="AF23" s="17">
        <f t="shared" ca="1" si="16"/>
        <v>4.2039215467538309</v>
      </c>
      <c r="AG23" s="17">
        <f t="shared" ca="1" si="17"/>
        <v>0.79999999999999993</v>
      </c>
      <c r="AH23" s="17">
        <f t="shared" ca="1" si="18"/>
        <v>-8.2764015728923751E-2</v>
      </c>
    </row>
    <row r="24" spans="1:34" hidden="1" outlineLevel="1" x14ac:dyDescent="0.25">
      <c r="B24" s="12" t="str">
        <f>$B$15</f>
        <v>HJH-MTD</v>
      </c>
      <c r="C24" s="21" t="s">
        <v>29</v>
      </c>
      <c r="D24" s="29">
        <f t="shared" ref="D24:Q24" ca="1" si="28">IF(AND($C$1="DTD",OR(D$14="Retention",D$14="Acquisition")),"-",VLOOKUP($C24,INDIRECT("'"&amp;$B24&amp;"'!C10:AL20"),D$11,0))</f>
        <v>5975.5555555555557</v>
      </c>
      <c r="E24" s="29">
        <f t="shared" ca="1" si="28"/>
        <v>665.5044049832652</v>
      </c>
      <c r="F24" s="29">
        <f t="shared" ca="1" si="28"/>
        <v>3976758.5444444451</v>
      </c>
      <c r="G24" s="29">
        <f t="shared" ca="1" si="28"/>
        <v>7876.1111111111113</v>
      </c>
      <c r="H24" s="29">
        <f t="shared" ca="1" si="28"/>
        <v>581.49728927135504</v>
      </c>
      <c r="I24" s="29">
        <f t="shared" ca="1" si="28"/>
        <v>4579937.2611111114</v>
      </c>
      <c r="J24" s="29">
        <f t="shared" ca="1" si="28"/>
        <v>6409</v>
      </c>
      <c r="K24" s="29">
        <f t="shared" ca="1" si="28"/>
        <v>596.94004524886839</v>
      </c>
      <c r="L24" s="29">
        <f t="shared" ca="1" si="28"/>
        <v>3825788.7499999972</v>
      </c>
      <c r="M24" s="22">
        <f t="shared" ca="1" si="28"/>
        <v>0.61939218523878437</v>
      </c>
      <c r="N24" s="22">
        <f t="shared" ca="1" si="28"/>
        <v>0.38060781476121563</v>
      </c>
      <c r="O24" s="29">
        <f t="shared" ca="1" si="28"/>
        <v>6047.0699984831335</v>
      </c>
      <c r="P24" s="29">
        <f t="shared" ca="1" si="28"/>
        <v>652.77970339030139</v>
      </c>
      <c r="Q24" s="29">
        <f t="shared" ca="1" si="28"/>
        <v>3947404.5599902105</v>
      </c>
      <c r="R24" s="29">
        <f t="shared" ref="R24:W24" ca="1" si="29">IF(AND($C$1="DTD",OR(R$14="Retention",R$14="Acquisition")),"-",VLOOKUP($C24,INDIRECT("'"&amp;$C15&amp;"-"&amp;$C$1&amp;"'!C10:AL16"),R$11,0))</f>
        <v>11536.199999999999</v>
      </c>
      <c r="S24" s="29">
        <f t="shared" ref="S24" ca="1" si="30">IFERROR(T24/R24,0)</f>
        <v>596.94004524886839</v>
      </c>
      <c r="T24" s="29">
        <f t="shared" ca="1" si="29"/>
        <v>6886419.7499999944</v>
      </c>
      <c r="U24" s="29">
        <f t="shared" ca="1" si="29"/>
        <v>10884.725997269639</v>
      </c>
      <c r="V24" s="29">
        <f t="shared" ref="V24" ca="1" si="31">IFERROR(W24/U24,0)</f>
        <v>652.77970339030139</v>
      </c>
      <c r="W24" s="29">
        <f t="shared" ca="1" si="29"/>
        <v>7105328.2079823781</v>
      </c>
      <c r="X24" s="15">
        <f ca="1">J24-O24</f>
        <v>361.93000151686647</v>
      </c>
      <c r="Y24" s="15">
        <f ca="1">IFERROR(K24-P24,0)</f>
        <v>-55.839658141433006</v>
      </c>
      <c r="Z24" s="15">
        <f ca="1">L24-Q24</f>
        <v>-121615.80999021325</v>
      </c>
      <c r="AA24" s="15">
        <f ca="1">IFERROR((K24-P24)*J24,0)</f>
        <v>-357876.36902844411</v>
      </c>
      <c r="AB24" s="15">
        <f ca="1">(J24-O24)*P24</f>
        <v>236260.55903823144</v>
      </c>
      <c r="AC24" s="17">
        <f ca="1">IFERROR(J24/O24,"-")</f>
        <v>1.0598521269983072</v>
      </c>
      <c r="AD24" s="17">
        <f ca="1">IFERROR(L24/Q24,"-")</f>
        <v>0.9691909435321433</v>
      </c>
      <c r="AE24" s="17">
        <f ca="1">IFERROR((J24-D24)/D24,"-")</f>
        <v>7.253625883227964E-2</v>
      </c>
      <c r="AF24" s="17">
        <f ca="1">IFERROR((L24-F24)/F24,"-")</f>
        <v>-3.796302761588418E-2</v>
      </c>
      <c r="AG24" s="17">
        <f ca="1">IFERROR((J24-G24)/G24,"-")</f>
        <v>-0.18627354165197152</v>
      </c>
      <c r="AH24" s="17">
        <f ca="1">IFERROR((L24-I24)/I24,"-")</f>
        <v>-0.16466350260181395</v>
      </c>
    </row>
    <row r="25" spans="1:34" x14ac:dyDescent="0.25">
      <c r="A25" s="12" t="s">
        <v>22</v>
      </c>
      <c r="B25" s="12" t="str">
        <f t="shared" ref="B25:B28" si="32">C25&amp;"-"&amp;$C$1</f>
        <v>ADC-MTD</v>
      </c>
      <c r="C25" s="5" t="s">
        <v>21</v>
      </c>
      <c r="D25" s="6">
        <f ca="1">IF(AND($C$1="DTD",OR(D$14="Retention",D$14="Acquisition")),"-",VLOOKUP($C25,INDIRECT("'"&amp;$C25&amp;"-"&amp;$C$1&amp;"'!C10:AL16"),D$11,0))</f>
        <v>2756.695652173913</v>
      </c>
      <c r="E25" s="6">
        <f t="shared" ref="E25:T28" ca="1" si="33">IF(AND($C$1="DTD",OR(E$14="Retention",E$14="Acquisition")),"-",VLOOKUP($C25,INDIRECT("'"&amp;$C25&amp;"-"&amp;$C$1&amp;"'!C10:AL16"),E$11,0))</f>
        <v>486.42792852185988</v>
      </c>
      <c r="F25" s="6">
        <f t="shared" ca="1" si="33"/>
        <v>1340933.7556521741</v>
      </c>
      <c r="G25" s="6">
        <f t="shared" ca="1" si="33"/>
        <v>4129.304347826087</v>
      </c>
      <c r="H25" s="6">
        <f t="shared" ca="1" si="33"/>
        <v>542.11098563817461</v>
      </c>
      <c r="I25" s="6">
        <f t="shared" ca="1" si="33"/>
        <v>2238541.25</v>
      </c>
      <c r="J25" s="6">
        <f t="shared" ca="1" si="33"/>
        <v>2714</v>
      </c>
      <c r="K25" s="6">
        <f t="shared" ca="1" si="33"/>
        <v>537.6484893146644</v>
      </c>
      <c r="L25" s="6">
        <f t="shared" ca="1" si="33"/>
        <v>1459177.9999999991</v>
      </c>
      <c r="M25" s="7">
        <f t="shared" ca="1" si="33"/>
        <v>0.52512704686617728</v>
      </c>
      <c r="N25" s="7">
        <f t="shared" ca="1" si="33"/>
        <v>0.47487295313382272</v>
      </c>
      <c r="O25" s="6">
        <f t="shared" ca="1" si="33"/>
        <v>4318.2173913043471</v>
      </c>
      <c r="P25" s="6">
        <f t="shared" ca="1" si="33"/>
        <v>574.89489422970451</v>
      </c>
      <c r="Q25" s="6">
        <f t="shared" ca="1" si="33"/>
        <v>2482521.1304347832</v>
      </c>
      <c r="R25" s="6">
        <f t="shared" ca="1" si="33"/>
        <v>5674.727272727273</v>
      </c>
      <c r="S25" s="6">
        <f t="shared" ca="1" si="33"/>
        <v>537.64848931466429</v>
      </c>
      <c r="T25" s="6">
        <f t="shared" ca="1" si="33"/>
        <v>3051008.5454545435</v>
      </c>
      <c r="U25" s="6">
        <f t="shared" ref="F25:W28" ca="1" si="34">IF(AND($C$1="DTD",OR(U$14="Retention",U$14="Acquisition")),"-",VLOOKUP($C25,INDIRECT("'"&amp;$C25&amp;"-"&amp;$C$1&amp;"'!C10:AL16"),U$11,0))</f>
        <v>9029</v>
      </c>
      <c r="V25" s="6">
        <f t="shared" ca="1" si="34"/>
        <v>574.89489422970428</v>
      </c>
      <c r="W25" s="6">
        <f t="shared" ca="1" si="34"/>
        <v>5190726</v>
      </c>
      <c r="X25" s="6">
        <f t="shared" ref="X25:X28" ca="1" si="35">J25-O25</f>
        <v>-1604.2173913043471</v>
      </c>
      <c r="Y25" s="6">
        <f t="shared" ref="Y25:Y28" ca="1" si="36">IFERROR(K25-P25,0)</f>
        <v>-37.246404915040102</v>
      </c>
      <c r="Z25" s="6">
        <f t="shared" ref="Z25:Z28" ca="1" si="37">L25-Q25</f>
        <v>-1023343.1304347841</v>
      </c>
      <c r="AA25" s="6">
        <f t="shared" ref="AA25:AA28" ca="1" si="38">IFERROR((K25-P25)*J25,0)</f>
        <v>-101086.74293941884</v>
      </c>
      <c r="AB25" s="6">
        <f t="shared" ref="AB25:AB28" ca="1" si="39">(J25-O25)*P25</f>
        <v>-922256.38749536511</v>
      </c>
      <c r="AC25" s="8">
        <f t="shared" ca="1" si="13"/>
        <v>0.62850008558281911</v>
      </c>
      <c r="AD25" s="8">
        <f t="shared" ca="1" si="14"/>
        <v>0.58778069685330003</v>
      </c>
      <c r="AE25" s="8">
        <f t="shared" ca="1" si="15"/>
        <v>-1.5487981830799304E-2</v>
      </c>
      <c r="AF25" s="8">
        <f t="shared" ca="1" si="16"/>
        <v>8.8180526330561268E-2</v>
      </c>
      <c r="AG25" s="8">
        <f t="shared" ca="1" si="17"/>
        <v>-0.34274643586665826</v>
      </c>
      <c r="AH25" s="8">
        <f t="shared" ca="1" si="18"/>
        <v>-0.34815675163457493</v>
      </c>
    </row>
    <row r="26" spans="1:34" x14ac:dyDescent="0.25">
      <c r="A26" s="12" t="s">
        <v>21</v>
      </c>
      <c r="B26" s="12" t="str">
        <f t="shared" si="32"/>
        <v>AFW-MTD</v>
      </c>
      <c r="C26" s="5" t="s">
        <v>0</v>
      </c>
      <c r="D26" s="6">
        <f t="shared" ref="D26:D28" ca="1" si="40">IF(AND($C$1="DTD",OR(D$14="Retention",D$14="Acquisition")),"-",VLOOKUP($C26,INDIRECT("'"&amp;$C26&amp;"-"&amp;$C$1&amp;"'!C10:AL16"),D$11,0))</f>
        <v>2948</v>
      </c>
      <c r="E26" s="6">
        <f t="shared" ca="1" si="33"/>
        <v>390.2345554834522</v>
      </c>
      <c r="F26" s="6">
        <f t="shared" ca="1" si="34"/>
        <v>1150411.4695652172</v>
      </c>
      <c r="G26" s="6">
        <f t="shared" ca="1" si="34"/>
        <v>3687.8695652173915</v>
      </c>
      <c r="H26" s="6">
        <f t="shared" ca="1" si="34"/>
        <v>397.68539099987038</v>
      </c>
      <c r="I26" s="6">
        <f t="shared" ca="1" si="34"/>
        <v>1466611.8500000003</v>
      </c>
      <c r="J26" s="6">
        <f t="shared" ca="1" si="34"/>
        <v>3689</v>
      </c>
      <c r="K26" s="6">
        <f t="shared" ca="1" si="34"/>
        <v>386.02528598536185</v>
      </c>
      <c r="L26" s="6">
        <f t="shared" ca="1" si="34"/>
        <v>1424047.2799999998</v>
      </c>
      <c r="M26" s="7">
        <f t="shared" ca="1" si="34"/>
        <v>0.4453391142768659</v>
      </c>
      <c r="N26" s="7">
        <f t="shared" ca="1" si="34"/>
        <v>0.5546608857231341</v>
      </c>
      <c r="O26" s="6">
        <f t="shared" ca="1" si="34"/>
        <v>3633.8794748518499</v>
      </c>
      <c r="P26" s="6">
        <f t="shared" ca="1" si="34"/>
        <v>486.03762152119083</v>
      </c>
      <c r="Q26" s="6">
        <f t="shared" ca="1" si="34"/>
        <v>1766202.1368516672</v>
      </c>
      <c r="R26" s="6">
        <f t="shared" ca="1" si="34"/>
        <v>7713.363636363636</v>
      </c>
      <c r="S26" s="6">
        <f t="shared" ca="1" si="34"/>
        <v>386.02528598536185</v>
      </c>
      <c r="T26" s="6">
        <f t="shared" ca="1" si="34"/>
        <v>2977553.4036363633</v>
      </c>
      <c r="U26" s="6">
        <f t="shared" ca="1" si="34"/>
        <v>7387.8824784092412</v>
      </c>
      <c r="V26" s="6">
        <f t="shared" ca="1" si="34"/>
        <v>482.75966401289503</v>
      </c>
      <c r="W26" s="6">
        <f t="shared" ca="1" si="34"/>
        <v>3566571.6630435996</v>
      </c>
      <c r="X26" s="6">
        <f t="shared" ca="1" si="35"/>
        <v>55.120525148150136</v>
      </c>
      <c r="Y26" s="6">
        <f t="shared" ca="1" si="36"/>
        <v>-100.01233553582898</v>
      </c>
      <c r="Z26" s="6">
        <f t="shared" ca="1" si="37"/>
        <v>-342154.8568516674</v>
      </c>
      <c r="AA26" s="6">
        <f t="shared" ca="1" si="38"/>
        <v>-368945.50579167309</v>
      </c>
      <c r="AB26" s="6">
        <f t="shared" ca="1" si="39"/>
        <v>26790.648940005878</v>
      </c>
      <c r="AC26" s="8">
        <f t="shared" ca="1" si="13"/>
        <v>1.015168506696386</v>
      </c>
      <c r="AD26" s="8">
        <f t="shared" ca="1" si="14"/>
        <v>0.80627650158912534</v>
      </c>
      <c r="AE26" s="8">
        <f t="shared" ca="1" si="15"/>
        <v>0.25135685210312075</v>
      </c>
      <c r="AF26" s="8">
        <f t="shared" ca="1" si="16"/>
        <v>0.23785907709890938</v>
      </c>
      <c r="AG26" s="8">
        <f t="shared" ca="1" si="17"/>
        <v>3.0652786456179375E-4</v>
      </c>
      <c r="AH26" s="8">
        <f t="shared" ca="1" si="18"/>
        <v>-2.9022382438816732E-2</v>
      </c>
    </row>
    <row r="27" spans="1:34" x14ac:dyDescent="0.25">
      <c r="A27" s="12" t="s">
        <v>0</v>
      </c>
      <c r="B27" s="12" t="str">
        <f t="shared" si="32"/>
        <v>ALW-MTD</v>
      </c>
      <c r="C27" s="5" t="s">
        <v>19</v>
      </c>
      <c r="D27" s="6">
        <f t="shared" ca="1" si="40"/>
        <v>457.21739130434781</v>
      </c>
      <c r="E27" s="6">
        <f t="shared" ca="1" si="33"/>
        <v>1165.9415167364016</v>
      </c>
      <c r="F27" s="6">
        <f t="shared" ca="1" si="34"/>
        <v>533088.73869565211</v>
      </c>
      <c r="G27" s="6">
        <f t="shared" ca="1" si="34"/>
        <v>387.86956521739131</v>
      </c>
      <c r="H27" s="6">
        <f t="shared" ca="1" si="34"/>
        <v>1848.1043156596795</v>
      </c>
      <c r="I27" s="6">
        <f t="shared" ca="1" si="34"/>
        <v>716823.41739130439</v>
      </c>
      <c r="J27" s="6">
        <f t="shared" ca="1" si="34"/>
        <v>361</v>
      </c>
      <c r="K27" s="6">
        <f t="shared" ca="1" si="34"/>
        <v>1090.2321606648206</v>
      </c>
      <c r="L27" s="6">
        <f t="shared" ca="1" si="34"/>
        <v>393573.81000000029</v>
      </c>
      <c r="M27" s="7">
        <f t="shared" ca="1" si="34"/>
        <v>0.46802030456852795</v>
      </c>
      <c r="N27" s="7">
        <f t="shared" ca="1" si="34"/>
        <v>0.53197969543147205</v>
      </c>
      <c r="O27" s="6">
        <f t="shared" ca="1" si="34"/>
        <v>591.74716218616004</v>
      </c>
      <c r="P27" s="6">
        <f t="shared" ca="1" si="34"/>
        <v>1380.4027562667461</v>
      </c>
      <c r="Q27" s="6">
        <f t="shared" ca="1" si="34"/>
        <v>816849.41369480058</v>
      </c>
      <c r="R27" s="6">
        <f t="shared" ca="1" si="34"/>
        <v>754.81818181818176</v>
      </c>
      <c r="S27" s="6">
        <f t="shared" ca="1" si="34"/>
        <v>1090.2321606648209</v>
      </c>
      <c r="T27" s="6">
        <f t="shared" ca="1" si="34"/>
        <v>822927.05727272783</v>
      </c>
      <c r="U27" s="6">
        <f t="shared" ca="1" si="34"/>
        <v>1237.2895209346975</v>
      </c>
      <c r="V27" s="6">
        <f t="shared" ca="1" si="34"/>
        <v>1380.4027562667468</v>
      </c>
      <c r="W27" s="6">
        <f t="shared" ca="1" si="34"/>
        <v>1707957.8649982191</v>
      </c>
      <c r="X27" s="6">
        <f t="shared" ca="1" si="35"/>
        <v>-230.74716218616004</v>
      </c>
      <c r="Y27" s="6">
        <f t="shared" ca="1" si="36"/>
        <v>-290.17059560192547</v>
      </c>
      <c r="Z27" s="6">
        <f t="shared" ca="1" si="37"/>
        <v>-423275.60369480029</v>
      </c>
      <c r="AA27" s="6">
        <f t="shared" ca="1" si="38"/>
        <v>-104751.58501229509</v>
      </c>
      <c r="AB27" s="6">
        <f t="shared" ca="1" si="39"/>
        <v>-318524.01868250524</v>
      </c>
      <c r="AC27" s="8">
        <f t="shared" ca="1" si="13"/>
        <v>0.6100578474534899</v>
      </c>
      <c r="AD27" s="8">
        <f t="shared" ca="1" si="14"/>
        <v>0.4818192966801238</v>
      </c>
      <c r="AE27" s="8">
        <f t="shared" ca="1" si="15"/>
        <v>-0.21044123240775958</v>
      </c>
      <c r="AF27" s="8">
        <f t="shared" ca="1" si="16"/>
        <v>-0.26171051565826242</v>
      </c>
      <c r="AG27" s="8">
        <f t="shared" ca="1" si="17"/>
        <v>-6.9274744983746236E-2</v>
      </c>
      <c r="AH27" s="8">
        <f t="shared" ca="1" si="18"/>
        <v>-0.45094733172597573</v>
      </c>
    </row>
    <row r="28" spans="1:34" x14ac:dyDescent="0.25">
      <c r="A28" s="12" t="s">
        <v>19</v>
      </c>
      <c r="B28" s="12" t="str">
        <f t="shared" si="32"/>
        <v>AKW-MTD</v>
      </c>
      <c r="C28" s="5" t="s">
        <v>18</v>
      </c>
      <c r="D28" s="6">
        <f t="shared" ca="1" si="40"/>
        <v>582.04347826086962</v>
      </c>
      <c r="E28" s="6">
        <f t="shared" ca="1" si="33"/>
        <v>787.55227608874281</v>
      </c>
      <c r="F28" s="6">
        <f t="shared" ca="1" si="34"/>
        <v>458389.66608695657</v>
      </c>
      <c r="G28" s="6">
        <f t="shared" ca="1" si="34"/>
        <v>722.17391304347825</v>
      </c>
      <c r="H28" s="6">
        <f t="shared" ca="1" si="34"/>
        <v>840.78386754966891</v>
      </c>
      <c r="I28" s="6">
        <f t="shared" ca="1" si="34"/>
        <v>607192.17565217393</v>
      </c>
      <c r="J28" s="6">
        <f t="shared" ca="1" si="34"/>
        <v>1300</v>
      </c>
      <c r="K28" s="6">
        <f t="shared" ca="1" si="34"/>
        <v>477.65475384615371</v>
      </c>
      <c r="L28" s="6">
        <f t="shared" ca="1" si="34"/>
        <v>620951.17999999982</v>
      </c>
      <c r="M28" s="7">
        <f t="shared" ca="1" si="34"/>
        <v>0</v>
      </c>
      <c r="N28" s="7">
        <f t="shared" ca="1" si="34"/>
        <v>0</v>
      </c>
      <c r="O28" s="6">
        <f t="shared" ca="1" si="34"/>
        <v>714.64287799543581</v>
      </c>
      <c r="P28" s="6">
        <f t="shared" ca="1" si="34"/>
        <v>1139.9721739922311</v>
      </c>
      <c r="Q28" s="6">
        <f t="shared" ca="1" si="34"/>
        <v>814672.99525652174</v>
      </c>
      <c r="R28" s="6">
        <f t="shared" ca="1" si="34"/>
        <v>2718.181818181818</v>
      </c>
      <c r="S28" s="6">
        <f t="shared" ca="1" si="34"/>
        <v>477.65475384615371</v>
      </c>
      <c r="T28" s="6">
        <f t="shared" ca="1" si="34"/>
        <v>1298352.4672727268</v>
      </c>
      <c r="U28" s="6">
        <f t="shared" ca="1" si="34"/>
        <v>1494.2532903540932</v>
      </c>
      <c r="V28" s="6">
        <f t="shared" ca="1" si="34"/>
        <v>1139.9721739922311</v>
      </c>
      <c r="W28" s="6">
        <f t="shared" ca="1" si="34"/>
        <v>1703407.1719000002</v>
      </c>
      <c r="X28" s="6">
        <f t="shared" ca="1" si="35"/>
        <v>585.35712200456419</v>
      </c>
      <c r="Y28" s="6">
        <f t="shared" ca="1" si="36"/>
        <v>-662.31742014607744</v>
      </c>
      <c r="Z28" s="6">
        <f t="shared" ca="1" si="37"/>
        <v>-193721.81525652192</v>
      </c>
      <c r="AA28" s="6">
        <f t="shared" ca="1" si="38"/>
        <v>-861012.6461899007</v>
      </c>
      <c r="AB28" s="6">
        <f t="shared" ca="1" si="39"/>
        <v>667290.83093337866</v>
      </c>
      <c r="AC28" s="8">
        <f t="shared" ca="1" si="13"/>
        <v>1.8190904016933374</v>
      </c>
      <c r="AD28" s="8">
        <f t="shared" ca="1" si="14"/>
        <v>0.76220911165034577</v>
      </c>
      <c r="AE28" s="8">
        <f t="shared" ca="1" si="15"/>
        <v>1.233510121759916</v>
      </c>
      <c r="AF28" s="8">
        <f t="shared" ca="1" si="16"/>
        <v>0.35463607916982431</v>
      </c>
      <c r="AG28" s="8">
        <f t="shared" ca="1" si="17"/>
        <v>0.80012040939193263</v>
      </c>
      <c r="AH28" s="8">
        <f t="shared" ca="1" si="18"/>
        <v>2.2660048827288653E-2</v>
      </c>
    </row>
    <row r="29" spans="1:34" x14ac:dyDescent="0.25">
      <c r="A29" s="12" t="s">
        <v>18</v>
      </c>
      <c r="C29"/>
      <c r="D29"/>
      <c r="E29" s="16"/>
      <c r="F29" s="16"/>
      <c r="G29" s="16"/>
      <c r="H29" s="16"/>
      <c r="I29" s="96"/>
      <c r="J29" s="96"/>
      <c r="K29" s="16"/>
      <c r="L29" s="16"/>
      <c r="M29"/>
      <c r="N29"/>
      <c r="O29"/>
      <c r="P29"/>
      <c r="Q29"/>
      <c r="R29"/>
      <c r="S29"/>
      <c r="T29"/>
      <c r="U29"/>
      <c r="V29"/>
      <c r="W29"/>
      <c r="X29"/>
      <c r="Y29"/>
      <c r="Z29"/>
      <c r="AA29"/>
      <c r="AB29"/>
    </row>
    <row r="30" spans="1:34" x14ac:dyDescent="0.25">
      <c r="A30" s="12" t="s">
        <v>23</v>
      </c>
      <c r="D30" s="28">
        <v>2</v>
      </c>
      <c r="E30" s="28">
        <v>3</v>
      </c>
      <c r="F30" s="28">
        <v>4</v>
      </c>
      <c r="G30" s="28">
        <v>5</v>
      </c>
      <c r="H30" s="28">
        <v>6</v>
      </c>
      <c r="I30" s="28">
        <v>7</v>
      </c>
      <c r="J30" s="28">
        <v>8</v>
      </c>
      <c r="K30" s="28">
        <v>9</v>
      </c>
      <c r="L30" s="28">
        <v>10</v>
      </c>
      <c r="M30" s="28">
        <v>11</v>
      </c>
      <c r="N30" s="28">
        <v>12</v>
      </c>
      <c r="O30" s="28">
        <v>13</v>
      </c>
      <c r="P30" s="28">
        <v>14</v>
      </c>
      <c r="Q30" s="28">
        <v>15</v>
      </c>
      <c r="R30" s="28">
        <v>16</v>
      </c>
      <c r="S30" s="28">
        <v>17</v>
      </c>
      <c r="T30" s="28">
        <v>18</v>
      </c>
      <c r="U30" s="28">
        <v>19</v>
      </c>
      <c r="V30" s="28">
        <v>20</v>
      </c>
      <c r="W30" s="28">
        <v>21</v>
      </c>
      <c r="X30" s="28">
        <v>22</v>
      </c>
      <c r="Y30" s="28">
        <v>23</v>
      </c>
      <c r="Z30" s="28">
        <v>24</v>
      </c>
      <c r="AA30" s="28">
        <v>25</v>
      </c>
      <c r="AB30" s="28">
        <v>26</v>
      </c>
      <c r="AC30" s="28">
        <v>27</v>
      </c>
      <c r="AD30" s="28">
        <v>28</v>
      </c>
      <c r="AE30" s="28">
        <v>29</v>
      </c>
      <c r="AF30" s="28">
        <v>30</v>
      </c>
    </row>
    <row r="31" spans="1:34" x14ac:dyDescent="0.25">
      <c r="C31" s="25"/>
      <c r="D31" s="102" t="s">
        <v>30</v>
      </c>
      <c r="E31" s="103"/>
      <c r="F31" s="104"/>
      <c r="G31" s="102" t="s">
        <v>31</v>
      </c>
      <c r="H31" s="103"/>
      <c r="I31" s="104"/>
      <c r="J31" s="102" t="s">
        <v>353</v>
      </c>
      <c r="K31" s="103"/>
      <c r="L31" s="104"/>
      <c r="M31" s="102" t="s">
        <v>354</v>
      </c>
      <c r="N31" s="103"/>
      <c r="O31" s="104"/>
      <c r="P31" s="102" t="s">
        <v>32</v>
      </c>
      <c r="Q31" s="103"/>
      <c r="R31" s="104"/>
      <c r="S31" s="102" t="s">
        <v>2</v>
      </c>
      <c r="T31" s="103"/>
      <c r="U31" s="104"/>
      <c r="V31" s="110" t="s">
        <v>3</v>
      </c>
      <c r="W31" s="111"/>
      <c r="X31" s="111"/>
      <c r="Y31" s="111"/>
      <c r="Z31" s="111"/>
      <c r="AA31" s="100" t="s">
        <v>6</v>
      </c>
      <c r="AB31" s="100"/>
      <c r="AC31" s="100" t="s">
        <v>7</v>
      </c>
      <c r="AD31" s="100"/>
      <c r="AE31" s="100" t="s">
        <v>8</v>
      </c>
      <c r="AF31" s="100"/>
    </row>
    <row r="32" spans="1:34" x14ac:dyDescent="0.25">
      <c r="C32" s="26"/>
      <c r="D32" s="105"/>
      <c r="E32" s="106"/>
      <c r="F32" s="107"/>
      <c r="G32" s="105"/>
      <c r="H32" s="106"/>
      <c r="I32" s="107"/>
      <c r="J32" s="105"/>
      <c r="K32" s="106"/>
      <c r="L32" s="107"/>
      <c r="M32" s="105"/>
      <c r="N32" s="106"/>
      <c r="O32" s="107"/>
      <c r="P32" s="105"/>
      <c r="Q32" s="106"/>
      <c r="R32" s="107"/>
      <c r="S32" s="105"/>
      <c r="T32" s="106"/>
      <c r="U32" s="107"/>
      <c r="V32" s="105"/>
      <c r="W32" s="106"/>
      <c r="X32" s="106"/>
      <c r="Y32" s="106"/>
      <c r="Z32" s="106"/>
      <c r="AA32" s="101"/>
      <c r="AB32" s="101"/>
      <c r="AC32" s="101"/>
      <c r="AD32" s="101"/>
      <c r="AE32" s="101"/>
      <c r="AF32" s="101"/>
    </row>
    <row r="33" spans="1:34" x14ac:dyDescent="0.25">
      <c r="C33" s="19" t="s">
        <v>33</v>
      </c>
      <c r="D33" s="20" t="s">
        <v>9</v>
      </c>
      <c r="E33" s="20" t="s">
        <v>10</v>
      </c>
      <c r="F33" s="20" t="s">
        <v>11</v>
      </c>
      <c r="G33" s="20" t="s">
        <v>9</v>
      </c>
      <c r="H33" s="20" t="s">
        <v>10</v>
      </c>
      <c r="I33" s="20" t="s">
        <v>11</v>
      </c>
      <c r="J33" s="20" t="s">
        <v>9</v>
      </c>
      <c r="K33" s="20" t="s">
        <v>10</v>
      </c>
      <c r="L33" s="20" t="s">
        <v>11</v>
      </c>
      <c r="M33" s="20" t="s">
        <v>9</v>
      </c>
      <c r="N33" s="20" t="s">
        <v>10</v>
      </c>
      <c r="O33" s="20" t="s">
        <v>11</v>
      </c>
      <c r="P33" s="20" t="s">
        <v>9</v>
      </c>
      <c r="Q33" s="20" t="s">
        <v>10</v>
      </c>
      <c r="R33" s="20" t="s">
        <v>11</v>
      </c>
      <c r="S33" s="20" t="s">
        <v>9</v>
      </c>
      <c r="T33" s="20" t="s">
        <v>10</v>
      </c>
      <c r="U33" s="20" t="s">
        <v>11</v>
      </c>
      <c r="V33" s="20" t="s">
        <v>9</v>
      </c>
      <c r="W33" s="20" t="s">
        <v>10</v>
      </c>
      <c r="X33" s="20" t="s">
        <v>11</v>
      </c>
      <c r="Y33" s="20" t="s">
        <v>14</v>
      </c>
      <c r="Z33" s="20" t="s">
        <v>15</v>
      </c>
      <c r="AA33" s="20" t="s">
        <v>16</v>
      </c>
      <c r="AB33" s="20" t="s">
        <v>11</v>
      </c>
      <c r="AC33" s="20" t="s">
        <v>16</v>
      </c>
      <c r="AD33" s="20" t="s">
        <v>11</v>
      </c>
      <c r="AE33" s="20" t="s">
        <v>16</v>
      </c>
      <c r="AF33" s="20" t="s">
        <v>11</v>
      </c>
    </row>
    <row r="34" spans="1:34" x14ac:dyDescent="0.25">
      <c r="C34" s="23" t="s">
        <v>212</v>
      </c>
      <c r="D34" s="6">
        <f t="shared" ref="D34:D65" ca="1" si="41">IF($C$93="KSA",SUMIFS(D$96:D$390,$B$96:$B$390,$C34),SUMIFS(D$96:D$390,$B$96:$B$390,$C34,$AA$96:$AA$390,$C$93))</f>
        <v>0</v>
      </c>
      <c r="E34" s="10" t="str">
        <f t="shared" ref="E34:E90" ca="1" si="42">IFERROR(F34/D34,"-")</f>
        <v>-</v>
      </c>
      <c r="F34" s="6">
        <f t="shared" ref="F34:G53" ca="1" si="43">IF($C$93="KSA",SUMIFS(F$96:F$390,$B$96:$B$390,$C34),SUMIFS(F$96:F$390,$B$96:$B$390,$C34,$AA$96:$AA$390,$C$93))</f>
        <v>216</v>
      </c>
      <c r="G34" s="6">
        <f t="shared" ca="1" si="43"/>
        <v>0</v>
      </c>
      <c r="H34" s="10" t="str">
        <f t="shared" ref="H34:H90" ca="1" si="44">IFERROR(I34/G34,"-")</f>
        <v>-</v>
      </c>
      <c r="I34" s="6">
        <f t="shared" ref="I34:J53" ca="1" si="45">IF($C$93="KSA",SUMIFS(I$96:I$390,$B$96:$B$390,$C34),SUMIFS(I$96:I$390,$B$96:$B$390,$C34,$AA$96:$AA$390,$C$93))</f>
        <v>0</v>
      </c>
      <c r="J34" s="6">
        <f t="shared" ca="1" si="45"/>
        <v>48</v>
      </c>
      <c r="K34" s="10">
        <f t="shared" ref="K34:K90" ca="1" si="46">IFERROR(L34/J34,"-")</f>
        <v>690.11458333333337</v>
      </c>
      <c r="L34" s="6">
        <f t="shared" ref="L34:M53" ca="1" si="47">IF($C$93="KSA",SUMIFS(L$96:L$390,$B$96:$B$390,$C34),SUMIFS(L$96:L$390,$B$96:$B$390,$C34,$AA$96:$AA$390,$C$93))</f>
        <v>33125.5</v>
      </c>
      <c r="M34" s="6">
        <f t="shared" ca="1" si="47"/>
        <v>72.877152173913046</v>
      </c>
      <c r="N34" s="10">
        <f t="shared" ref="N34:N90" ca="1" si="48">IFERROR(O34/M34,"-")</f>
        <v>794.5367</v>
      </c>
      <c r="O34" s="6">
        <f t="shared" ref="O34:O65" ca="1" si="49">IF($C$93="KSA",SUMIFS(O$96:O$390,$B$96:$B$390,$C34),SUMIFS(O$96:O$390,$B$96:$B$390,$C34,$AA$96:$AA$390,$C$93))</f>
        <v>57903.571993658697</v>
      </c>
      <c r="P34" s="6">
        <f ca="1">J34/$K$1</f>
        <v>100.36363636363636</v>
      </c>
      <c r="Q34" s="10">
        <f t="shared" ref="Q34:Q90" ca="1" si="50">IFERROR(R34/P34,"-")</f>
        <v>690.11458333333337</v>
      </c>
      <c r="R34" s="6">
        <f ca="1">L34/$K$1</f>
        <v>69262.409090909088</v>
      </c>
      <c r="S34" s="6">
        <f ca="1">M34/$K$1</f>
        <v>152.37950000000001</v>
      </c>
      <c r="T34" s="10">
        <f ca="1">IFERROR(U34/S34,"-")</f>
        <v>794.5367</v>
      </c>
      <c r="U34" s="6">
        <f ca="1">O34/$K$1</f>
        <v>121071.10507765001</v>
      </c>
      <c r="V34" s="6">
        <f ca="1">IFERROR(J34-M34,0)</f>
        <v>-24.877152173913046</v>
      </c>
      <c r="W34" s="6">
        <f ca="1">IFERROR(K34-N34,0)</f>
        <v>-104.42211666666662</v>
      </c>
      <c r="X34" s="6">
        <f ca="1">IFERROR(L34-O34,0)</f>
        <v>-24778.071993658697</v>
      </c>
      <c r="Y34" s="6">
        <f ca="1">IFERROR((K34-N34)*J34,"-")</f>
        <v>-5012.261599999998</v>
      </c>
      <c r="Z34" s="6">
        <f ca="1">IFERROR((J34-M34)*N34,"-")</f>
        <v>-19765.810393658699</v>
      </c>
      <c r="AA34" s="7">
        <f ca="1">IFERROR(J34/M34,"-")</f>
        <v>0.65864264132403871</v>
      </c>
      <c r="AB34" s="7">
        <f ca="1">IFERROR(L34/O34,"-")</f>
        <v>0.57208042370214629</v>
      </c>
      <c r="AC34" s="8" t="str">
        <f ca="1">IFERROR((J34-D34)/D34,"-")</f>
        <v>-</v>
      </c>
      <c r="AD34" s="8">
        <f ca="1">IFERROR((L34-F34)/F34,"-")</f>
        <v>152.3587962962963</v>
      </c>
      <c r="AE34" s="8" t="str">
        <f ca="1">IFERROR((J34-G34)/G34,"-")</f>
        <v>-</v>
      </c>
      <c r="AF34" s="8" t="str">
        <f ca="1">IFERROR((L34-I34)/I34,"-")</f>
        <v>-</v>
      </c>
    </row>
    <row r="35" spans="1:34" x14ac:dyDescent="0.25">
      <c r="A35" s="16"/>
      <c r="B35" s="16"/>
      <c r="C35" s="23" t="s">
        <v>306</v>
      </c>
      <c r="D35" s="6">
        <f t="shared" ca="1" si="41"/>
        <v>5.7391304347826093</v>
      </c>
      <c r="E35" s="10">
        <f t="shared" ca="1" si="42"/>
        <v>4558.4233333333332</v>
      </c>
      <c r="F35" s="6">
        <f t="shared" ca="1" si="43"/>
        <v>26161.386086956525</v>
      </c>
      <c r="G35" s="6">
        <f t="shared" ca="1" si="43"/>
        <v>7.1739130434782608</v>
      </c>
      <c r="H35" s="10">
        <f t="shared" ca="1" si="44"/>
        <v>4883.4140000000007</v>
      </c>
      <c r="I35" s="6">
        <f t="shared" ca="1" si="45"/>
        <v>35033.187391304353</v>
      </c>
      <c r="J35" s="6">
        <f t="shared" ca="1" si="45"/>
        <v>171</v>
      </c>
      <c r="K35" s="10">
        <f t="shared" ca="1" si="46"/>
        <v>377.21491228070175</v>
      </c>
      <c r="L35" s="6">
        <f t="shared" ca="1" si="47"/>
        <v>64503.75</v>
      </c>
      <c r="M35" s="6">
        <f t="shared" ca="1" si="47"/>
        <v>35.698491304347833</v>
      </c>
      <c r="N35" s="10">
        <f t="shared" ca="1" si="48"/>
        <v>2109.7286659173151</v>
      </c>
      <c r="O35" s="6">
        <f t="shared" ca="1" si="49"/>
        <v>75314.130434782623</v>
      </c>
      <c r="P35" s="6">
        <f t="shared" ref="P35:P90" ca="1" si="51">J35/$K$1</f>
        <v>357.54545454545456</v>
      </c>
      <c r="Q35" s="10">
        <f t="shared" ca="1" si="50"/>
        <v>377.2149122807017</v>
      </c>
      <c r="R35" s="6">
        <f t="shared" ref="R35:R90" ca="1" si="52">L35/$K$1</f>
        <v>134871.47727272726</v>
      </c>
      <c r="S35" s="6">
        <f t="shared" ref="S35:U90" ca="1" si="53">M35/$K$1</f>
        <v>74.642300000000006</v>
      </c>
      <c r="T35" s="10">
        <f t="shared" ref="T35:T90" ca="1" si="54">IFERROR(U35/S35,"-")</f>
        <v>2109.7286659173151</v>
      </c>
      <c r="U35" s="6">
        <f t="shared" ca="1" si="53"/>
        <v>157475.00000000003</v>
      </c>
      <c r="V35" s="6">
        <f t="shared" ref="V35:V90" ca="1" si="55">IFERROR(J35-M35,0)</f>
        <v>135.30150869565216</v>
      </c>
      <c r="W35" s="6">
        <f t="shared" ref="W35:W90" ca="1" si="56">IFERROR(K35-N35,0)</f>
        <v>-1732.5137536366133</v>
      </c>
      <c r="X35" s="6">
        <f t="shared" ref="X35:X90" ca="1" si="57">IFERROR(L35-O35,0)</f>
        <v>-10810.380434782623</v>
      </c>
      <c r="Y35" s="6">
        <f t="shared" ref="Y35:Y90" ca="1" si="58">IFERROR((K35-N35)*J35,"-")</f>
        <v>-296259.85187186085</v>
      </c>
      <c r="Z35" s="6">
        <f t="shared" ref="Z35:Z90" ca="1" si="59">IFERROR((J35-M35)*N35,"-")</f>
        <v>285449.47143707826</v>
      </c>
      <c r="AA35" s="7">
        <f t="shared" ref="AA35:AA90" ca="1" si="60">IFERROR(J35/M35,"-")</f>
        <v>4.7901183986218872</v>
      </c>
      <c r="AB35" s="7">
        <f t="shared" ref="AB35:AB90" ca="1" si="61">IFERROR(L35/O35,"-")</f>
        <v>0.85646278630085571</v>
      </c>
      <c r="AC35" s="8">
        <f t="shared" ref="AC35:AC90" ca="1" si="62">IFERROR((J35-D35)/D35,"-")</f>
        <v>28.79545454545454</v>
      </c>
      <c r="AD35" s="8">
        <f t="shared" ref="AD35:AD90" ca="1" si="63">IFERROR((L35-F35)/F35,"-")</f>
        <v>1.4656090386648171</v>
      </c>
      <c r="AE35" s="8">
        <f t="shared" ref="AE35:AE90" ca="1" si="64">IFERROR((J35-G35)/G35,"-")</f>
        <v>22.83636363636364</v>
      </c>
      <c r="AF35" s="8">
        <f t="shared" ref="AF35:AF90" ca="1" si="65">IFERROR((L35-I35)/I35,"-")</f>
        <v>0.84121842182166351</v>
      </c>
      <c r="AG35" s="16"/>
      <c r="AH35" s="16"/>
    </row>
    <row r="36" spans="1:34" x14ac:dyDescent="0.25">
      <c r="A36" s="16"/>
      <c r="B36" s="16"/>
      <c r="C36" s="23" t="s">
        <v>278</v>
      </c>
      <c r="D36" s="6">
        <f t="shared" ca="1" si="41"/>
        <v>4.304347826086957</v>
      </c>
      <c r="E36" s="10">
        <f t="shared" ca="1" si="42"/>
        <v>3020.5555555555557</v>
      </c>
      <c r="F36" s="6">
        <f t="shared" ca="1" si="43"/>
        <v>13001.521739130436</v>
      </c>
      <c r="G36" s="6">
        <f t="shared" ca="1" si="43"/>
        <v>0</v>
      </c>
      <c r="H36" s="10" t="str">
        <f t="shared" ca="1" si="44"/>
        <v>-</v>
      </c>
      <c r="I36" s="6">
        <f t="shared" ca="1" si="45"/>
        <v>0</v>
      </c>
      <c r="J36" s="6">
        <f t="shared" ca="1" si="45"/>
        <v>100</v>
      </c>
      <c r="K36" s="10">
        <f t="shared" ca="1" si="46"/>
        <v>849.58070000000009</v>
      </c>
      <c r="L36" s="6">
        <f t="shared" ca="1" si="47"/>
        <v>84958.07</v>
      </c>
      <c r="M36" s="6">
        <f t="shared" ca="1" si="47"/>
        <v>120.32692117597441</v>
      </c>
      <c r="N36" s="10">
        <f t="shared" ca="1" si="48"/>
        <v>936.68735735011444</v>
      </c>
      <c r="O36" s="6">
        <f t="shared" ca="1" si="49"/>
        <v>112708.70581439899</v>
      </c>
      <c r="P36" s="6">
        <f t="shared" ca="1" si="51"/>
        <v>209.09090909090909</v>
      </c>
      <c r="Q36" s="10">
        <f t="shared" ca="1" si="50"/>
        <v>849.58070000000009</v>
      </c>
      <c r="R36" s="6">
        <f t="shared" ca="1" si="52"/>
        <v>177639.60090909092</v>
      </c>
      <c r="S36" s="6">
        <f t="shared" ca="1" si="53"/>
        <v>251.59265336794647</v>
      </c>
      <c r="T36" s="10">
        <f t="shared" ca="1" si="54"/>
        <v>936.68735735011444</v>
      </c>
      <c r="U36" s="6">
        <f t="shared" ca="1" si="53"/>
        <v>235663.65761192515</v>
      </c>
      <c r="V36" s="6">
        <f t="shared" ca="1" si="55"/>
        <v>-20.326921175974405</v>
      </c>
      <c r="W36" s="6">
        <f t="shared" ca="1" si="56"/>
        <v>-87.106657350114347</v>
      </c>
      <c r="X36" s="6">
        <f t="shared" ca="1" si="57"/>
        <v>-27750.635814398978</v>
      </c>
      <c r="Y36" s="6">
        <f t="shared" ca="1" si="58"/>
        <v>-8710.6657350114347</v>
      </c>
      <c r="Z36" s="6">
        <f t="shared" ca="1" si="59"/>
        <v>-19039.970079387545</v>
      </c>
      <c r="AA36" s="7">
        <f t="shared" ca="1" si="60"/>
        <v>0.83106921562260438</v>
      </c>
      <c r="AB36" s="7">
        <f t="shared" ca="1" si="61"/>
        <v>0.75378445157469176</v>
      </c>
      <c r="AC36" s="8">
        <f t="shared" ca="1" si="62"/>
        <v>22.232323232323232</v>
      </c>
      <c r="AD36" s="8">
        <f t="shared" ca="1" si="63"/>
        <v>5.534471249184878</v>
      </c>
      <c r="AE36" s="8" t="str">
        <f t="shared" ca="1" si="64"/>
        <v>-</v>
      </c>
      <c r="AF36" s="8" t="str">
        <f t="shared" ca="1" si="65"/>
        <v>-</v>
      </c>
      <c r="AG36" s="16"/>
      <c r="AH36" s="16"/>
    </row>
    <row r="37" spans="1:34" x14ac:dyDescent="0.25">
      <c r="C37" s="23" t="s">
        <v>217</v>
      </c>
      <c r="D37" s="6">
        <f t="shared" ca="1" si="41"/>
        <v>41</v>
      </c>
      <c r="E37" s="10">
        <f t="shared" ca="1" si="42"/>
        <v>521.1219512195122</v>
      </c>
      <c r="F37" s="6">
        <f t="shared" ca="1" si="43"/>
        <v>21366</v>
      </c>
      <c r="G37" s="6">
        <f t="shared" ca="1" si="43"/>
        <v>130</v>
      </c>
      <c r="H37" s="10">
        <f t="shared" ca="1" si="44"/>
        <v>473.66153846153844</v>
      </c>
      <c r="I37" s="6">
        <f t="shared" ca="1" si="45"/>
        <v>61576</v>
      </c>
      <c r="J37" s="6">
        <f t="shared" ca="1" si="45"/>
        <v>61</v>
      </c>
      <c r="K37" s="10">
        <f t="shared" ca="1" si="46"/>
        <v>522.56475409836071</v>
      </c>
      <c r="L37" s="6">
        <f t="shared" ca="1" si="47"/>
        <v>31876.450000000004</v>
      </c>
      <c r="M37" s="6">
        <f t="shared" ca="1" si="47"/>
        <v>127.54083695652174</v>
      </c>
      <c r="N37" s="10">
        <f t="shared" ca="1" si="48"/>
        <v>628.53452686328001</v>
      </c>
      <c r="O37" s="6">
        <f t="shared" ca="1" si="49"/>
        <v>80163.819612214138</v>
      </c>
      <c r="P37" s="6">
        <f t="shared" ca="1" si="51"/>
        <v>127.54545454545455</v>
      </c>
      <c r="Q37" s="10">
        <f t="shared" ca="1" si="50"/>
        <v>522.56475409836071</v>
      </c>
      <c r="R37" s="6">
        <f t="shared" ca="1" si="52"/>
        <v>66650.759090909094</v>
      </c>
      <c r="S37" s="6">
        <f t="shared" ca="1" si="53"/>
        <v>266.67629545454548</v>
      </c>
      <c r="T37" s="10">
        <f t="shared" ca="1" si="54"/>
        <v>628.53452686328001</v>
      </c>
      <c r="U37" s="6">
        <f t="shared" ca="1" si="53"/>
        <v>167615.25918917501</v>
      </c>
      <c r="V37" s="6">
        <f t="shared" ca="1" si="55"/>
        <v>-66.540836956521744</v>
      </c>
      <c r="W37" s="6">
        <f t="shared" ca="1" si="56"/>
        <v>-105.9697727649193</v>
      </c>
      <c r="X37" s="6">
        <f t="shared" ca="1" si="57"/>
        <v>-48287.369612214134</v>
      </c>
      <c r="Y37" s="6">
        <f t="shared" ca="1" si="58"/>
        <v>-6464.156138660077</v>
      </c>
      <c r="Z37" s="6">
        <f t="shared" ca="1" si="59"/>
        <v>-41823.213473554053</v>
      </c>
      <c r="AA37" s="7">
        <f t="shared" ca="1" si="60"/>
        <v>0.47827818489849411</v>
      </c>
      <c r="AB37" s="7">
        <f t="shared" ca="1" si="61"/>
        <v>0.39764135683902913</v>
      </c>
      <c r="AC37" s="8">
        <f t="shared" ca="1" si="62"/>
        <v>0.48780487804878048</v>
      </c>
      <c r="AD37" s="8">
        <f t="shared" ca="1" si="63"/>
        <v>0.49192408499485185</v>
      </c>
      <c r="AE37" s="8">
        <f t="shared" ca="1" si="64"/>
        <v>-0.53076923076923077</v>
      </c>
      <c r="AF37" s="8">
        <f t="shared" ca="1" si="65"/>
        <v>-0.48232347018318816</v>
      </c>
    </row>
    <row r="38" spans="1:34" x14ac:dyDescent="0.25">
      <c r="C38" s="23" t="s">
        <v>35</v>
      </c>
      <c r="D38" s="6">
        <f t="shared" ca="1" si="41"/>
        <v>106</v>
      </c>
      <c r="E38" s="10">
        <f t="shared" ca="1" si="42"/>
        <v>720.81132075471703</v>
      </c>
      <c r="F38" s="6">
        <f t="shared" ca="1" si="43"/>
        <v>76406</v>
      </c>
      <c r="G38" s="6">
        <f t="shared" ca="1" si="43"/>
        <v>198.33333333333334</v>
      </c>
      <c r="H38" s="10">
        <f t="shared" ca="1" si="44"/>
        <v>437.49873949579825</v>
      </c>
      <c r="I38" s="6">
        <f t="shared" ca="1" si="45"/>
        <v>86770.583333333328</v>
      </c>
      <c r="J38" s="6">
        <f t="shared" ca="1" si="45"/>
        <v>118</v>
      </c>
      <c r="K38" s="10">
        <f t="shared" ca="1" si="46"/>
        <v>725.1966949152544</v>
      </c>
      <c r="L38" s="6">
        <f t="shared" ca="1" si="47"/>
        <v>85573.210000000021</v>
      </c>
      <c r="M38" s="6">
        <f t="shared" ca="1" si="47"/>
        <v>228.08333333333334</v>
      </c>
      <c r="N38" s="10">
        <f t="shared" ca="1" si="48"/>
        <v>696.89574660633468</v>
      </c>
      <c r="O38" s="6">
        <f t="shared" ca="1" si="49"/>
        <v>158950.30487179485</v>
      </c>
      <c r="P38" s="6">
        <f t="shared" ca="1" si="51"/>
        <v>246.72727272727272</v>
      </c>
      <c r="Q38" s="10">
        <f t="shared" ca="1" si="50"/>
        <v>725.1966949152544</v>
      </c>
      <c r="R38" s="6">
        <f t="shared" ca="1" si="52"/>
        <v>178925.80272727276</v>
      </c>
      <c r="S38" s="6">
        <f t="shared" ca="1" si="53"/>
        <v>476.90151515151518</v>
      </c>
      <c r="T38" s="10">
        <f t="shared" ca="1" si="54"/>
        <v>696.8957466063348</v>
      </c>
      <c r="U38" s="6">
        <f t="shared" ca="1" si="53"/>
        <v>332350.63745920744</v>
      </c>
      <c r="V38" s="6">
        <f t="shared" ca="1" si="55"/>
        <v>-110.08333333333334</v>
      </c>
      <c r="W38" s="6">
        <f t="shared" ca="1" si="56"/>
        <v>28.300948308919715</v>
      </c>
      <c r="X38" s="6">
        <f t="shared" ca="1" si="57"/>
        <v>-73377.094871794834</v>
      </c>
      <c r="Y38" s="6">
        <f t="shared" ca="1" si="58"/>
        <v>3339.5119004525263</v>
      </c>
      <c r="Z38" s="6">
        <f t="shared" ca="1" si="59"/>
        <v>-76716.606772247353</v>
      </c>
      <c r="AA38" s="7">
        <f t="shared" ca="1" si="60"/>
        <v>0.51735476799415414</v>
      </c>
      <c r="AB38" s="7">
        <f t="shared" ca="1" si="61"/>
        <v>0.53836455405996941</v>
      </c>
      <c r="AC38" s="8">
        <f t="shared" ca="1" si="62"/>
        <v>0.11320754716981132</v>
      </c>
      <c r="AD38" s="8">
        <f t="shared" ca="1" si="63"/>
        <v>0.11998023715415047</v>
      </c>
      <c r="AE38" s="8">
        <f t="shared" ca="1" si="64"/>
        <v>-0.40504201680672269</v>
      </c>
      <c r="AF38" s="8">
        <f t="shared" ca="1" si="65"/>
        <v>-1.3799300262089293E-2</v>
      </c>
    </row>
    <row r="39" spans="1:34" x14ac:dyDescent="0.25">
      <c r="C39" s="23" t="s">
        <v>305</v>
      </c>
      <c r="D39" s="6">
        <f t="shared" ca="1" si="41"/>
        <v>7.6521739130434785</v>
      </c>
      <c r="E39" s="10">
        <f t="shared" ca="1" si="42"/>
        <v>557.20624999999995</v>
      </c>
      <c r="F39" s="6">
        <f t="shared" ca="1" si="43"/>
        <v>4263.8391304347824</v>
      </c>
      <c r="G39" s="6">
        <f t="shared" ca="1" si="43"/>
        <v>15.782608695652174</v>
      </c>
      <c r="H39" s="10">
        <f t="shared" ca="1" si="44"/>
        <v>552.56969696969702</v>
      </c>
      <c r="I39" s="6">
        <f t="shared" ca="1" si="45"/>
        <v>8720.9913043478264</v>
      </c>
      <c r="J39" s="6">
        <f t="shared" ca="1" si="45"/>
        <v>8</v>
      </c>
      <c r="K39" s="10">
        <f t="shared" ca="1" si="46"/>
        <v>550.15000000000009</v>
      </c>
      <c r="L39" s="6">
        <f t="shared" ca="1" si="47"/>
        <v>4401.2000000000007</v>
      </c>
      <c r="M39" s="6">
        <f t="shared" ca="1" si="47"/>
        <v>16.838608695652173</v>
      </c>
      <c r="N39" s="10">
        <f t="shared" ca="1" si="48"/>
        <v>400.00000000000006</v>
      </c>
      <c r="O39" s="6">
        <f t="shared" ca="1" si="49"/>
        <v>6735.4434782608705</v>
      </c>
      <c r="P39" s="6">
        <f t="shared" ca="1" si="51"/>
        <v>16.727272727272727</v>
      </c>
      <c r="Q39" s="10">
        <f t="shared" ca="1" si="50"/>
        <v>550.15000000000009</v>
      </c>
      <c r="R39" s="6">
        <f t="shared" ca="1" si="52"/>
        <v>9202.5090909090923</v>
      </c>
      <c r="S39" s="6">
        <f t="shared" ca="1" si="53"/>
        <v>35.207999999999998</v>
      </c>
      <c r="T39" s="10">
        <f t="shared" ca="1" si="54"/>
        <v>400.00000000000006</v>
      </c>
      <c r="U39" s="6">
        <f t="shared" ca="1" si="53"/>
        <v>14083.2</v>
      </c>
      <c r="V39" s="6">
        <f t="shared" ca="1" si="55"/>
        <v>-8.838608695652173</v>
      </c>
      <c r="W39" s="6">
        <f t="shared" ca="1" si="56"/>
        <v>150.15000000000003</v>
      </c>
      <c r="X39" s="6">
        <f t="shared" ca="1" si="57"/>
        <v>-2334.2434782608698</v>
      </c>
      <c r="Y39" s="6">
        <f t="shared" ca="1" si="58"/>
        <v>1201.2000000000003</v>
      </c>
      <c r="Z39" s="6">
        <f t="shared" ca="1" si="59"/>
        <v>-3535.4434782608696</v>
      </c>
      <c r="AA39" s="7">
        <f t="shared" ca="1" si="60"/>
        <v>0.47509863460783708</v>
      </c>
      <c r="AB39" s="7">
        <f t="shared" ca="1" si="61"/>
        <v>0.65343878457375393</v>
      </c>
      <c r="AC39" s="8">
        <f t="shared" ca="1" si="62"/>
        <v>4.5454545454545421E-2</v>
      </c>
      <c r="AD39" s="8">
        <f t="shared" ca="1" si="63"/>
        <v>3.2215303008209802E-2</v>
      </c>
      <c r="AE39" s="8">
        <f t="shared" ca="1" si="64"/>
        <v>-0.49311294765840219</v>
      </c>
      <c r="AF39" s="8">
        <f t="shared" ca="1" si="65"/>
        <v>-0.49533260080126507</v>
      </c>
    </row>
    <row r="40" spans="1:34" x14ac:dyDescent="0.25">
      <c r="C40" s="23" t="s">
        <v>153</v>
      </c>
      <c r="D40" s="6">
        <f t="shared" ca="1" si="41"/>
        <v>0</v>
      </c>
      <c r="E40" s="10" t="str">
        <f t="shared" ca="1" si="42"/>
        <v>-</v>
      </c>
      <c r="F40" s="6">
        <f t="shared" ca="1" si="43"/>
        <v>9198.142608695638</v>
      </c>
      <c r="G40" s="6">
        <f t="shared" ca="1" si="43"/>
        <v>0</v>
      </c>
      <c r="H40" s="10" t="str">
        <f t="shared" ca="1" si="44"/>
        <v>-</v>
      </c>
      <c r="I40" s="6">
        <f t="shared" ca="1" si="45"/>
        <v>11779.397826086963</v>
      </c>
      <c r="J40" s="6">
        <f t="shared" ca="1" si="45"/>
        <v>0</v>
      </c>
      <c r="K40" s="10" t="str">
        <f t="shared" ca="1" si="46"/>
        <v>-</v>
      </c>
      <c r="L40" s="6">
        <f t="shared" ca="1" si="47"/>
        <v>10100.619999999999</v>
      </c>
      <c r="M40" s="6">
        <f t="shared" ca="1" si="47"/>
        <v>0</v>
      </c>
      <c r="N40" s="10" t="str">
        <f t="shared" ca="1" si="48"/>
        <v>-</v>
      </c>
      <c r="O40" s="6">
        <f t="shared" ca="1" si="49"/>
        <v>0</v>
      </c>
      <c r="P40" s="6">
        <f t="shared" ca="1" si="51"/>
        <v>0</v>
      </c>
      <c r="Q40" s="10" t="str">
        <f t="shared" ca="1" si="50"/>
        <v>-</v>
      </c>
      <c r="R40" s="6">
        <f t="shared" ca="1" si="52"/>
        <v>21119.47818181818</v>
      </c>
      <c r="S40" s="6">
        <f t="shared" ca="1" si="53"/>
        <v>0</v>
      </c>
      <c r="T40" s="10" t="str">
        <f t="shared" ca="1" si="54"/>
        <v>-</v>
      </c>
      <c r="U40" s="6">
        <f t="shared" ca="1" si="53"/>
        <v>0</v>
      </c>
      <c r="V40" s="6">
        <f t="shared" ca="1" si="55"/>
        <v>0</v>
      </c>
      <c r="W40" s="6">
        <f t="shared" ca="1" si="56"/>
        <v>0</v>
      </c>
      <c r="X40" s="6">
        <f t="shared" ca="1" si="57"/>
        <v>10100.619999999999</v>
      </c>
      <c r="Y40" s="6" t="str">
        <f t="shared" ca="1" si="58"/>
        <v>-</v>
      </c>
      <c r="Z40" s="6" t="str">
        <f t="shared" ca="1" si="59"/>
        <v>-</v>
      </c>
      <c r="AA40" s="7" t="str">
        <f t="shared" ca="1" si="60"/>
        <v>-</v>
      </c>
      <c r="AB40" s="7" t="str">
        <f t="shared" ca="1" si="61"/>
        <v>-</v>
      </c>
      <c r="AC40" s="8" t="str">
        <f t="shared" ca="1" si="62"/>
        <v>-</v>
      </c>
      <c r="AD40" s="8">
        <f t="shared" ca="1" si="63"/>
        <v>9.8115177128389686E-2</v>
      </c>
      <c r="AE40" s="8" t="str">
        <f t="shared" ca="1" si="64"/>
        <v>-</v>
      </c>
      <c r="AF40" s="8">
        <f t="shared" ca="1" si="65"/>
        <v>-0.14251813639990138</v>
      </c>
    </row>
    <row r="41" spans="1:34" x14ac:dyDescent="0.25">
      <c r="C41" s="23" t="s">
        <v>36</v>
      </c>
      <c r="D41" s="6">
        <f t="shared" ca="1" si="41"/>
        <v>146</v>
      </c>
      <c r="E41" s="10">
        <f t="shared" ca="1" si="42"/>
        <v>1050.3493150684931</v>
      </c>
      <c r="F41" s="6">
        <f t="shared" ca="1" si="43"/>
        <v>153351</v>
      </c>
      <c r="G41" s="6">
        <f t="shared" ca="1" si="43"/>
        <v>192.22222222222223</v>
      </c>
      <c r="H41" s="10">
        <f t="shared" ca="1" si="44"/>
        <v>863.90517341040481</v>
      </c>
      <c r="I41" s="6">
        <f t="shared" ca="1" si="45"/>
        <v>166061.77222222227</v>
      </c>
      <c r="J41" s="6">
        <f t="shared" ca="1" si="45"/>
        <v>138</v>
      </c>
      <c r="K41" s="10">
        <f t="shared" ca="1" si="46"/>
        <v>829.06253623188422</v>
      </c>
      <c r="L41" s="6">
        <f t="shared" ca="1" si="47"/>
        <v>114410.63000000002</v>
      </c>
      <c r="M41" s="6">
        <f t="shared" ca="1" si="47"/>
        <v>269.19934640522877</v>
      </c>
      <c r="N41" s="10">
        <f t="shared" ca="1" si="48"/>
        <v>991.53484613050068</v>
      </c>
      <c r="O41" s="6">
        <f t="shared" ca="1" si="49"/>
        <v>266920.53251633985</v>
      </c>
      <c r="P41" s="6">
        <f t="shared" ca="1" si="51"/>
        <v>288.54545454545456</v>
      </c>
      <c r="Q41" s="10">
        <f t="shared" ca="1" si="50"/>
        <v>829.06253623188411</v>
      </c>
      <c r="R41" s="6">
        <f t="shared" ca="1" si="52"/>
        <v>239222.22636363641</v>
      </c>
      <c r="S41" s="6">
        <f t="shared" ca="1" si="53"/>
        <v>562.87136066547828</v>
      </c>
      <c r="T41" s="10">
        <f t="shared" ca="1" si="54"/>
        <v>991.5348461305008</v>
      </c>
      <c r="U41" s="6">
        <f t="shared" ca="1" si="53"/>
        <v>558106.56798871059</v>
      </c>
      <c r="V41" s="6">
        <f t="shared" ca="1" si="55"/>
        <v>-131.19934640522877</v>
      </c>
      <c r="W41" s="6">
        <f t="shared" ca="1" si="56"/>
        <v>-162.47230989861646</v>
      </c>
      <c r="X41" s="6">
        <f t="shared" ca="1" si="57"/>
        <v>-152509.90251633985</v>
      </c>
      <c r="Y41" s="6">
        <f t="shared" ca="1" si="58"/>
        <v>-22421.17876600907</v>
      </c>
      <c r="Z41" s="6">
        <f t="shared" ca="1" si="59"/>
        <v>-130088.72375033077</v>
      </c>
      <c r="AA41" s="7">
        <f t="shared" ca="1" si="60"/>
        <v>0.51263125948406674</v>
      </c>
      <c r="AB41" s="7">
        <f t="shared" ca="1" si="61"/>
        <v>0.42863180633358072</v>
      </c>
      <c r="AC41" s="8">
        <f t="shared" ca="1" si="62"/>
        <v>-5.4794520547945202E-2</v>
      </c>
      <c r="AD41" s="8">
        <f t="shared" ca="1" si="63"/>
        <v>-0.25392967766757296</v>
      </c>
      <c r="AE41" s="8">
        <f t="shared" ca="1" si="64"/>
        <v>-0.28208092485549136</v>
      </c>
      <c r="AF41" s="8">
        <f t="shared" ca="1" si="65"/>
        <v>-0.31103571599310154</v>
      </c>
    </row>
    <row r="42" spans="1:34" x14ac:dyDescent="0.25">
      <c r="C42" s="23" t="s">
        <v>37</v>
      </c>
      <c r="D42" s="6">
        <f t="shared" ca="1" si="41"/>
        <v>0</v>
      </c>
      <c r="E42" s="10" t="str">
        <f t="shared" ca="1" si="42"/>
        <v>-</v>
      </c>
      <c r="F42" s="6">
        <f t="shared" ca="1" si="43"/>
        <v>0</v>
      </c>
      <c r="G42" s="6">
        <f t="shared" ca="1" si="43"/>
        <v>3.8888888888888893</v>
      </c>
      <c r="H42" s="10">
        <f t="shared" ca="1" si="44"/>
        <v>703.21714285714302</v>
      </c>
      <c r="I42" s="6">
        <f t="shared" ca="1" si="45"/>
        <v>2734.733333333334</v>
      </c>
      <c r="J42" s="6">
        <f t="shared" ca="1" si="45"/>
        <v>2</v>
      </c>
      <c r="K42" s="10">
        <f t="shared" ca="1" si="46"/>
        <v>102.75</v>
      </c>
      <c r="L42" s="6">
        <f t="shared" ca="1" si="47"/>
        <v>205.5</v>
      </c>
      <c r="M42" s="6">
        <f t="shared" ca="1" si="47"/>
        <v>22</v>
      </c>
      <c r="N42" s="10">
        <f t="shared" ca="1" si="48"/>
        <v>846.31000000000017</v>
      </c>
      <c r="O42" s="6">
        <f t="shared" ca="1" si="49"/>
        <v>18618.820000000003</v>
      </c>
      <c r="P42" s="6">
        <f t="shared" ca="1" si="51"/>
        <v>4.1818181818181817</v>
      </c>
      <c r="Q42" s="10">
        <f t="shared" ca="1" si="50"/>
        <v>102.75</v>
      </c>
      <c r="R42" s="6">
        <f t="shared" ca="1" si="52"/>
        <v>429.68181818181819</v>
      </c>
      <c r="S42" s="6">
        <f t="shared" ca="1" si="53"/>
        <v>46</v>
      </c>
      <c r="T42" s="10">
        <f t="shared" ca="1" si="54"/>
        <v>846.31000000000017</v>
      </c>
      <c r="U42" s="6">
        <f t="shared" ca="1" si="53"/>
        <v>38930.260000000009</v>
      </c>
      <c r="V42" s="6">
        <f t="shared" ca="1" si="55"/>
        <v>-20</v>
      </c>
      <c r="W42" s="6">
        <f t="shared" ca="1" si="56"/>
        <v>-743.56000000000017</v>
      </c>
      <c r="X42" s="6">
        <f t="shared" ca="1" si="57"/>
        <v>-18413.320000000003</v>
      </c>
      <c r="Y42" s="6">
        <f t="shared" ca="1" si="58"/>
        <v>-1487.1200000000003</v>
      </c>
      <c r="Z42" s="6">
        <f t="shared" ca="1" si="59"/>
        <v>-16926.200000000004</v>
      </c>
      <c r="AA42" s="7">
        <f t="shared" ca="1" si="60"/>
        <v>9.0909090909090912E-2</v>
      </c>
      <c r="AB42" s="7">
        <f t="shared" ca="1" si="61"/>
        <v>1.1037219329688991E-2</v>
      </c>
      <c r="AC42" s="8" t="str">
        <f t="shared" ca="1" si="62"/>
        <v>-</v>
      </c>
      <c r="AD42" s="8" t="str">
        <f t="shared" ca="1" si="63"/>
        <v>-</v>
      </c>
      <c r="AE42" s="8">
        <f t="shared" ca="1" si="64"/>
        <v>-0.48571428571428577</v>
      </c>
      <c r="AF42" s="8">
        <f t="shared" ca="1" si="65"/>
        <v>-0.92485556178542705</v>
      </c>
    </row>
    <row r="43" spans="1:34" x14ac:dyDescent="0.25">
      <c r="C43" s="23" t="s">
        <v>38</v>
      </c>
      <c r="D43" s="6">
        <f t="shared" ca="1" si="41"/>
        <v>111</v>
      </c>
      <c r="E43" s="10">
        <f t="shared" ca="1" si="42"/>
        <v>845.40540540540542</v>
      </c>
      <c r="F43" s="6">
        <f t="shared" ca="1" si="43"/>
        <v>93840</v>
      </c>
      <c r="G43" s="6">
        <f t="shared" ca="1" si="43"/>
        <v>101.11111111111111</v>
      </c>
      <c r="H43" s="10">
        <f t="shared" ca="1" si="44"/>
        <v>849.83104395604391</v>
      </c>
      <c r="I43" s="6">
        <f t="shared" ca="1" si="45"/>
        <v>85927.361111111109</v>
      </c>
      <c r="J43" s="6">
        <f t="shared" ca="1" si="45"/>
        <v>108</v>
      </c>
      <c r="K43" s="10">
        <f t="shared" ca="1" si="46"/>
        <v>841.50537037037054</v>
      </c>
      <c r="L43" s="6">
        <f t="shared" ca="1" si="47"/>
        <v>90882.580000000016</v>
      </c>
      <c r="M43" s="6">
        <f t="shared" ca="1" si="47"/>
        <v>236.66666666666669</v>
      </c>
      <c r="N43" s="10">
        <f t="shared" ca="1" si="48"/>
        <v>855.08720472440848</v>
      </c>
      <c r="O43" s="6">
        <f t="shared" ca="1" si="49"/>
        <v>202370.63845144334</v>
      </c>
      <c r="P43" s="6">
        <f t="shared" ca="1" si="51"/>
        <v>225.81818181818181</v>
      </c>
      <c r="Q43" s="10">
        <f t="shared" ca="1" si="50"/>
        <v>841.50537037037054</v>
      </c>
      <c r="R43" s="6">
        <f t="shared" ca="1" si="52"/>
        <v>190027.21272727277</v>
      </c>
      <c r="S43" s="6">
        <f t="shared" ca="1" si="53"/>
        <v>494.84848484848487</v>
      </c>
      <c r="T43" s="10">
        <f t="shared" ca="1" si="54"/>
        <v>855.08720472440848</v>
      </c>
      <c r="U43" s="6">
        <f t="shared" ca="1" si="53"/>
        <v>423138.60767119972</v>
      </c>
      <c r="V43" s="6">
        <f t="shared" ca="1" si="55"/>
        <v>-128.66666666666669</v>
      </c>
      <c r="W43" s="6">
        <f t="shared" ca="1" si="56"/>
        <v>-13.581834354037937</v>
      </c>
      <c r="X43" s="6">
        <f t="shared" ca="1" si="57"/>
        <v>-111488.05845144333</v>
      </c>
      <c r="Y43" s="6">
        <f t="shared" ca="1" si="58"/>
        <v>-1466.8381102360972</v>
      </c>
      <c r="Z43" s="6">
        <f t="shared" ca="1" si="59"/>
        <v>-110021.22034120724</v>
      </c>
      <c r="AA43" s="7">
        <f t="shared" ca="1" si="60"/>
        <v>0.45633802816901403</v>
      </c>
      <c r="AB43" s="7">
        <f t="shared" ca="1" si="61"/>
        <v>0.44908975281908947</v>
      </c>
      <c r="AC43" s="8">
        <f t="shared" ca="1" si="62"/>
        <v>-2.7027027027027029E-2</v>
      </c>
      <c r="AD43" s="8">
        <f t="shared" ca="1" si="63"/>
        <v>-3.1515558397271777E-2</v>
      </c>
      <c r="AE43" s="8">
        <f t="shared" ca="1" si="64"/>
        <v>6.8131868131868098E-2</v>
      </c>
      <c r="AF43" s="8">
        <f t="shared" ca="1" si="65"/>
        <v>5.7667532492722585E-2</v>
      </c>
    </row>
    <row r="44" spans="1:34" x14ac:dyDescent="0.25">
      <c r="C44" s="23" t="s">
        <v>221</v>
      </c>
      <c r="D44" s="6">
        <f t="shared" ca="1" si="41"/>
        <v>0</v>
      </c>
      <c r="E44" s="10" t="str">
        <f t="shared" ca="1" si="42"/>
        <v>-</v>
      </c>
      <c r="F44" s="6">
        <f t="shared" ca="1" si="43"/>
        <v>0</v>
      </c>
      <c r="G44" s="6">
        <f t="shared" ca="1" si="43"/>
        <v>0</v>
      </c>
      <c r="H44" s="10" t="str">
        <f t="shared" ca="1" si="44"/>
        <v>-</v>
      </c>
      <c r="I44" s="6">
        <f t="shared" ca="1" si="45"/>
        <v>0</v>
      </c>
      <c r="J44" s="6">
        <f t="shared" ca="1" si="45"/>
        <v>6</v>
      </c>
      <c r="K44" s="10">
        <f t="shared" ca="1" si="46"/>
        <v>147.08333333333334</v>
      </c>
      <c r="L44" s="6">
        <f t="shared" ca="1" si="47"/>
        <v>882.5</v>
      </c>
      <c r="M44" s="6">
        <f t="shared" ca="1" si="47"/>
        <v>0</v>
      </c>
      <c r="N44" s="10" t="str">
        <f t="shared" ca="1" si="48"/>
        <v>-</v>
      </c>
      <c r="O44" s="6">
        <f t="shared" ca="1" si="49"/>
        <v>0</v>
      </c>
      <c r="P44" s="6">
        <f t="shared" ca="1" si="51"/>
        <v>12.545454545454545</v>
      </c>
      <c r="Q44" s="10">
        <f t="shared" ca="1" si="50"/>
        <v>147.08333333333334</v>
      </c>
      <c r="R44" s="6">
        <f t="shared" ca="1" si="52"/>
        <v>1845.2272727272727</v>
      </c>
      <c r="S44" s="6">
        <f t="shared" ca="1" si="53"/>
        <v>0</v>
      </c>
      <c r="T44" s="10" t="str">
        <f t="shared" ca="1" si="54"/>
        <v>-</v>
      </c>
      <c r="U44" s="6">
        <f t="shared" ca="1" si="53"/>
        <v>0</v>
      </c>
      <c r="V44" s="6">
        <f t="shared" ca="1" si="55"/>
        <v>6</v>
      </c>
      <c r="W44" s="6">
        <f t="shared" ca="1" si="56"/>
        <v>0</v>
      </c>
      <c r="X44" s="6">
        <f t="shared" ca="1" si="57"/>
        <v>882.5</v>
      </c>
      <c r="Y44" s="6" t="str">
        <f t="shared" ca="1" si="58"/>
        <v>-</v>
      </c>
      <c r="Z44" s="6" t="str">
        <f t="shared" ca="1" si="59"/>
        <v>-</v>
      </c>
      <c r="AA44" s="7" t="str">
        <f t="shared" ca="1" si="60"/>
        <v>-</v>
      </c>
      <c r="AB44" s="7" t="str">
        <f t="shared" ca="1" si="61"/>
        <v>-</v>
      </c>
      <c r="AC44" s="8" t="str">
        <f t="shared" ca="1" si="62"/>
        <v>-</v>
      </c>
      <c r="AD44" s="8" t="str">
        <f t="shared" ca="1" si="63"/>
        <v>-</v>
      </c>
      <c r="AE44" s="8" t="str">
        <f t="shared" ca="1" si="64"/>
        <v>-</v>
      </c>
      <c r="AF44" s="8" t="str">
        <f t="shared" ca="1" si="65"/>
        <v>-</v>
      </c>
    </row>
    <row r="45" spans="1:34" x14ac:dyDescent="0.25">
      <c r="C45" s="23" t="s">
        <v>149</v>
      </c>
      <c r="D45" s="6">
        <f t="shared" ca="1" si="41"/>
        <v>114.30434782608697</v>
      </c>
      <c r="E45" s="10">
        <f t="shared" ca="1" si="42"/>
        <v>565.58037656903775</v>
      </c>
      <c r="F45" s="6">
        <f t="shared" ca="1" si="43"/>
        <v>64648.296086956543</v>
      </c>
      <c r="G45" s="6">
        <f t="shared" ca="1" si="43"/>
        <v>160.21739130434781</v>
      </c>
      <c r="H45" s="10">
        <f t="shared" ca="1" si="44"/>
        <v>521.36749253731352</v>
      </c>
      <c r="I45" s="6">
        <f t="shared" ca="1" si="45"/>
        <v>83532.139565217396</v>
      </c>
      <c r="J45" s="6">
        <f t="shared" ca="1" si="45"/>
        <v>120</v>
      </c>
      <c r="K45" s="10">
        <f t="shared" ca="1" si="46"/>
        <v>393.96333333333337</v>
      </c>
      <c r="L45" s="6">
        <f t="shared" ca="1" si="47"/>
        <v>47275.600000000006</v>
      </c>
      <c r="M45" s="6">
        <f t="shared" ca="1" si="47"/>
        <v>217.13043478260872</v>
      </c>
      <c r="N45" s="10">
        <f t="shared" ca="1" si="48"/>
        <v>510.62555066079284</v>
      </c>
      <c r="O45" s="6">
        <f t="shared" ca="1" si="49"/>
        <v>110872.34782608695</v>
      </c>
      <c r="P45" s="6">
        <f t="shared" ca="1" si="51"/>
        <v>250.90909090909091</v>
      </c>
      <c r="Q45" s="10">
        <f t="shared" ca="1" si="50"/>
        <v>393.96333333333337</v>
      </c>
      <c r="R45" s="6">
        <f t="shared" ca="1" si="52"/>
        <v>98848.981818181826</v>
      </c>
      <c r="S45" s="6">
        <f t="shared" ca="1" si="53"/>
        <v>454.00000000000006</v>
      </c>
      <c r="T45" s="10">
        <f t="shared" ca="1" si="54"/>
        <v>510.62555066079284</v>
      </c>
      <c r="U45" s="6">
        <f t="shared" ca="1" si="53"/>
        <v>231823.99999999997</v>
      </c>
      <c r="V45" s="6">
        <f t="shared" ca="1" si="55"/>
        <v>-97.130434782608717</v>
      </c>
      <c r="W45" s="6">
        <f t="shared" ca="1" si="56"/>
        <v>-116.66221732745947</v>
      </c>
      <c r="X45" s="6">
        <f t="shared" ca="1" si="57"/>
        <v>-63596.747826086939</v>
      </c>
      <c r="Y45" s="6">
        <f t="shared" ca="1" si="58"/>
        <v>-13999.466079295136</v>
      </c>
      <c r="Z45" s="6">
        <f t="shared" ca="1" si="59"/>
        <v>-49597.281746791799</v>
      </c>
      <c r="AA45" s="7">
        <f t="shared" ca="1" si="60"/>
        <v>0.5526631958350019</v>
      </c>
      <c r="AB45" s="7">
        <f t="shared" ca="1" si="61"/>
        <v>0.42639667082865379</v>
      </c>
      <c r="AC45" s="8">
        <f t="shared" ca="1" si="62"/>
        <v>4.9828832255610397E-2</v>
      </c>
      <c r="AD45" s="8">
        <f t="shared" ca="1" si="63"/>
        <v>-0.26872627955405087</v>
      </c>
      <c r="AE45" s="8">
        <f t="shared" ca="1" si="64"/>
        <v>-0.25101763907734054</v>
      </c>
      <c r="AF45" s="8">
        <f t="shared" ca="1" si="65"/>
        <v>-0.4340429893683046</v>
      </c>
    </row>
    <row r="46" spans="1:34" x14ac:dyDescent="0.25">
      <c r="C46" s="23" t="s">
        <v>146</v>
      </c>
      <c r="D46" s="6">
        <f t="shared" ca="1" si="41"/>
        <v>92.782608695652172</v>
      </c>
      <c r="E46" s="10">
        <f t="shared" ca="1" si="42"/>
        <v>528.53835051546389</v>
      </c>
      <c r="F46" s="6">
        <f t="shared" ca="1" si="43"/>
        <v>49039.166956521738</v>
      </c>
      <c r="G46" s="6">
        <f t="shared" ca="1" si="43"/>
        <v>208.52173913043481</v>
      </c>
      <c r="H46" s="10">
        <f t="shared" ca="1" si="44"/>
        <v>805.90486238532105</v>
      </c>
      <c r="I46" s="6">
        <f t="shared" ca="1" si="45"/>
        <v>168048.68347826088</v>
      </c>
      <c r="J46" s="6">
        <f t="shared" ca="1" si="45"/>
        <v>279</v>
      </c>
      <c r="K46" s="10">
        <f t="shared" ca="1" si="46"/>
        <v>999.89706093189977</v>
      </c>
      <c r="L46" s="6">
        <f t="shared" ca="1" si="47"/>
        <v>278971.28000000003</v>
      </c>
      <c r="M46" s="6">
        <f t="shared" ca="1" si="47"/>
        <v>479.69565217391312</v>
      </c>
      <c r="N46" s="10">
        <f t="shared" ca="1" si="48"/>
        <v>830.89830508474552</v>
      </c>
      <c r="O46" s="6">
        <f t="shared" ca="1" si="49"/>
        <v>398578.30434782605</v>
      </c>
      <c r="P46" s="6">
        <f t="shared" ca="1" si="51"/>
        <v>583.36363636363637</v>
      </c>
      <c r="Q46" s="10">
        <f t="shared" ca="1" si="50"/>
        <v>999.89706093189966</v>
      </c>
      <c r="R46" s="6">
        <f t="shared" ca="1" si="52"/>
        <v>583303.58545454545</v>
      </c>
      <c r="S46" s="6">
        <f t="shared" ca="1" si="53"/>
        <v>1003.0000000000001</v>
      </c>
      <c r="T46" s="10">
        <f t="shared" ca="1" si="54"/>
        <v>830.89830508474552</v>
      </c>
      <c r="U46" s="6">
        <f t="shared" ca="1" si="53"/>
        <v>833390.99999999988</v>
      </c>
      <c r="V46" s="6">
        <f t="shared" ca="1" si="55"/>
        <v>-200.69565217391312</v>
      </c>
      <c r="W46" s="6">
        <f t="shared" ca="1" si="56"/>
        <v>168.99875584715426</v>
      </c>
      <c r="X46" s="6">
        <f t="shared" ca="1" si="57"/>
        <v>-119607.02434782602</v>
      </c>
      <c r="Y46" s="6">
        <f t="shared" ca="1" si="58"/>
        <v>47150.652881356036</v>
      </c>
      <c r="Z46" s="6">
        <f t="shared" ca="1" si="59"/>
        <v>-166757.67722918204</v>
      </c>
      <c r="AA46" s="7">
        <f t="shared" ca="1" si="60"/>
        <v>0.5816187800235656</v>
      </c>
      <c r="AB46" s="7">
        <f t="shared" ca="1" si="61"/>
        <v>0.69991586836736364</v>
      </c>
      <c r="AC46" s="8">
        <f t="shared" ca="1" si="62"/>
        <v>2.0070290534208057</v>
      </c>
      <c r="AD46" s="8">
        <f t="shared" ca="1" si="63"/>
        <v>4.6887442693987182</v>
      </c>
      <c r="AE46" s="8">
        <f t="shared" ca="1" si="64"/>
        <v>0.33798999165971627</v>
      </c>
      <c r="AF46" s="8">
        <f t="shared" ca="1" si="65"/>
        <v>0.6600622761563516</v>
      </c>
    </row>
    <row r="47" spans="1:34" x14ac:dyDescent="0.25">
      <c r="C47" s="23" t="s">
        <v>340</v>
      </c>
      <c r="D47" s="6">
        <f t="shared" ca="1" si="41"/>
        <v>0</v>
      </c>
      <c r="E47" s="10" t="str">
        <f t="shared" ca="1" si="42"/>
        <v>-</v>
      </c>
      <c r="F47" s="6">
        <f t="shared" ca="1" si="43"/>
        <v>0</v>
      </c>
      <c r="G47" s="6">
        <f t="shared" ca="1" si="43"/>
        <v>0</v>
      </c>
      <c r="H47" s="10" t="str">
        <f t="shared" ca="1" si="44"/>
        <v>-</v>
      </c>
      <c r="I47" s="6">
        <f t="shared" ca="1" si="45"/>
        <v>0</v>
      </c>
      <c r="J47" s="6">
        <f t="shared" ca="1" si="45"/>
        <v>89</v>
      </c>
      <c r="K47" s="10">
        <f t="shared" ca="1" si="46"/>
        <v>457.29011235955056</v>
      </c>
      <c r="L47" s="6">
        <f t="shared" ca="1" si="47"/>
        <v>40698.82</v>
      </c>
      <c r="M47" s="6">
        <f t="shared" ca="1" si="47"/>
        <v>0</v>
      </c>
      <c r="N47" s="10" t="str">
        <f t="shared" ca="1" si="48"/>
        <v>-</v>
      </c>
      <c r="O47" s="6">
        <f t="shared" ca="1" si="49"/>
        <v>0</v>
      </c>
      <c r="P47" s="6">
        <f t="shared" ca="1" si="51"/>
        <v>186.09090909090909</v>
      </c>
      <c r="Q47" s="10">
        <f t="shared" ca="1" si="50"/>
        <v>457.29011235955056</v>
      </c>
      <c r="R47" s="6">
        <f t="shared" ca="1" si="52"/>
        <v>85097.53272727273</v>
      </c>
      <c r="S47" s="6">
        <f t="shared" ca="1" si="53"/>
        <v>0</v>
      </c>
      <c r="T47" s="10" t="str">
        <f t="shared" ca="1" si="54"/>
        <v>-</v>
      </c>
      <c r="U47" s="6">
        <f t="shared" ca="1" si="53"/>
        <v>0</v>
      </c>
      <c r="V47" s="6">
        <f t="shared" ca="1" si="55"/>
        <v>89</v>
      </c>
      <c r="W47" s="6">
        <f t="shared" ca="1" si="56"/>
        <v>0</v>
      </c>
      <c r="X47" s="6">
        <f t="shared" ca="1" si="57"/>
        <v>40698.82</v>
      </c>
      <c r="Y47" s="6" t="str">
        <f t="shared" ca="1" si="58"/>
        <v>-</v>
      </c>
      <c r="Z47" s="6" t="str">
        <f t="shared" ca="1" si="59"/>
        <v>-</v>
      </c>
      <c r="AA47" s="7" t="str">
        <f t="shared" ca="1" si="60"/>
        <v>-</v>
      </c>
      <c r="AB47" s="7" t="str">
        <f t="shared" ca="1" si="61"/>
        <v>-</v>
      </c>
      <c r="AC47" s="8" t="str">
        <f t="shared" ca="1" si="62"/>
        <v>-</v>
      </c>
      <c r="AD47" s="8" t="str">
        <f t="shared" ca="1" si="63"/>
        <v>-</v>
      </c>
      <c r="AE47" s="8" t="str">
        <f t="shared" ca="1" si="64"/>
        <v>-</v>
      </c>
      <c r="AF47" s="8" t="str">
        <f t="shared" ca="1" si="65"/>
        <v>-</v>
      </c>
    </row>
    <row r="48" spans="1:34" x14ac:dyDescent="0.25">
      <c r="C48" s="23" t="s">
        <v>154</v>
      </c>
      <c r="D48" s="6">
        <f t="shared" ca="1" si="41"/>
        <v>516.60869565217399</v>
      </c>
      <c r="E48" s="10">
        <f t="shared" ca="1" si="42"/>
        <v>561.37252987712509</v>
      </c>
      <c r="F48" s="6">
        <f t="shared" ca="1" si="43"/>
        <v>290009.93043478264</v>
      </c>
      <c r="G48" s="6">
        <f t="shared" ca="1" si="43"/>
        <v>753.99033816425128</v>
      </c>
      <c r="H48" s="10">
        <f t="shared" ca="1" si="44"/>
        <v>576.04448288013543</v>
      </c>
      <c r="I48" s="6">
        <f t="shared" ca="1" si="45"/>
        <v>434331.97444444458</v>
      </c>
      <c r="J48" s="6">
        <f t="shared" ca="1" si="45"/>
        <v>602</v>
      </c>
      <c r="K48" s="10">
        <f t="shared" ca="1" si="46"/>
        <v>477.88496677740875</v>
      </c>
      <c r="L48" s="6">
        <f t="shared" ca="1" si="47"/>
        <v>287686.75000000006</v>
      </c>
      <c r="M48" s="6">
        <f t="shared" ca="1" si="47"/>
        <v>838.84323339219964</v>
      </c>
      <c r="N48" s="10">
        <f t="shared" ca="1" si="48"/>
        <v>654.99054216498075</v>
      </c>
      <c r="O48" s="6">
        <f t="shared" ca="1" si="49"/>
        <v>549434.38423098228</v>
      </c>
      <c r="P48" s="6">
        <f t="shared" ca="1" si="51"/>
        <v>1258.7272727272727</v>
      </c>
      <c r="Q48" s="10">
        <f t="shared" ca="1" si="50"/>
        <v>477.88496677740875</v>
      </c>
      <c r="R48" s="6">
        <f t="shared" ca="1" si="52"/>
        <v>601526.84090909106</v>
      </c>
      <c r="S48" s="6">
        <f t="shared" ca="1" si="53"/>
        <v>1753.9449425473265</v>
      </c>
      <c r="T48" s="10">
        <f t="shared" ca="1" si="54"/>
        <v>654.99054216498064</v>
      </c>
      <c r="U48" s="6">
        <f t="shared" ca="1" si="53"/>
        <v>1148817.3488465992</v>
      </c>
      <c r="V48" s="6">
        <f t="shared" ca="1" si="55"/>
        <v>-236.84323339219964</v>
      </c>
      <c r="W48" s="6">
        <f t="shared" ca="1" si="56"/>
        <v>-177.105575387572</v>
      </c>
      <c r="X48" s="6">
        <f t="shared" ca="1" si="57"/>
        <v>-261747.63423098222</v>
      </c>
      <c r="Y48" s="6">
        <f t="shared" ca="1" si="58"/>
        <v>-106617.55638331834</v>
      </c>
      <c r="Z48" s="6">
        <f t="shared" ca="1" si="59"/>
        <v>-155130.07784766392</v>
      </c>
      <c r="AA48" s="7">
        <f t="shared" ca="1" si="60"/>
        <v>0.71765495152839365</v>
      </c>
      <c r="AB48" s="7">
        <f t="shared" ca="1" si="61"/>
        <v>0.52360528983394772</v>
      </c>
      <c r="AC48" s="8">
        <f t="shared" ca="1" si="62"/>
        <v>0.16529203837737735</v>
      </c>
      <c r="AD48" s="8">
        <f t="shared" ca="1" si="63"/>
        <v>-8.0106927073140977E-3</v>
      </c>
      <c r="AE48" s="8">
        <f t="shared" ca="1" si="64"/>
        <v>-0.2015812809144264</v>
      </c>
      <c r="AF48" s="8">
        <f t="shared" ca="1" si="65"/>
        <v>-0.33763395990364031</v>
      </c>
    </row>
    <row r="49" spans="3:32" x14ac:dyDescent="0.25">
      <c r="C49" s="23" t="s">
        <v>39</v>
      </c>
      <c r="D49" s="6">
        <f t="shared" ca="1" si="41"/>
        <v>740.13043478260863</v>
      </c>
      <c r="E49" s="10">
        <f t="shared" ca="1" si="42"/>
        <v>636.33514362920766</v>
      </c>
      <c r="F49" s="6">
        <f t="shared" ca="1" si="43"/>
        <v>470971.00652173918</v>
      </c>
      <c r="G49" s="6">
        <f t="shared" ca="1" si="43"/>
        <v>746.05797101449286</v>
      </c>
      <c r="H49" s="10">
        <f t="shared" ca="1" si="44"/>
        <v>619.55498666096821</v>
      </c>
      <c r="I49" s="6">
        <f t="shared" ca="1" si="45"/>
        <v>462223.93628019316</v>
      </c>
      <c r="J49" s="6">
        <f t="shared" ca="1" si="45"/>
        <v>493</v>
      </c>
      <c r="K49" s="10">
        <f t="shared" ca="1" si="46"/>
        <v>813.442738336714</v>
      </c>
      <c r="L49" s="6">
        <f t="shared" ca="1" si="47"/>
        <v>401027.27</v>
      </c>
      <c r="M49" s="6">
        <f t="shared" ca="1" si="47"/>
        <v>1059.3260683760682</v>
      </c>
      <c r="N49" s="10">
        <f t="shared" ca="1" si="48"/>
        <v>857.40450091484263</v>
      </c>
      <c r="O49" s="6">
        <f t="shared" ca="1" si="49"/>
        <v>908270.93896206515</v>
      </c>
      <c r="P49" s="6">
        <f t="shared" ca="1" si="51"/>
        <v>1030.8181818181818</v>
      </c>
      <c r="Q49" s="10">
        <f t="shared" ca="1" si="50"/>
        <v>813.44273833671411</v>
      </c>
      <c r="R49" s="6">
        <f t="shared" ca="1" si="52"/>
        <v>838511.56454545457</v>
      </c>
      <c r="S49" s="6">
        <f t="shared" ca="1" si="53"/>
        <v>2214.9545066045062</v>
      </c>
      <c r="T49" s="10">
        <f t="shared" ca="1" si="54"/>
        <v>857.40450091484252</v>
      </c>
      <c r="U49" s="6">
        <f t="shared" ca="1" si="53"/>
        <v>1899111.9632843179</v>
      </c>
      <c r="V49" s="6">
        <f t="shared" ca="1" si="55"/>
        <v>-566.32606837606818</v>
      </c>
      <c r="W49" s="6">
        <f t="shared" ca="1" si="56"/>
        <v>-43.961762578128628</v>
      </c>
      <c r="X49" s="6">
        <f t="shared" ca="1" si="57"/>
        <v>-507243.66896206513</v>
      </c>
      <c r="Y49" s="6">
        <f t="shared" ca="1" si="58"/>
        <v>-21673.148951017414</v>
      </c>
      <c r="Z49" s="6">
        <f t="shared" ca="1" si="59"/>
        <v>-485570.52001104777</v>
      </c>
      <c r="AA49" s="7">
        <f t="shared" ca="1" si="60"/>
        <v>0.4653902275394412</v>
      </c>
      <c r="AB49" s="7">
        <f t="shared" ca="1" si="61"/>
        <v>0.44152824096549603</v>
      </c>
      <c r="AC49" s="8">
        <f t="shared" ca="1" si="62"/>
        <v>-0.33390119250425887</v>
      </c>
      <c r="AD49" s="8">
        <f t="shared" ca="1" si="63"/>
        <v>-0.14850964401884192</v>
      </c>
      <c r="AE49" s="8">
        <f t="shared" ca="1" si="64"/>
        <v>-0.33919344185865818</v>
      </c>
      <c r="AF49" s="8">
        <f t="shared" ca="1" si="65"/>
        <v>-0.13239614281484688</v>
      </c>
    </row>
    <row r="50" spans="3:32" x14ac:dyDescent="0.25">
      <c r="C50" s="23" t="s">
        <v>40</v>
      </c>
      <c r="D50" s="6">
        <f t="shared" ca="1" si="41"/>
        <v>294</v>
      </c>
      <c r="E50" s="10">
        <f t="shared" ca="1" si="42"/>
        <v>295.07823129251699</v>
      </c>
      <c r="F50" s="6">
        <f t="shared" ca="1" si="43"/>
        <v>86753</v>
      </c>
      <c r="G50" s="6">
        <f t="shared" ca="1" si="43"/>
        <v>358.88888888888891</v>
      </c>
      <c r="H50" s="10">
        <f t="shared" ca="1" si="44"/>
        <v>286.0539164086689</v>
      </c>
      <c r="I50" s="6">
        <f t="shared" ca="1" si="45"/>
        <v>102661.57222222228</v>
      </c>
      <c r="J50" s="6">
        <f t="shared" ca="1" si="45"/>
        <v>537</v>
      </c>
      <c r="K50" s="10">
        <f t="shared" ca="1" si="46"/>
        <v>260.53595903165734</v>
      </c>
      <c r="L50" s="6">
        <f t="shared" ca="1" si="47"/>
        <v>139907.81</v>
      </c>
      <c r="M50" s="6">
        <f t="shared" ca="1" si="47"/>
        <v>402.16144927536232</v>
      </c>
      <c r="N50" s="10">
        <f t="shared" ca="1" si="48"/>
        <v>281.10888545232007</v>
      </c>
      <c r="O50" s="6">
        <f t="shared" ca="1" si="49"/>
        <v>113051.15677768685</v>
      </c>
      <c r="P50" s="6">
        <f t="shared" ca="1" si="51"/>
        <v>1122.8181818181818</v>
      </c>
      <c r="Q50" s="10">
        <f t="shared" ca="1" si="50"/>
        <v>260.53595903165734</v>
      </c>
      <c r="R50" s="6">
        <f t="shared" ca="1" si="52"/>
        <v>292534.51181818178</v>
      </c>
      <c r="S50" s="6">
        <f t="shared" ca="1" si="53"/>
        <v>840.8830303030303</v>
      </c>
      <c r="T50" s="10">
        <f t="shared" ca="1" si="54"/>
        <v>281.10888545232007</v>
      </c>
      <c r="U50" s="6">
        <f t="shared" ca="1" si="53"/>
        <v>236379.69144425431</v>
      </c>
      <c r="V50" s="6">
        <f t="shared" ca="1" si="55"/>
        <v>134.83855072463768</v>
      </c>
      <c r="W50" s="6">
        <f t="shared" ca="1" si="56"/>
        <v>-20.572926420662725</v>
      </c>
      <c r="X50" s="6">
        <f t="shared" ca="1" si="57"/>
        <v>26856.653222313151</v>
      </c>
      <c r="Y50" s="6">
        <f t="shared" ca="1" si="58"/>
        <v>-11047.661487895883</v>
      </c>
      <c r="Z50" s="6">
        <f t="shared" ca="1" si="59"/>
        <v>37904.314710209022</v>
      </c>
      <c r="AA50" s="7">
        <f t="shared" ca="1" si="60"/>
        <v>1.3352846250370283</v>
      </c>
      <c r="AB50" s="7">
        <f t="shared" ca="1" si="61"/>
        <v>1.237561949720924</v>
      </c>
      <c r="AC50" s="8">
        <f t="shared" ca="1" si="62"/>
        <v>0.82653061224489799</v>
      </c>
      <c r="AD50" s="8">
        <f t="shared" ca="1" si="63"/>
        <v>0.61271437298998299</v>
      </c>
      <c r="AE50" s="8">
        <f t="shared" ca="1" si="64"/>
        <v>0.49628482972136212</v>
      </c>
      <c r="AF50" s="8">
        <f t="shared" ca="1" si="65"/>
        <v>0.36280603317816068</v>
      </c>
    </row>
    <row r="51" spans="3:32" x14ac:dyDescent="0.25">
      <c r="C51" s="23" t="s">
        <v>310</v>
      </c>
      <c r="D51" s="6">
        <f t="shared" ca="1" si="41"/>
        <v>0</v>
      </c>
      <c r="E51" s="10" t="str">
        <f t="shared" ca="1" si="42"/>
        <v>-</v>
      </c>
      <c r="F51" s="6">
        <f t="shared" ca="1" si="43"/>
        <v>0</v>
      </c>
      <c r="G51" s="6">
        <f t="shared" ca="1" si="43"/>
        <v>0</v>
      </c>
      <c r="H51" s="10" t="str">
        <f t="shared" ca="1" si="44"/>
        <v>-</v>
      </c>
      <c r="I51" s="6">
        <f t="shared" ca="1" si="45"/>
        <v>0</v>
      </c>
      <c r="J51" s="6">
        <f t="shared" ca="1" si="45"/>
        <v>17</v>
      </c>
      <c r="K51" s="10">
        <f t="shared" ca="1" si="46"/>
        <v>3385.25</v>
      </c>
      <c r="L51" s="6">
        <f t="shared" ca="1" si="47"/>
        <v>57549.25</v>
      </c>
      <c r="M51" s="6">
        <f t="shared" ca="1" si="47"/>
        <v>15.318333942272561</v>
      </c>
      <c r="N51" s="10">
        <f t="shared" ca="1" si="48"/>
        <v>5950.0000000000018</v>
      </c>
      <c r="O51" s="6">
        <f t="shared" ca="1" si="49"/>
        <v>91144.086956521773</v>
      </c>
      <c r="P51" s="6">
        <f t="shared" ca="1" si="51"/>
        <v>35.545454545454547</v>
      </c>
      <c r="Q51" s="10">
        <f t="shared" ca="1" si="50"/>
        <v>3385.25</v>
      </c>
      <c r="R51" s="6">
        <f t="shared" ca="1" si="52"/>
        <v>120330.25</v>
      </c>
      <c r="S51" s="6">
        <f t="shared" ca="1" si="53"/>
        <v>32.029243697478989</v>
      </c>
      <c r="T51" s="10">
        <f t="shared" ca="1" si="54"/>
        <v>5950.0000000000018</v>
      </c>
      <c r="U51" s="6">
        <f t="shared" ca="1" si="53"/>
        <v>190574.00000000006</v>
      </c>
      <c r="V51" s="6">
        <f t="shared" ca="1" si="55"/>
        <v>1.6816660577274387</v>
      </c>
      <c r="W51" s="6">
        <f t="shared" ca="1" si="56"/>
        <v>-2564.7500000000018</v>
      </c>
      <c r="X51" s="6">
        <f t="shared" ca="1" si="57"/>
        <v>-33594.836956521773</v>
      </c>
      <c r="Y51" s="6">
        <f t="shared" ca="1" si="58"/>
        <v>-43600.750000000029</v>
      </c>
      <c r="Z51" s="6">
        <f t="shared" ca="1" si="59"/>
        <v>10005.913043478264</v>
      </c>
      <c r="AA51" s="7">
        <f t="shared" ca="1" si="60"/>
        <v>1.1097812636847342</v>
      </c>
      <c r="AB51" s="7">
        <f t="shared" ca="1" si="61"/>
        <v>0.63140958367878075</v>
      </c>
      <c r="AC51" s="8" t="str">
        <f t="shared" ca="1" si="62"/>
        <v>-</v>
      </c>
      <c r="AD51" s="8" t="str">
        <f t="shared" ca="1" si="63"/>
        <v>-</v>
      </c>
      <c r="AE51" s="8" t="str">
        <f t="shared" ca="1" si="64"/>
        <v>-</v>
      </c>
      <c r="AF51" s="8" t="str">
        <f t="shared" ca="1" si="65"/>
        <v>-</v>
      </c>
    </row>
    <row r="52" spans="3:32" x14ac:dyDescent="0.25">
      <c r="C52" s="23" t="s">
        <v>729</v>
      </c>
      <c r="D52" s="6">
        <f t="shared" ca="1" si="41"/>
        <v>33</v>
      </c>
      <c r="E52" s="10">
        <f t="shared" ca="1" si="42"/>
        <v>1274.2008695652187</v>
      </c>
      <c r="F52" s="6">
        <f t="shared" ca="1" si="43"/>
        <v>42048.628695652216</v>
      </c>
      <c r="G52" s="6">
        <f t="shared" ca="1" si="43"/>
        <v>33.478260869565219</v>
      </c>
      <c r="H52" s="10">
        <f t="shared" ca="1" si="44"/>
        <v>1586.6561428571442</v>
      </c>
      <c r="I52" s="6">
        <f t="shared" ca="1" si="45"/>
        <v>53118.488260869613</v>
      </c>
      <c r="J52" s="6">
        <f t="shared" ca="1" si="45"/>
        <v>76</v>
      </c>
      <c r="K52" s="10">
        <f t="shared" ca="1" si="46"/>
        <v>1347.8040789473687</v>
      </c>
      <c r="L52" s="6">
        <f t="shared" ca="1" si="47"/>
        <v>102433.11000000002</v>
      </c>
      <c r="M52" s="6">
        <f t="shared" ca="1" si="47"/>
        <v>60.834782608695654</v>
      </c>
      <c r="N52" s="10">
        <f t="shared" ca="1" si="48"/>
        <v>1550</v>
      </c>
      <c r="O52" s="6">
        <f t="shared" ca="1" si="49"/>
        <v>94293.913043478271</v>
      </c>
      <c r="P52" s="6">
        <f t="shared" ca="1" si="51"/>
        <v>158.90909090909091</v>
      </c>
      <c r="Q52" s="10">
        <f t="shared" ca="1" si="50"/>
        <v>1347.8040789473685</v>
      </c>
      <c r="R52" s="6">
        <f t="shared" ca="1" si="52"/>
        <v>214178.32090909092</v>
      </c>
      <c r="S52" s="6">
        <f t="shared" ca="1" si="53"/>
        <v>127.2</v>
      </c>
      <c r="T52" s="10">
        <f t="shared" ca="1" si="54"/>
        <v>1550.0000000000002</v>
      </c>
      <c r="U52" s="6">
        <f t="shared" ca="1" si="53"/>
        <v>197160.00000000003</v>
      </c>
      <c r="V52" s="6">
        <f t="shared" ca="1" si="55"/>
        <v>15.165217391304346</v>
      </c>
      <c r="W52" s="6">
        <f t="shared" ca="1" si="56"/>
        <v>-202.19592105263132</v>
      </c>
      <c r="X52" s="6">
        <f t="shared" ca="1" si="57"/>
        <v>8139.1969565217441</v>
      </c>
      <c r="Y52" s="6">
        <f t="shared" ca="1" si="58"/>
        <v>-15366.889999999981</v>
      </c>
      <c r="Z52" s="6">
        <f t="shared" ca="1" si="59"/>
        <v>23506.086956521736</v>
      </c>
      <c r="AA52" s="7">
        <f t="shared" ca="1" si="60"/>
        <v>1.2492853058890794</v>
      </c>
      <c r="AB52" s="7">
        <f t="shared" ca="1" si="61"/>
        <v>1.0863173103524595</v>
      </c>
      <c r="AC52" s="8">
        <f t="shared" ca="1" si="62"/>
        <v>1.303030303030303</v>
      </c>
      <c r="AD52" s="8">
        <f t="shared" ca="1" si="63"/>
        <v>1.4360630340982199</v>
      </c>
      <c r="AE52" s="8">
        <f t="shared" ca="1" si="64"/>
        <v>1.27012987012987</v>
      </c>
      <c r="AF52" s="8">
        <f t="shared" ca="1" si="65"/>
        <v>0.92838902901268416</v>
      </c>
    </row>
    <row r="53" spans="3:32" x14ac:dyDescent="0.25">
      <c r="C53" s="23" t="s">
        <v>216</v>
      </c>
      <c r="D53" s="6">
        <f t="shared" ca="1" si="41"/>
        <v>332.82608695652175</v>
      </c>
      <c r="E53" s="10">
        <f t="shared" ca="1" si="42"/>
        <v>580.78468713259315</v>
      </c>
      <c r="F53" s="6">
        <f t="shared" ca="1" si="43"/>
        <v>193300.29478260872</v>
      </c>
      <c r="G53" s="6">
        <f t="shared" ca="1" si="43"/>
        <v>502.6521739130435</v>
      </c>
      <c r="H53" s="10">
        <f t="shared" ca="1" si="44"/>
        <v>613.48045411296596</v>
      </c>
      <c r="I53" s="6">
        <f t="shared" ca="1" si="45"/>
        <v>308367.28391304344</v>
      </c>
      <c r="J53" s="6">
        <f t="shared" ca="1" si="45"/>
        <v>531</v>
      </c>
      <c r="K53" s="10">
        <f t="shared" ca="1" si="46"/>
        <v>737.62096045197745</v>
      </c>
      <c r="L53" s="6">
        <f t="shared" ca="1" si="47"/>
        <v>391676.73000000004</v>
      </c>
      <c r="M53" s="6">
        <f t="shared" ca="1" si="47"/>
        <v>794.63521739130442</v>
      </c>
      <c r="N53" s="10">
        <f t="shared" ca="1" si="48"/>
        <v>684.23370975257444</v>
      </c>
      <c r="O53" s="6">
        <f t="shared" ca="1" si="49"/>
        <v>543716.20269569568</v>
      </c>
      <c r="P53" s="6">
        <f t="shared" ca="1" si="51"/>
        <v>1110.2727272727273</v>
      </c>
      <c r="Q53" s="10">
        <f t="shared" ca="1" si="50"/>
        <v>737.62096045197745</v>
      </c>
      <c r="R53" s="6">
        <f t="shared" ca="1" si="52"/>
        <v>818960.43545454554</v>
      </c>
      <c r="S53" s="6">
        <f t="shared" ca="1" si="53"/>
        <v>1661.5100000000002</v>
      </c>
      <c r="T53" s="10">
        <f t="shared" ca="1" si="54"/>
        <v>684.23370975257444</v>
      </c>
      <c r="U53" s="6">
        <f t="shared" ca="1" si="53"/>
        <v>1136861.1510910001</v>
      </c>
      <c r="V53" s="6">
        <f t="shared" ca="1" si="55"/>
        <v>-263.63521739130442</v>
      </c>
      <c r="W53" s="6">
        <f t="shared" ca="1" si="56"/>
        <v>53.387250699403012</v>
      </c>
      <c r="X53" s="6">
        <f t="shared" ca="1" si="57"/>
        <v>-152039.47269569564</v>
      </c>
      <c r="Y53" s="6">
        <f t="shared" ca="1" si="58"/>
        <v>28348.630121383001</v>
      </c>
      <c r="Z53" s="6">
        <f t="shared" ca="1" si="59"/>
        <v>-180388.10281707864</v>
      </c>
      <c r="AA53" s="7">
        <f t="shared" ca="1" si="60"/>
        <v>0.66823114352169244</v>
      </c>
      <c r="AB53" s="7">
        <f t="shared" ca="1" si="61"/>
        <v>0.72036979596727535</v>
      </c>
      <c r="AC53" s="8">
        <f t="shared" ca="1" si="62"/>
        <v>0.59542782495101232</v>
      </c>
      <c r="AD53" s="8">
        <f t="shared" ca="1" si="63"/>
        <v>1.0262603864132303</v>
      </c>
      <c r="AE53" s="8">
        <f t="shared" ca="1" si="64"/>
        <v>5.6396505492604401E-2</v>
      </c>
      <c r="AF53" s="8">
        <f t="shared" ca="1" si="65"/>
        <v>0.27016305046954669</v>
      </c>
    </row>
    <row r="54" spans="3:32" x14ac:dyDescent="0.25">
      <c r="C54" s="23" t="s">
        <v>209</v>
      </c>
      <c r="D54" s="6">
        <f t="shared" ca="1" si="41"/>
        <v>380</v>
      </c>
      <c r="E54" s="10">
        <f t="shared" ca="1" si="42"/>
        <v>279.04473684210524</v>
      </c>
      <c r="F54" s="6">
        <f t="shared" ref="F54:G73" ca="1" si="66">IF($C$93="KSA",SUMIFS(F$96:F$390,$B$96:$B$390,$C54),SUMIFS(F$96:F$390,$B$96:$B$390,$C54,$AA$96:$AA$390,$C$93))</f>
        <v>106037</v>
      </c>
      <c r="G54" s="6">
        <f t="shared" ca="1" si="66"/>
        <v>244</v>
      </c>
      <c r="H54" s="10">
        <f t="shared" ca="1" si="44"/>
        <v>374.5860655737705</v>
      </c>
      <c r="I54" s="6">
        <f t="shared" ref="I54:J73" ca="1" si="67">IF($C$93="KSA",SUMIFS(I$96:I$390,$B$96:$B$390,$C54),SUMIFS(I$96:I$390,$B$96:$B$390,$C54,$AA$96:$AA$390,$C$93))</f>
        <v>91399</v>
      </c>
      <c r="J54" s="6">
        <f t="shared" ca="1" si="67"/>
        <v>921</v>
      </c>
      <c r="K54" s="10">
        <f t="shared" ca="1" si="46"/>
        <v>280.75284473398477</v>
      </c>
      <c r="L54" s="6">
        <f t="shared" ref="L54:M73" ca="1" si="68">IF($C$93="KSA",SUMIFS(L$96:L$390,$B$96:$B$390,$C54),SUMIFS(L$96:L$390,$B$96:$B$390,$C54,$AA$96:$AA$390,$C$93))</f>
        <v>258573.37</v>
      </c>
      <c r="M54" s="6">
        <f t="shared" ca="1" si="68"/>
        <v>430.83173913043481</v>
      </c>
      <c r="N54" s="10">
        <f t="shared" ca="1" si="48"/>
        <v>405.17707859973575</v>
      </c>
      <c r="O54" s="6">
        <f t="shared" ca="1" si="49"/>
        <v>174563.14542891303</v>
      </c>
      <c r="P54" s="6">
        <f t="shared" ca="1" si="51"/>
        <v>1925.7272727272727</v>
      </c>
      <c r="Q54" s="10">
        <f t="shared" ca="1" si="50"/>
        <v>280.75284473398477</v>
      </c>
      <c r="R54" s="6">
        <f t="shared" ca="1" si="52"/>
        <v>540653.40999999992</v>
      </c>
      <c r="S54" s="6">
        <f t="shared" ca="1" si="53"/>
        <v>900.83</v>
      </c>
      <c r="T54" s="10">
        <f t="shared" ca="1" si="54"/>
        <v>405.17707859973575</v>
      </c>
      <c r="U54" s="6">
        <f t="shared" ca="1" si="53"/>
        <v>364995.66771499999</v>
      </c>
      <c r="V54" s="6">
        <f t="shared" ca="1" si="55"/>
        <v>490.16826086956519</v>
      </c>
      <c r="W54" s="6">
        <f t="shared" ca="1" si="56"/>
        <v>-124.42423386575098</v>
      </c>
      <c r="X54" s="6">
        <f t="shared" ca="1" si="57"/>
        <v>84010.224571086961</v>
      </c>
      <c r="Y54" s="6">
        <f t="shared" ca="1" si="58"/>
        <v>-114594.71939035665</v>
      </c>
      <c r="Z54" s="6">
        <f t="shared" ca="1" si="59"/>
        <v>198604.94396144358</v>
      </c>
      <c r="AA54" s="7">
        <f t="shared" ca="1" si="60"/>
        <v>2.1377255117250455</v>
      </c>
      <c r="AB54" s="7">
        <f t="shared" ca="1" si="61"/>
        <v>1.4812598006564808</v>
      </c>
      <c r="AC54" s="8">
        <f t="shared" ca="1" si="62"/>
        <v>1.4236842105263159</v>
      </c>
      <c r="AD54" s="8">
        <f t="shared" ca="1" si="63"/>
        <v>1.4385202335033997</v>
      </c>
      <c r="AE54" s="8">
        <f t="shared" ca="1" si="64"/>
        <v>2.7745901639344264</v>
      </c>
      <c r="AF54" s="8">
        <f t="shared" ca="1" si="65"/>
        <v>1.8290612588759176</v>
      </c>
    </row>
    <row r="55" spans="3:32" x14ac:dyDescent="0.25">
      <c r="C55" s="23" t="s">
        <v>220</v>
      </c>
      <c r="D55" s="6">
        <f t="shared" si="41"/>
        <v>0</v>
      </c>
      <c r="E55" s="10" t="str">
        <f t="shared" si="42"/>
        <v>-</v>
      </c>
      <c r="F55" s="6">
        <f t="shared" si="66"/>
        <v>0</v>
      </c>
      <c r="G55" s="6">
        <f t="shared" si="66"/>
        <v>0</v>
      </c>
      <c r="H55" s="10" t="str">
        <f t="shared" si="44"/>
        <v>-</v>
      </c>
      <c r="I55" s="6">
        <f t="shared" si="67"/>
        <v>0</v>
      </c>
      <c r="J55" s="6">
        <f t="shared" si="67"/>
        <v>0</v>
      </c>
      <c r="K55" s="10" t="str">
        <f t="shared" si="46"/>
        <v>-</v>
      </c>
      <c r="L55" s="6">
        <f t="shared" si="68"/>
        <v>0</v>
      </c>
      <c r="M55" s="6">
        <f t="shared" si="68"/>
        <v>0</v>
      </c>
      <c r="N55" s="10" t="str">
        <f t="shared" si="48"/>
        <v>-</v>
      </c>
      <c r="O55" s="6">
        <f t="shared" si="49"/>
        <v>0</v>
      </c>
      <c r="P55" s="6">
        <f t="shared" si="51"/>
        <v>0</v>
      </c>
      <c r="Q55" s="10" t="str">
        <f t="shared" si="50"/>
        <v>-</v>
      </c>
      <c r="R55" s="6">
        <f t="shared" si="52"/>
        <v>0</v>
      </c>
      <c r="S55" s="6">
        <f t="shared" si="53"/>
        <v>0</v>
      </c>
      <c r="T55" s="10" t="str">
        <f t="shared" si="54"/>
        <v>-</v>
      </c>
      <c r="U55" s="6">
        <f t="shared" si="53"/>
        <v>0</v>
      </c>
      <c r="V55" s="6">
        <f t="shared" si="55"/>
        <v>0</v>
      </c>
      <c r="W55" s="6">
        <f t="shared" si="56"/>
        <v>0</v>
      </c>
      <c r="X55" s="6">
        <f t="shared" si="57"/>
        <v>0</v>
      </c>
      <c r="Y55" s="6" t="str">
        <f t="shared" si="58"/>
        <v>-</v>
      </c>
      <c r="Z55" s="6" t="str">
        <f t="shared" si="59"/>
        <v>-</v>
      </c>
      <c r="AA55" s="7" t="str">
        <f t="shared" si="60"/>
        <v>-</v>
      </c>
      <c r="AB55" s="7" t="str">
        <f t="shared" si="61"/>
        <v>-</v>
      </c>
      <c r="AC55" s="8" t="str">
        <f t="shared" si="62"/>
        <v>-</v>
      </c>
      <c r="AD55" s="8" t="str">
        <f t="shared" si="63"/>
        <v>-</v>
      </c>
      <c r="AE55" s="8" t="str">
        <f t="shared" si="64"/>
        <v>-</v>
      </c>
      <c r="AF55" s="8" t="str">
        <f t="shared" si="65"/>
        <v>-</v>
      </c>
    </row>
    <row r="56" spans="3:32" x14ac:dyDescent="0.25">
      <c r="C56" s="23" t="s">
        <v>41</v>
      </c>
      <c r="D56" s="6">
        <f t="shared" ca="1" si="41"/>
        <v>171</v>
      </c>
      <c r="E56" s="10">
        <f t="shared" ca="1" si="42"/>
        <v>740.32748538011697</v>
      </c>
      <c r="F56" s="6">
        <f t="shared" ca="1" si="66"/>
        <v>126596</v>
      </c>
      <c r="G56" s="6">
        <f t="shared" ca="1" si="66"/>
        <v>204.33333333333334</v>
      </c>
      <c r="H56" s="10">
        <f t="shared" ca="1" si="44"/>
        <v>528.75600870038102</v>
      </c>
      <c r="I56" s="6">
        <f t="shared" ca="1" si="67"/>
        <v>108042.47777777785</v>
      </c>
      <c r="J56" s="6">
        <f t="shared" ca="1" si="67"/>
        <v>242</v>
      </c>
      <c r="K56" s="10">
        <f t="shared" ca="1" si="46"/>
        <v>629.991652892562</v>
      </c>
      <c r="L56" s="6">
        <f t="shared" ca="1" si="68"/>
        <v>152457.98000000001</v>
      </c>
      <c r="M56" s="6">
        <f t="shared" ca="1" si="68"/>
        <v>403.73835748792271</v>
      </c>
      <c r="N56" s="10">
        <f t="shared" ca="1" si="48"/>
        <v>723.70143171536074</v>
      </c>
      <c r="O56" s="6">
        <f t="shared" ca="1" si="49"/>
        <v>292186.02735241782</v>
      </c>
      <c r="P56" s="6">
        <f t="shared" ca="1" si="51"/>
        <v>506</v>
      </c>
      <c r="Q56" s="10">
        <f t="shared" ca="1" si="50"/>
        <v>629.991652892562</v>
      </c>
      <c r="R56" s="6">
        <f t="shared" ca="1" si="52"/>
        <v>318775.77636363637</v>
      </c>
      <c r="S56" s="6">
        <f t="shared" ca="1" si="53"/>
        <v>844.18020202020205</v>
      </c>
      <c r="T56" s="10">
        <f t="shared" ca="1" si="54"/>
        <v>723.70143171536074</v>
      </c>
      <c r="U56" s="6">
        <f t="shared" ca="1" si="53"/>
        <v>610934.42082778271</v>
      </c>
      <c r="V56" s="6">
        <f t="shared" ca="1" si="55"/>
        <v>-161.73835748792271</v>
      </c>
      <c r="W56" s="6">
        <f t="shared" ca="1" si="56"/>
        <v>-93.709778822798739</v>
      </c>
      <c r="X56" s="6">
        <f t="shared" ca="1" si="57"/>
        <v>-139728.04735241781</v>
      </c>
      <c r="Y56" s="6">
        <f t="shared" ca="1" si="58"/>
        <v>-22677.766475117296</v>
      </c>
      <c r="Z56" s="6">
        <f t="shared" ca="1" si="59"/>
        <v>-117050.28087730051</v>
      </c>
      <c r="AA56" s="7">
        <f t="shared" ca="1" si="60"/>
        <v>0.59939808916282888</v>
      </c>
      <c r="AB56" s="7">
        <f t="shared" ca="1" si="61"/>
        <v>0.52178395175657744</v>
      </c>
      <c r="AC56" s="8">
        <f t="shared" ca="1" si="62"/>
        <v>0.41520467836257308</v>
      </c>
      <c r="AD56" s="8">
        <f t="shared" ca="1" si="63"/>
        <v>0.20428749723529976</v>
      </c>
      <c r="AE56" s="8">
        <f t="shared" ca="1" si="64"/>
        <v>0.18433931484502442</v>
      </c>
      <c r="AF56" s="8">
        <f t="shared" ca="1" si="65"/>
        <v>0.41109296209937096</v>
      </c>
    </row>
    <row r="57" spans="3:32" x14ac:dyDescent="0.25">
      <c r="C57" s="23" t="s">
        <v>215</v>
      </c>
      <c r="D57" s="6">
        <f t="shared" ca="1" si="41"/>
        <v>0</v>
      </c>
      <c r="E57" s="10" t="str">
        <f t="shared" ca="1" si="42"/>
        <v>-</v>
      </c>
      <c r="F57" s="6">
        <f t="shared" ca="1" si="66"/>
        <v>0</v>
      </c>
      <c r="G57" s="6">
        <f t="shared" ca="1" si="66"/>
        <v>0</v>
      </c>
      <c r="H57" s="10" t="str">
        <f t="shared" ca="1" si="44"/>
        <v>-</v>
      </c>
      <c r="I57" s="6">
        <f t="shared" ca="1" si="67"/>
        <v>0</v>
      </c>
      <c r="J57" s="6">
        <f t="shared" ca="1" si="67"/>
        <v>24</v>
      </c>
      <c r="K57" s="10">
        <f t="shared" ca="1" si="46"/>
        <v>3141.0204166666667</v>
      </c>
      <c r="L57" s="6">
        <f t="shared" ca="1" si="68"/>
        <v>75384.490000000005</v>
      </c>
      <c r="M57" s="6">
        <f t="shared" ca="1" si="68"/>
        <v>51.201377529057261</v>
      </c>
      <c r="N57" s="10">
        <f t="shared" ca="1" si="48"/>
        <v>1212</v>
      </c>
      <c r="O57" s="6">
        <f t="shared" ca="1" si="49"/>
        <v>62056.069565217404</v>
      </c>
      <c r="P57" s="6">
        <f t="shared" ca="1" si="51"/>
        <v>50.18181818181818</v>
      </c>
      <c r="Q57" s="10">
        <f t="shared" ca="1" si="50"/>
        <v>3141.0204166666667</v>
      </c>
      <c r="R57" s="6">
        <f t="shared" ca="1" si="52"/>
        <v>157622.11545454545</v>
      </c>
      <c r="S57" s="6">
        <f t="shared" ca="1" si="53"/>
        <v>107.05742574257427</v>
      </c>
      <c r="T57" s="10">
        <f t="shared" ca="1" si="54"/>
        <v>1212</v>
      </c>
      <c r="U57" s="6">
        <f t="shared" ca="1" si="53"/>
        <v>129753.60000000002</v>
      </c>
      <c r="V57" s="6">
        <f t="shared" ca="1" si="55"/>
        <v>-27.201377529057261</v>
      </c>
      <c r="W57" s="6">
        <f t="shared" ca="1" si="56"/>
        <v>1929.0204166666667</v>
      </c>
      <c r="X57" s="6">
        <f t="shared" ca="1" si="57"/>
        <v>13328.420434782602</v>
      </c>
      <c r="Y57" s="6">
        <f t="shared" ca="1" si="58"/>
        <v>46296.490000000005</v>
      </c>
      <c r="Z57" s="6">
        <f t="shared" ca="1" si="59"/>
        <v>-32968.069565217404</v>
      </c>
      <c r="AA57" s="7">
        <f t="shared" ca="1" si="60"/>
        <v>0.46873738868411841</v>
      </c>
      <c r="AB57" s="7">
        <f t="shared" ca="1" si="61"/>
        <v>1.2147802870559694</v>
      </c>
      <c r="AC57" s="8" t="str">
        <f t="shared" ca="1" si="62"/>
        <v>-</v>
      </c>
      <c r="AD57" s="8" t="str">
        <f t="shared" ca="1" si="63"/>
        <v>-</v>
      </c>
      <c r="AE57" s="8" t="str">
        <f t="shared" ca="1" si="64"/>
        <v>-</v>
      </c>
      <c r="AF57" s="8" t="str">
        <f t="shared" ca="1" si="65"/>
        <v>-</v>
      </c>
    </row>
    <row r="58" spans="3:32" x14ac:dyDescent="0.25">
      <c r="C58" s="23" t="s">
        <v>42</v>
      </c>
      <c r="D58" s="6">
        <f t="shared" ca="1" si="41"/>
        <v>1028</v>
      </c>
      <c r="E58" s="10">
        <f t="shared" ca="1" si="42"/>
        <v>745.96595330739297</v>
      </c>
      <c r="F58" s="6">
        <f t="shared" ca="1" si="66"/>
        <v>766853</v>
      </c>
      <c r="G58" s="6">
        <f t="shared" ca="1" si="66"/>
        <v>1460.1111111111111</v>
      </c>
      <c r="H58" s="10">
        <f t="shared" ca="1" si="44"/>
        <v>546.16738832661144</v>
      </c>
      <c r="I58" s="6">
        <f t="shared" ca="1" si="67"/>
        <v>797465.07222222234</v>
      </c>
      <c r="J58" s="6">
        <f t="shared" ca="1" si="67"/>
        <v>1008</v>
      </c>
      <c r="K58" s="10">
        <f t="shared" ca="1" si="46"/>
        <v>699.60648809523798</v>
      </c>
      <c r="L58" s="6">
        <f t="shared" ca="1" si="68"/>
        <v>705203.33999999985</v>
      </c>
      <c r="M58" s="6">
        <f t="shared" ca="1" si="68"/>
        <v>1343.0352495974232</v>
      </c>
      <c r="N58" s="10">
        <f t="shared" ca="1" si="48"/>
        <v>651.64814048907033</v>
      </c>
      <c r="O58" s="6">
        <f t="shared" ca="1" si="49"/>
        <v>875186.42301143531</v>
      </c>
      <c r="P58" s="6">
        <f t="shared" ca="1" si="51"/>
        <v>2107.6363636363635</v>
      </c>
      <c r="Q58" s="10">
        <f t="shared" ca="1" si="50"/>
        <v>699.60648809523798</v>
      </c>
      <c r="R58" s="6">
        <f t="shared" ca="1" si="52"/>
        <v>1474516.0745454542</v>
      </c>
      <c r="S58" s="6">
        <f t="shared" ca="1" si="53"/>
        <v>2808.1646127946119</v>
      </c>
      <c r="T58" s="10">
        <f t="shared" ca="1" si="54"/>
        <v>651.64814048907033</v>
      </c>
      <c r="U58" s="6">
        <f t="shared" ca="1" si="53"/>
        <v>1829935.2481148192</v>
      </c>
      <c r="V58" s="6">
        <f t="shared" ca="1" si="55"/>
        <v>-335.03524959742322</v>
      </c>
      <c r="W58" s="6">
        <f t="shared" ca="1" si="56"/>
        <v>47.958347606167649</v>
      </c>
      <c r="X58" s="6">
        <f t="shared" ca="1" si="57"/>
        <v>-169983.08301143546</v>
      </c>
      <c r="Y58" s="6">
        <f t="shared" ca="1" si="58"/>
        <v>48342.014387016992</v>
      </c>
      <c r="Z58" s="6">
        <f t="shared" ca="1" si="59"/>
        <v>-218325.09739845237</v>
      </c>
      <c r="AA58" s="7">
        <f t="shared" ca="1" si="60"/>
        <v>0.75053875190703256</v>
      </c>
      <c r="AB58" s="7">
        <f t="shared" ca="1" si="61"/>
        <v>0.80577499999766966</v>
      </c>
      <c r="AC58" s="8">
        <f t="shared" ca="1" si="62"/>
        <v>-1.9455252918287938E-2</v>
      </c>
      <c r="AD58" s="8">
        <f t="shared" ca="1" si="63"/>
        <v>-8.0393060990828949E-2</v>
      </c>
      <c r="AE58" s="8">
        <f t="shared" ca="1" si="64"/>
        <v>-0.30964157978844836</v>
      </c>
      <c r="AF58" s="8">
        <f t="shared" ca="1" si="65"/>
        <v>-0.11569375943340721</v>
      </c>
    </row>
    <row r="59" spans="3:32" x14ac:dyDescent="0.25">
      <c r="C59" s="23" t="s">
        <v>223</v>
      </c>
      <c r="D59" s="6">
        <f t="shared" si="41"/>
        <v>0</v>
      </c>
      <c r="E59" s="10" t="str">
        <f t="shared" si="42"/>
        <v>-</v>
      </c>
      <c r="F59" s="6">
        <f t="shared" si="66"/>
        <v>0</v>
      </c>
      <c r="G59" s="6">
        <f t="shared" si="66"/>
        <v>0</v>
      </c>
      <c r="H59" s="10" t="str">
        <f t="shared" si="44"/>
        <v>-</v>
      </c>
      <c r="I59" s="6">
        <f t="shared" si="67"/>
        <v>0</v>
      </c>
      <c r="J59" s="6">
        <f t="shared" si="67"/>
        <v>0</v>
      </c>
      <c r="K59" s="10" t="str">
        <f t="shared" si="46"/>
        <v>-</v>
      </c>
      <c r="L59" s="6">
        <f t="shared" si="68"/>
        <v>0</v>
      </c>
      <c r="M59" s="6">
        <f t="shared" si="68"/>
        <v>0</v>
      </c>
      <c r="N59" s="10" t="str">
        <f t="shared" si="48"/>
        <v>-</v>
      </c>
      <c r="O59" s="6">
        <f t="shared" si="49"/>
        <v>0</v>
      </c>
      <c r="P59" s="6">
        <f t="shared" si="51"/>
        <v>0</v>
      </c>
      <c r="Q59" s="10" t="str">
        <f t="shared" si="50"/>
        <v>-</v>
      </c>
      <c r="R59" s="6">
        <f t="shared" si="52"/>
        <v>0</v>
      </c>
      <c r="S59" s="6">
        <f t="shared" si="53"/>
        <v>0</v>
      </c>
      <c r="T59" s="10" t="str">
        <f t="shared" si="54"/>
        <v>-</v>
      </c>
      <c r="U59" s="6">
        <f t="shared" si="53"/>
        <v>0</v>
      </c>
      <c r="V59" s="6">
        <f t="shared" si="55"/>
        <v>0</v>
      </c>
      <c r="W59" s="6">
        <f t="shared" si="56"/>
        <v>0</v>
      </c>
      <c r="X59" s="6">
        <f t="shared" si="57"/>
        <v>0</v>
      </c>
      <c r="Y59" s="6" t="str">
        <f t="shared" si="58"/>
        <v>-</v>
      </c>
      <c r="Z59" s="6" t="str">
        <f t="shared" si="59"/>
        <v>-</v>
      </c>
      <c r="AA59" s="7" t="str">
        <f t="shared" si="60"/>
        <v>-</v>
      </c>
      <c r="AB59" s="7" t="str">
        <f t="shared" si="61"/>
        <v>-</v>
      </c>
      <c r="AC59" s="8" t="str">
        <f t="shared" si="62"/>
        <v>-</v>
      </c>
      <c r="AD59" s="8" t="str">
        <f t="shared" si="63"/>
        <v>-</v>
      </c>
      <c r="AE59" s="8" t="str">
        <f t="shared" si="64"/>
        <v>-</v>
      </c>
      <c r="AF59" s="8" t="str">
        <f t="shared" si="65"/>
        <v>-</v>
      </c>
    </row>
    <row r="60" spans="3:32" x14ac:dyDescent="0.25">
      <c r="C60" s="23" t="s">
        <v>309</v>
      </c>
      <c r="D60" s="6">
        <f t="shared" ca="1" si="41"/>
        <v>0</v>
      </c>
      <c r="E60" s="10" t="str">
        <f t="shared" ca="1" si="42"/>
        <v>-</v>
      </c>
      <c r="F60" s="6">
        <f t="shared" ca="1" si="66"/>
        <v>0</v>
      </c>
      <c r="G60" s="6">
        <f t="shared" ca="1" si="66"/>
        <v>0</v>
      </c>
      <c r="H60" s="10" t="str">
        <f t="shared" ca="1" si="44"/>
        <v>-</v>
      </c>
      <c r="I60" s="6">
        <f t="shared" ca="1" si="67"/>
        <v>0</v>
      </c>
      <c r="J60" s="6">
        <f t="shared" ca="1" si="67"/>
        <v>20</v>
      </c>
      <c r="K60" s="10">
        <f t="shared" ca="1" si="46"/>
        <v>8.25</v>
      </c>
      <c r="L60" s="6">
        <f t="shared" ca="1" si="68"/>
        <v>165</v>
      </c>
      <c r="M60" s="6">
        <f t="shared" ca="1" si="68"/>
        <v>4.447382181818182</v>
      </c>
      <c r="N60" s="10">
        <f t="shared" ca="1" si="48"/>
        <v>2875.3614097478076</v>
      </c>
      <c r="O60" s="6">
        <f t="shared" ca="1" si="49"/>
        <v>12787.831100000009</v>
      </c>
      <c r="P60" s="6">
        <f t="shared" ca="1" si="51"/>
        <v>41.81818181818182</v>
      </c>
      <c r="Q60" s="10">
        <f t="shared" ca="1" si="50"/>
        <v>8.25</v>
      </c>
      <c r="R60" s="6">
        <f t="shared" ca="1" si="52"/>
        <v>345</v>
      </c>
      <c r="S60" s="6">
        <f t="shared" ca="1" si="53"/>
        <v>9.2990718347107446</v>
      </c>
      <c r="T60" s="10">
        <f t="shared" ca="1" si="54"/>
        <v>2875.3614097478076</v>
      </c>
      <c r="U60" s="6">
        <f t="shared" ca="1" si="53"/>
        <v>26738.192300000017</v>
      </c>
      <c r="V60" s="6">
        <f t="shared" ca="1" si="55"/>
        <v>15.552617818181819</v>
      </c>
      <c r="W60" s="6">
        <f t="shared" ca="1" si="56"/>
        <v>-2867.1114097478076</v>
      </c>
      <c r="X60" s="6">
        <f t="shared" ca="1" si="57"/>
        <v>-12622.831100000009</v>
      </c>
      <c r="Y60" s="6">
        <f t="shared" ca="1" si="58"/>
        <v>-57342.228194956151</v>
      </c>
      <c r="Z60" s="6">
        <f t="shared" ca="1" si="59"/>
        <v>44719.397094956148</v>
      </c>
      <c r="AA60" s="7">
        <f t="shared" ca="1" si="60"/>
        <v>4.4970275057007996</v>
      </c>
      <c r="AB60" s="7">
        <f t="shared" ca="1" si="61"/>
        <v>1.290289171867463E-2</v>
      </c>
      <c r="AC60" s="8" t="str">
        <f t="shared" ca="1" si="62"/>
        <v>-</v>
      </c>
      <c r="AD60" s="8" t="str">
        <f t="shared" ca="1" si="63"/>
        <v>-</v>
      </c>
      <c r="AE60" s="8" t="str">
        <f t="shared" ca="1" si="64"/>
        <v>-</v>
      </c>
      <c r="AF60" s="8" t="str">
        <f t="shared" ca="1" si="65"/>
        <v>-</v>
      </c>
    </row>
    <row r="61" spans="3:32" x14ac:dyDescent="0.25">
      <c r="C61" s="23" t="s">
        <v>279</v>
      </c>
      <c r="D61" s="6">
        <f t="shared" si="41"/>
        <v>0</v>
      </c>
      <c r="E61" s="10" t="str">
        <f t="shared" si="42"/>
        <v>-</v>
      </c>
      <c r="F61" s="6">
        <f t="shared" si="66"/>
        <v>0</v>
      </c>
      <c r="G61" s="6">
        <f t="shared" si="66"/>
        <v>0</v>
      </c>
      <c r="H61" s="10" t="str">
        <f t="shared" si="44"/>
        <v>-</v>
      </c>
      <c r="I61" s="6">
        <f t="shared" si="67"/>
        <v>0</v>
      </c>
      <c r="J61" s="6">
        <f t="shared" si="67"/>
        <v>0</v>
      </c>
      <c r="K61" s="10" t="str">
        <f t="shared" si="46"/>
        <v>-</v>
      </c>
      <c r="L61" s="6">
        <f t="shared" si="68"/>
        <v>0</v>
      </c>
      <c r="M61" s="6">
        <f t="shared" si="68"/>
        <v>0</v>
      </c>
      <c r="N61" s="10" t="str">
        <f t="shared" si="48"/>
        <v>-</v>
      </c>
      <c r="O61" s="6">
        <f t="shared" si="49"/>
        <v>0</v>
      </c>
      <c r="P61" s="6">
        <f t="shared" si="51"/>
        <v>0</v>
      </c>
      <c r="Q61" s="10" t="str">
        <f t="shared" si="50"/>
        <v>-</v>
      </c>
      <c r="R61" s="6">
        <f t="shared" si="52"/>
        <v>0</v>
      </c>
      <c r="S61" s="6">
        <f t="shared" si="53"/>
        <v>0</v>
      </c>
      <c r="T61" s="10" t="str">
        <f t="shared" si="54"/>
        <v>-</v>
      </c>
      <c r="U61" s="6">
        <f t="shared" si="53"/>
        <v>0</v>
      </c>
      <c r="V61" s="6">
        <f t="shared" si="55"/>
        <v>0</v>
      </c>
      <c r="W61" s="6">
        <f t="shared" si="56"/>
        <v>0</v>
      </c>
      <c r="X61" s="6">
        <f t="shared" si="57"/>
        <v>0</v>
      </c>
      <c r="Y61" s="6" t="str">
        <f t="shared" si="58"/>
        <v>-</v>
      </c>
      <c r="Z61" s="6" t="str">
        <f t="shared" si="59"/>
        <v>-</v>
      </c>
      <c r="AA61" s="7" t="str">
        <f t="shared" si="60"/>
        <v>-</v>
      </c>
      <c r="AB61" s="7" t="str">
        <f t="shared" si="61"/>
        <v>-</v>
      </c>
      <c r="AC61" s="8" t="str">
        <f t="shared" si="62"/>
        <v>-</v>
      </c>
      <c r="AD61" s="8" t="str">
        <f t="shared" si="63"/>
        <v>-</v>
      </c>
      <c r="AE61" s="8" t="str">
        <f t="shared" si="64"/>
        <v>-</v>
      </c>
      <c r="AF61" s="8" t="str">
        <f t="shared" si="65"/>
        <v>-</v>
      </c>
    </row>
    <row r="62" spans="3:32" x14ac:dyDescent="0.25">
      <c r="C62" s="23" t="s">
        <v>43</v>
      </c>
      <c r="D62" s="6">
        <f t="shared" ca="1" si="41"/>
        <v>0</v>
      </c>
      <c r="E62" s="10" t="str">
        <f t="shared" ca="1" si="42"/>
        <v>-</v>
      </c>
      <c r="F62" s="6">
        <f t="shared" ca="1" si="66"/>
        <v>0</v>
      </c>
      <c r="G62" s="6">
        <f t="shared" ca="1" si="66"/>
        <v>0</v>
      </c>
      <c r="H62" s="10" t="str">
        <f t="shared" ca="1" si="44"/>
        <v>-</v>
      </c>
      <c r="I62" s="6">
        <f t="shared" ca="1" si="67"/>
        <v>0</v>
      </c>
      <c r="J62" s="6">
        <f t="shared" ca="1" si="67"/>
        <v>38</v>
      </c>
      <c r="K62" s="10">
        <f t="shared" ca="1" si="46"/>
        <v>620.03894736842108</v>
      </c>
      <c r="L62" s="6">
        <f t="shared" ca="1" si="68"/>
        <v>23561.48</v>
      </c>
      <c r="M62" s="6">
        <f t="shared" ca="1" si="68"/>
        <v>48.888888888888893</v>
      </c>
      <c r="N62" s="10">
        <f t="shared" ca="1" si="48"/>
        <v>763.09124999999995</v>
      </c>
      <c r="O62" s="6">
        <f t="shared" ca="1" si="49"/>
        <v>37306.683333333334</v>
      </c>
      <c r="P62" s="6">
        <f t="shared" ca="1" si="51"/>
        <v>79.454545454545453</v>
      </c>
      <c r="Q62" s="10">
        <f t="shared" ca="1" si="50"/>
        <v>620.03894736842108</v>
      </c>
      <c r="R62" s="6">
        <f t="shared" ca="1" si="52"/>
        <v>49264.912727272727</v>
      </c>
      <c r="S62" s="6">
        <f t="shared" ca="1" si="53"/>
        <v>102.22222222222223</v>
      </c>
      <c r="T62" s="10">
        <f t="shared" ca="1" si="54"/>
        <v>763.09124999999995</v>
      </c>
      <c r="U62" s="6">
        <f t="shared" ca="1" si="53"/>
        <v>78004.883333333331</v>
      </c>
      <c r="V62" s="6">
        <f t="shared" ca="1" si="55"/>
        <v>-10.888888888888893</v>
      </c>
      <c r="W62" s="6">
        <f t="shared" ca="1" si="56"/>
        <v>-143.05230263157887</v>
      </c>
      <c r="X62" s="6">
        <f t="shared" ca="1" si="57"/>
        <v>-13745.203333333335</v>
      </c>
      <c r="Y62" s="6">
        <f t="shared" ca="1" si="58"/>
        <v>-5435.9874999999975</v>
      </c>
      <c r="Z62" s="6">
        <f t="shared" ca="1" si="59"/>
        <v>-8309.2158333333355</v>
      </c>
      <c r="AA62" s="7">
        <f t="shared" ca="1" si="60"/>
        <v>0.77727272727272723</v>
      </c>
      <c r="AB62" s="7">
        <f t="shared" ca="1" si="61"/>
        <v>0.63156190512781218</v>
      </c>
      <c r="AC62" s="8" t="str">
        <f t="shared" ca="1" si="62"/>
        <v>-</v>
      </c>
      <c r="AD62" s="8" t="str">
        <f t="shared" ca="1" si="63"/>
        <v>-</v>
      </c>
      <c r="AE62" s="8" t="str">
        <f t="shared" ca="1" si="64"/>
        <v>-</v>
      </c>
      <c r="AF62" s="8" t="str">
        <f t="shared" ca="1" si="65"/>
        <v>-</v>
      </c>
    </row>
    <row r="63" spans="3:32" x14ac:dyDescent="0.25">
      <c r="C63" s="23" t="s">
        <v>44</v>
      </c>
      <c r="D63" s="6">
        <f t="shared" ca="1" si="41"/>
        <v>325.13043478260869</v>
      </c>
      <c r="E63" s="10">
        <f t="shared" ca="1" si="42"/>
        <v>778.34879112062049</v>
      </c>
      <c r="F63" s="6">
        <f t="shared" ca="1" si="66"/>
        <v>253064.88086956521</v>
      </c>
      <c r="G63" s="6">
        <f t="shared" ca="1" si="66"/>
        <v>409.9227053140097</v>
      </c>
      <c r="H63" s="10">
        <f t="shared" ca="1" si="44"/>
        <v>802.09880465269862</v>
      </c>
      <c r="I63" s="6">
        <f t="shared" ca="1" si="67"/>
        <v>328798.51193236763</v>
      </c>
      <c r="J63" s="6">
        <f t="shared" ca="1" si="67"/>
        <v>413</v>
      </c>
      <c r="K63" s="10">
        <f t="shared" ca="1" si="46"/>
        <v>691.4130266343825</v>
      </c>
      <c r="L63" s="6">
        <f t="shared" ca="1" si="68"/>
        <v>285553.57999999996</v>
      </c>
      <c r="M63" s="6">
        <f t="shared" ca="1" si="68"/>
        <v>452.20289855072468</v>
      </c>
      <c r="N63" s="10">
        <f t="shared" ca="1" si="48"/>
        <v>757.30353558237937</v>
      </c>
      <c r="O63" s="6">
        <f t="shared" ca="1" si="49"/>
        <v>342454.85387306381</v>
      </c>
      <c r="P63" s="6">
        <f t="shared" ca="1" si="51"/>
        <v>863.5454545454545</v>
      </c>
      <c r="Q63" s="10">
        <f t="shared" ca="1" si="50"/>
        <v>691.4130266343825</v>
      </c>
      <c r="R63" s="6">
        <f t="shared" ca="1" si="52"/>
        <v>597066.5763636363</v>
      </c>
      <c r="S63" s="6">
        <f t="shared" ca="1" si="53"/>
        <v>945.51515151515162</v>
      </c>
      <c r="T63" s="10">
        <f t="shared" ca="1" si="54"/>
        <v>757.30353558237937</v>
      </c>
      <c r="U63" s="6">
        <f t="shared" ca="1" si="53"/>
        <v>716041.9671891334</v>
      </c>
      <c r="V63" s="6">
        <f t="shared" ca="1" si="55"/>
        <v>-39.202898550724683</v>
      </c>
      <c r="W63" s="6">
        <f t="shared" ca="1" si="56"/>
        <v>-65.890508947996864</v>
      </c>
      <c r="X63" s="6">
        <f t="shared" ca="1" si="57"/>
        <v>-56901.273873063852</v>
      </c>
      <c r="Y63" s="6">
        <f t="shared" ca="1" si="58"/>
        <v>-27212.780195522704</v>
      </c>
      <c r="Z63" s="6">
        <f t="shared" ca="1" si="59"/>
        <v>-29688.493677541137</v>
      </c>
      <c r="AA63" s="7">
        <f t="shared" ca="1" si="60"/>
        <v>0.91330683930517265</v>
      </c>
      <c r="AB63" s="7">
        <f t="shared" ca="1" si="61"/>
        <v>0.83384299206296197</v>
      </c>
      <c r="AC63" s="8">
        <f t="shared" ca="1" si="62"/>
        <v>0.2702594276544531</v>
      </c>
      <c r="AD63" s="8">
        <f t="shared" ca="1" si="63"/>
        <v>0.12838090776878711</v>
      </c>
      <c r="AE63" s="8">
        <f t="shared" ca="1" si="64"/>
        <v>7.5070120442170219E-3</v>
      </c>
      <c r="AF63" s="8">
        <f t="shared" ca="1" si="65"/>
        <v>-0.13152411085504839</v>
      </c>
    </row>
    <row r="64" spans="3:32" x14ac:dyDescent="0.25">
      <c r="C64" s="23" t="s">
        <v>45</v>
      </c>
      <c r="D64" s="6">
        <f t="shared" ca="1" si="41"/>
        <v>38.739130434782609</v>
      </c>
      <c r="E64" s="10">
        <f t="shared" ca="1" si="42"/>
        <v>567.47814814814808</v>
      </c>
      <c r="F64" s="6">
        <f t="shared" ca="1" si="66"/>
        <v>21983.609999999997</v>
      </c>
      <c r="G64" s="6">
        <f t="shared" ca="1" si="66"/>
        <v>42.565217391304351</v>
      </c>
      <c r="H64" s="10">
        <f t="shared" ca="1" si="44"/>
        <v>890.35842696629209</v>
      </c>
      <c r="I64" s="6">
        <f t="shared" ca="1" si="67"/>
        <v>37898.300000000003</v>
      </c>
      <c r="J64" s="6">
        <f t="shared" ca="1" si="67"/>
        <v>55</v>
      </c>
      <c r="K64" s="10">
        <f t="shared" ca="1" si="46"/>
        <v>752.68854545454542</v>
      </c>
      <c r="L64" s="6">
        <f t="shared" ca="1" si="68"/>
        <v>41397.869999999995</v>
      </c>
      <c r="M64" s="6">
        <f t="shared" ca="1" si="68"/>
        <v>124.26095495429209</v>
      </c>
      <c r="N64" s="10">
        <f t="shared" ca="1" si="48"/>
        <v>742.9891291093885</v>
      </c>
      <c r="O64" s="6">
        <f t="shared" ca="1" si="49"/>
        <v>92324.538703790429</v>
      </c>
      <c r="P64" s="6">
        <f t="shared" ca="1" si="51"/>
        <v>115</v>
      </c>
      <c r="Q64" s="10">
        <f t="shared" ca="1" si="50"/>
        <v>752.68854545454531</v>
      </c>
      <c r="R64" s="6">
        <f t="shared" ca="1" si="52"/>
        <v>86559.18272727271</v>
      </c>
      <c r="S64" s="6">
        <f t="shared" ca="1" si="53"/>
        <v>259.81836035897436</v>
      </c>
      <c r="T64" s="10">
        <f t="shared" ca="1" si="54"/>
        <v>742.9891291093885</v>
      </c>
      <c r="U64" s="6">
        <f t="shared" ca="1" si="53"/>
        <v>193042.21728974362</v>
      </c>
      <c r="V64" s="6">
        <f t="shared" ca="1" si="55"/>
        <v>-69.260954954292089</v>
      </c>
      <c r="W64" s="6">
        <f t="shared" ca="1" si="56"/>
        <v>9.6994163451569193</v>
      </c>
      <c r="X64" s="6">
        <f t="shared" ca="1" si="57"/>
        <v>-50926.668703790434</v>
      </c>
      <c r="Y64" s="6">
        <f t="shared" ca="1" si="58"/>
        <v>533.46789898363056</v>
      </c>
      <c r="Z64" s="6">
        <f t="shared" ca="1" si="59"/>
        <v>-51460.136602774066</v>
      </c>
      <c r="AA64" s="7">
        <f t="shared" ca="1" si="60"/>
        <v>0.44261691067987602</v>
      </c>
      <c r="AB64" s="7">
        <f t="shared" ca="1" si="61"/>
        <v>0.44839509171899483</v>
      </c>
      <c r="AC64" s="8">
        <f t="shared" ca="1" si="62"/>
        <v>0.41975308641975306</v>
      </c>
      <c r="AD64" s="8">
        <f t="shared" ca="1" si="63"/>
        <v>0.88312429123333247</v>
      </c>
      <c r="AE64" s="8">
        <f t="shared" ca="1" si="64"/>
        <v>0.29213483146067404</v>
      </c>
      <c r="AF64" s="8">
        <f t="shared" ca="1" si="65"/>
        <v>9.2341081262220001E-2</v>
      </c>
    </row>
    <row r="65" spans="3:32" x14ac:dyDescent="0.25">
      <c r="C65" s="23" t="s">
        <v>46</v>
      </c>
      <c r="D65" s="6">
        <f t="shared" ca="1" si="41"/>
        <v>688.3478260869565</v>
      </c>
      <c r="E65" s="10">
        <f t="shared" ca="1" si="42"/>
        <v>480.10131379484585</v>
      </c>
      <c r="F65" s="6">
        <f t="shared" ca="1" si="66"/>
        <v>330476.69565217389</v>
      </c>
      <c r="G65" s="6">
        <f t="shared" ca="1" si="66"/>
        <v>846.81642512077303</v>
      </c>
      <c r="H65" s="10">
        <f t="shared" ca="1" si="44"/>
        <v>432.27935975035786</v>
      </c>
      <c r="I65" s="6">
        <f t="shared" ca="1" si="67"/>
        <v>366061.26207729464</v>
      </c>
      <c r="J65" s="6">
        <f t="shared" ca="1" si="67"/>
        <v>877</v>
      </c>
      <c r="K65" s="10">
        <f t="shared" ca="1" si="46"/>
        <v>454.77425313568983</v>
      </c>
      <c r="L65" s="6">
        <f t="shared" ca="1" si="68"/>
        <v>398837.01999999996</v>
      </c>
      <c r="M65" s="6">
        <f t="shared" ca="1" si="68"/>
        <v>1060.0378983386154</v>
      </c>
      <c r="N65" s="10">
        <f t="shared" ca="1" si="48"/>
        <v>528.39153122325183</v>
      </c>
      <c r="O65" s="6">
        <f t="shared" ca="1" si="49"/>
        <v>560115.04825781868</v>
      </c>
      <c r="P65" s="6">
        <f t="shared" ca="1" si="51"/>
        <v>1833.7272727272727</v>
      </c>
      <c r="Q65" s="10">
        <f t="shared" ca="1" si="50"/>
        <v>454.77425313568978</v>
      </c>
      <c r="R65" s="6">
        <f t="shared" ca="1" si="52"/>
        <v>833931.95090909081</v>
      </c>
      <c r="S65" s="6">
        <f t="shared" ca="1" si="53"/>
        <v>2216.4428783443777</v>
      </c>
      <c r="T65" s="10">
        <f t="shared" ca="1" si="54"/>
        <v>528.39153122325172</v>
      </c>
      <c r="U65" s="6">
        <f t="shared" ca="1" si="53"/>
        <v>1171149.6463572572</v>
      </c>
      <c r="V65" s="6">
        <f t="shared" ca="1" si="55"/>
        <v>-183.03789833861538</v>
      </c>
      <c r="W65" s="6">
        <f t="shared" ca="1" si="56"/>
        <v>-73.617278087561999</v>
      </c>
      <c r="X65" s="6">
        <f t="shared" ca="1" si="57"/>
        <v>-161278.02825781872</v>
      </c>
      <c r="Y65" s="6">
        <f t="shared" ca="1" si="58"/>
        <v>-64562.352882791871</v>
      </c>
      <c r="Z65" s="6">
        <f t="shared" ca="1" si="59"/>
        <v>-96715.675375026884</v>
      </c>
      <c r="AA65" s="7">
        <f t="shared" ca="1" si="60"/>
        <v>0.82732891095168537</v>
      </c>
      <c r="AB65" s="7">
        <f t="shared" ca="1" si="61"/>
        <v>0.71206267576731286</v>
      </c>
      <c r="AC65" s="8">
        <f t="shared" ca="1" si="62"/>
        <v>0.27406518443658417</v>
      </c>
      <c r="AD65" s="8">
        <f t="shared" ca="1" si="63"/>
        <v>0.20685369118969643</v>
      </c>
      <c r="AE65" s="8">
        <f t="shared" ca="1" si="64"/>
        <v>3.5643586949700677E-2</v>
      </c>
      <c r="AF65" s="8">
        <f t="shared" ca="1" si="65"/>
        <v>8.9536264331036064E-2</v>
      </c>
    </row>
    <row r="66" spans="3:32" x14ac:dyDescent="0.25">
      <c r="C66" s="23" t="s">
        <v>307</v>
      </c>
      <c r="D66" s="6">
        <f t="shared" ref="D66:D90" ca="1" si="69">IF($C$93="KSA",SUMIFS(D$96:D$390,$B$96:$B$390,$C66),SUMIFS(D$96:D$390,$B$96:$B$390,$C66,$AA$96:$AA$390,$C$93))</f>
        <v>0</v>
      </c>
      <c r="E66" s="10" t="str">
        <f t="shared" ca="1" si="42"/>
        <v>-</v>
      </c>
      <c r="F66" s="6">
        <f t="shared" ca="1" si="66"/>
        <v>0</v>
      </c>
      <c r="G66" s="6">
        <f t="shared" ca="1" si="66"/>
        <v>0</v>
      </c>
      <c r="H66" s="10" t="str">
        <f t="shared" ca="1" si="44"/>
        <v>-</v>
      </c>
      <c r="I66" s="6">
        <f t="shared" ca="1" si="67"/>
        <v>0</v>
      </c>
      <c r="J66" s="6">
        <f t="shared" ca="1" si="67"/>
        <v>45</v>
      </c>
      <c r="K66" s="10">
        <f t="shared" ca="1" si="46"/>
        <v>520.66666666666663</v>
      </c>
      <c r="L66" s="6">
        <f t="shared" ca="1" si="68"/>
        <v>23430</v>
      </c>
      <c r="M66" s="6">
        <f t="shared" ca="1" si="68"/>
        <v>9.2399565217391384</v>
      </c>
      <c r="N66" s="10">
        <f t="shared" ca="1" si="48"/>
        <v>1650.007764011687</v>
      </c>
      <c r="O66" s="6">
        <f t="shared" ref="O66:O90" ca="1" si="70">IF($C$93="KSA",SUMIFS(O$96:O$390,$B$96:$B$390,$C66),SUMIFS(O$96:O$390,$B$96:$B$390,$C66,$AA$96:$AA$390,$C$93))</f>
        <v>15246</v>
      </c>
      <c r="P66" s="6">
        <f t="shared" ca="1" si="51"/>
        <v>94.090909090909093</v>
      </c>
      <c r="Q66" s="10">
        <f t="shared" ca="1" si="50"/>
        <v>520.66666666666663</v>
      </c>
      <c r="R66" s="6">
        <f t="shared" ca="1" si="52"/>
        <v>48990</v>
      </c>
      <c r="S66" s="6">
        <f t="shared" ca="1" si="53"/>
        <v>19.319909090909107</v>
      </c>
      <c r="T66" s="10">
        <f t="shared" ca="1" si="54"/>
        <v>1650.007764011687</v>
      </c>
      <c r="U66" s="6">
        <f t="shared" ca="1" si="53"/>
        <v>31878</v>
      </c>
      <c r="V66" s="6">
        <f t="shared" ca="1" si="55"/>
        <v>35.760043478260862</v>
      </c>
      <c r="W66" s="6">
        <f t="shared" ca="1" si="56"/>
        <v>-1129.3410973450204</v>
      </c>
      <c r="X66" s="6">
        <f t="shared" ca="1" si="57"/>
        <v>8184</v>
      </c>
      <c r="Y66" s="6">
        <f t="shared" ca="1" si="58"/>
        <v>-50820.34938052592</v>
      </c>
      <c r="Z66" s="6">
        <f t="shared" ca="1" si="59"/>
        <v>59004.349380525913</v>
      </c>
      <c r="AA66" s="7">
        <f t="shared" ca="1" si="60"/>
        <v>4.8701527863390996</v>
      </c>
      <c r="AB66" s="7">
        <f t="shared" ca="1" si="61"/>
        <v>1.5367965367965368</v>
      </c>
      <c r="AC66" s="8" t="str">
        <f t="shared" ca="1" si="62"/>
        <v>-</v>
      </c>
      <c r="AD66" s="8" t="str">
        <f t="shared" ca="1" si="63"/>
        <v>-</v>
      </c>
      <c r="AE66" s="8" t="str">
        <f t="shared" ca="1" si="64"/>
        <v>-</v>
      </c>
      <c r="AF66" s="8" t="str">
        <f t="shared" ca="1" si="65"/>
        <v>-</v>
      </c>
    </row>
    <row r="67" spans="3:32" x14ac:dyDescent="0.25">
      <c r="C67" s="23" t="s">
        <v>47</v>
      </c>
      <c r="D67" s="6">
        <f t="shared" ca="1" si="69"/>
        <v>184.34782608695653</v>
      </c>
      <c r="E67" s="10">
        <f t="shared" ca="1" si="42"/>
        <v>318.99817924528298</v>
      </c>
      <c r="F67" s="6">
        <f t="shared" ca="1" si="66"/>
        <v>58806.620869565217</v>
      </c>
      <c r="G67" s="6">
        <f t="shared" ca="1" si="66"/>
        <v>190.13043478260869</v>
      </c>
      <c r="H67" s="10">
        <f t="shared" ca="1" si="44"/>
        <v>317.70194298345899</v>
      </c>
      <c r="I67" s="6">
        <f t="shared" ca="1" si="67"/>
        <v>60404.808550724614</v>
      </c>
      <c r="J67" s="6">
        <f t="shared" ca="1" si="67"/>
        <v>203</v>
      </c>
      <c r="K67" s="10">
        <f t="shared" ca="1" si="46"/>
        <v>241.47413793103448</v>
      </c>
      <c r="L67" s="6">
        <f t="shared" ca="1" si="68"/>
        <v>49019.25</v>
      </c>
      <c r="M67" s="6">
        <f t="shared" ca="1" si="68"/>
        <v>188.71400966183575</v>
      </c>
      <c r="N67" s="10">
        <f t="shared" ca="1" si="48"/>
        <v>332.39143256155927</v>
      </c>
      <c r="O67" s="6">
        <f t="shared" ca="1" si="70"/>
        <v>62726.920015933516</v>
      </c>
      <c r="P67" s="6">
        <f t="shared" ca="1" si="51"/>
        <v>424.45454545454544</v>
      </c>
      <c r="Q67" s="10">
        <f t="shared" ca="1" si="50"/>
        <v>241.47413793103451</v>
      </c>
      <c r="R67" s="6">
        <f t="shared" ca="1" si="52"/>
        <v>102494.79545454546</v>
      </c>
      <c r="S67" s="6">
        <f t="shared" ca="1" si="53"/>
        <v>394.58383838383838</v>
      </c>
      <c r="T67" s="10">
        <f t="shared" ca="1" si="54"/>
        <v>332.39143256155921</v>
      </c>
      <c r="U67" s="6">
        <f t="shared" ca="1" si="53"/>
        <v>131156.2873060428</v>
      </c>
      <c r="V67" s="6">
        <f t="shared" ca="1" si="55"/>
        <v>14.285990338164254</v>
      </c>
      <c r="W67" s="6">
        <f t="shared" ca="1" si="56"/>
        <v>-90.917294630524793</v>
      </c>
      <c r="X67" s="6">
        <f t="shared" ca="1" si="57"/>
        <v>-13707.670015933516</v>
      </c>
      <c r="Y67" s="6">
        <f t="shared" ca="1" si="58"/>
        <v>-18456.210809996533</v>
      </c>
      <c r="Z67" s="6">
        <f t="shared" ca="1" si="59"/>
        <v>4748.5407940630112</v>
      </c>
      <c r="AA67" s="7">
        <f t="shared" ca="1" si="60"/>
        <v>1.0757018006440746</v>
      </c>
      <c r="AB67" s="7">
        <f t="shared" ca="1" si="61"/>
        <v>0.78147069850629403</v>
      </c>
      <c r="AC67" s="8">
        <f t="shared" ca="1" si="62"/>
        <v>0.10117924528301882</v>
      </c>
      <c r="AD67" s="8">
        <f t="shared" ca="1" si="63"/>
        <v>-0.16643314519421015</v>
      </c>
      <c r="AE67" s="8">
        <f t="shared" ca="1" si="64"/>
        <v>6.7688085982163318E-2</v>
      </c>
      <c r="AF67" s="8">
        <f t="shared" ca="1" si="65"/>
        <v>-0.18848761917958323</v>
      </c>
    </row>
    <row r="68" spans="3:32" x14ac:dyDescent="0.25">
      <c r="C68" s="23" t="s">
        <v>147</v>
      </c>
      <c r="D68" s="6">
        <f t="shared" ca="1" si="69"/>
        <v>286.08695652173913</v>
      </c>
      <c r="E68" s="10">
        <f t="shared" ca="1" si="42"/>
        <v>578.71894224924017</v>
      </c>
      <c r="F68" s="6">
        <f t="shared" ca="1" si="66"/>
        <v>165563.94086956524</v>
      </c>
      <c r="G68" s="6">
        <f t="shared" ca="1" si="66"/>
        <v>439.3478260869565</v>
      </c>
      <c r="H68" s="10">
        <f t="shared" ca="1" si="44"/>
        <v>849.18461553686279</v>
      </c>
      <c r="I68" s="6">
        <f t="shared" ca="1" si="67"/>
        <v>373087.41478260863</v>
      </c>
      <c r="J68" s="6">
        <f t="shared" ca="1" si="67"/>
        <v>366</v>
      </c>
      <c r="K68" s="10">
        <f t="shared" ca="1" si="46"/>
        <v>580.16450819672127</v>
      </c>
      <c r="L68" s="6">
        <f t="shared" ca="1" si="68"/>
        <v>212340.21</v>
      </c>
      <c r="M68" s="6">
        <f t="shared" ca="1" si="68"/>
        <v>653.44717391304346</v>
      </c>
      <c r="N68" s="10">
        <f t="shared" ca="1" si="48"/>
        <v>856.00552285840615</v>
      </c>
      <c r="O68" s="6">
        <f t="shared" ca="1" si="70"/>
        <v>559354.38976578263</v>
      </c>
      <c r="P68" s="6">
        <f t="shared" ca="1" si="51"/>
        <v>765.27272727272725</v>
      </c>
      <c r="Q68" s="10">
        <f t="shared" ca="1" si="50"/>
        <v>580.16450819672127</v>
      </c>
      <c r="R68" s="6">
        <f t="shared" ca="1" si="52"/>
        <v>443984.07545454544</v>
      </c>
      <c r="S68" s="6">
        <f t="shared" ca="1" si="53"/>
        <v>1366.2986363636362</v>
      </c>
      <c r="T68" s="10">
        <f t="shared" ca="1" si="54"/>
        <v>856.00552285840627</v>
      </c>
      <c r="U68" s="6">
        <f t="shared" ca="1" si="53"/>
        <v>1169559.1786011818</v>
      </c>
      <c r="V68" s="6">
        <f t="shared" ca="1" si="55"/>
        <v>-287.44717391304346</v>
      </c>
      <c r="W68" s="6">
        <f t="shared" ca="1" si="56"/>
        <v>-275.84101466168488</v>
      </c>
      <c r="X68" s="6">
        <f t="shared" ca="1" si="57"/>
        <v>-347014.17976578267</v>
      </c>
      <c r="Y68" s="6">
        <f t="shared" ca="1" si="58"/>
        <v>-100957.81136617667</v>
      </c>
      <c r="Z68" s="6">
        <f t="shared" ca="1" si="59"/>
        <v>-246056.36839960597</v>
      </c>
      <c r="AA68" s="7">
        <f t="shared" ca="1" si="60"/>
        <v>0.56010648543826269</v>
      </c>
      <c r="AB68" s="7">
        <f t="shared" ca="1" si="61"/>
        <v>0.37961659707169332</v>
      </c>
      <c r="AC68" s="8">
        <f t="shared" ca="1" si="62"/>
        <v>0.27933130699088149</v>
      </c>
      <c r="AD68" s="8">
        <f t="shared" ca="1" si="63"/>
        <v>0.28252691307514893</v>
      </c>
      <c r="AE68" s="8">
        <f t="shared" ca="1" si="64"/>
        <v>-0.16694705591291437</v>
      </c>
      <c r="AF68" s="8">
        <f t="shared" ca="1" si="65"/>
        <v>-0.43085667973086994</v>
      </c>
    </row>
    <row r="69" spans="3:32" x14ac:dyDescent="0.25">
      <c r="C69" s="23" t="s">
        <v>211</v>
      </c>
      <c r="D69" s="6">
        <f t="shared" ca="1" si="69"/>
        <v>122.47826086956522</v>
      </c>
      <c r="E69" s="10">
        <f t="shared" ca="1" si="42"/>
        <v>365.57117500887472</v>
      </c>
      <c r="F69" s="6">
        <f t="shared" ca="1" si="66"/>
        <v>44774.52173913044</v>
      </c>
      <c r="G69" s="6">
        <f t="shared" ca="1" si="66"/>
        <v>110</v>
      </c>
      <c r="H69" s="10">
        <f t="shared" ca="1" si="44"/>
        <v>728.69339130434787</v>
      </c>
      <c r="I69" s="6">
        <f t="shared" ca="1" si="67"/>
        <v>80156.273043478272</v>
      </c>
      <c r="J69" s="6">
        <f t="shared" ca="1" si="67"/>
        <v>169</v>
      </c>
      <c r="K69" s="10">
        <f t="shared" ca="1" si="46"/>
        <v>475.1240236686391</v>
      </c>
      <c r="L69" s="6">
        <f t="shared" ca="1" si="68"/>
        <v>80295.960000000006</v>
      </c>
      <c r="M69" s="6">
        <f t="shared" ca="1" si="68"/>
        <v>265.95434782608692</v>
      </c>
      <c r="N69" s="10">
        <f t="shared" ca="1" si="48"/>
        <v>580.25183196118985</v>
      </c>
      <c r="O69" s="6">
        <f t="shared" ca="1" si="70"/>
        <v>154320.49754413043</v>
      </c>
      <c r="P69" s="6">
        <f t="shared" ca="1" si="51"/>
        <v>353.36363636363637</v>
      </c>
      <c r="Q69" s="10">
        <f t="shared" ca="1" si="50"/>
        <v>475.12402366863904</v>
      </c>
      <c r="R69" s="6">
        <f t="shared" ca="1" si="52"/>
        <v>167891.55272727273</v>
      </c>
      <c r="S69" s="6">
        <f t="shared" ca="1" si="53"/>
        <v>556.08636363636356</v>
      </c>
      <c r="T69" s="10">
        <f t="shared" ca="1" si="54"/>
        <v>580.25183196118985</v>
      </c>
      <c r="U69" s="6">
        <f t="shared" ca="1" si="53"/>
        <v>322670.13122863631</v>
      </c>
      <c r="V69" s="6">
        <f t="shared" ca="1" si="55"/>
        <v>-96.954347826086916</v>
      </c>
      <c r="W69" s="6">
        <f t="shared" ca="1" si="56"/>
        <v>-105.12780829255075</v>
      </c>
      <c r="X69" s="6">
        <f t="shared" ca="1" si="57"/>
        <v>-74024.53754413042</v>
      </c>
      <c r="Y69" s="6">
        <f t="shared" ca="1" si="58"/>
        <v>-17766.599601441078</v>
      </c>
      <c r="Z69" s="6">
        <f t="shared" ca="1" si="59"/>
        <v>-56257.937942689336</v>
      </c>
      <c r="AA69" s="7">
        <f t="shared" ca="1" si="60"/>
        <v>0.63544740434366809</v>
      </c>
      <c r="AB69" s="7">
        <f t="shared" ca="1" si="61"/>
        <v>0.5203194732899179</v>
      </c>
      <c r="AC69" s="8">
        <f t="shared" ca="1" si="62"/>
        <v>0.37983670571529993</v>
      </c>
      <c r="AD69" s="8">
        <f t="shared" ca="1" si="63"/>
        <v>0.79334042846572284</v>
      </c>
      <c r="AE69" s="8">
        <f t="shared" ca="1" si="64"/>
        <v>0.53636363636363638</v>
      </c>
      <c r="AF69" s="8">
        <f t="shared" ca="1" si="65"/>
        <v>1.7426827772539523E-3</v>
      </c>
    </row>
    <row r="70" spans="3:32" x14ac:dyDescent="0.25">
      <c r="C70" s="23" t="s">
        <v>48</v>
      </c>
      <c r="D70" s="6">
        <f t="shared" ca="1" si="69"/>
        <v>433</v>
      </c>
      <c r="E70" s="10">
        <f t="shared" ca="1" si="42"/>
        <v>683.43648960739029</v>
      </c>
      <c r="F70" s="6">
        <f t="shared" ca="1" si="66"/>
        <v>295928</v>
      </c>
      <c r="G70" s="6">
        <f t="shared" ca="1" si="66"/>
        <v>560</v>
      </c>
      <c r="H70" s="10">
        <f t="shared" ca="1" si="44"/>
        <v>700.59350198412699</v>
      </c>
      <c r="I70" s="6">
        <f t="shared" ca="1" si="67"/>
        <v>392332.36111111112</v>
      </c>
      <c r="J70" s="6">
        <f t="shared" ca="1" si="67"/>
        <v>579</v>
      </c>
      <c r="K70" s="10">
        <f t="shared" ca="1" si="46"/>
        <v>721.73058721934353</v>
      </c>
      <c r="L70" s="6">
        <f t="shared" ca="1" si="68"/>
        <v>417882.00999999989</v>
      </c>
      <c r="M70" s="6">
        <f t="shared" ca="1" si="68"/>
        <v>778.94225740299601</v>
      </c>
      <c r="N70" s="10">
        <f t="shared" ca="1" si="48"/>
        <v>699.95567557142442</v>
      </c>
      <c r="O70" s="6">
        <f t="shared" ca="1" si="70"/>
        <v>545225.05401164445</v>
      </c>
      <c r="P70" s="6">
        <f t="shared" ca="1" si="51"/>
        <v>1210.6363636363635</v>
      </c>
      <c r="Q70" s="10">
        <f t="shared" ca="1" si="50"/>
        <v>721.73058721934353</v>
      </c>
      <c r="R70" s="6">
        <f t="shared" ca="1" si="52"/>
        <v>873753.29363636335</v>
      </c>
      <c r="S70" s="6">
        <f t="shared" ca="1" si="53"/>
        <v>1628.6974472971733</v>
      </c>
      <c r="T70" s="10">
        <f t="shared" ca="1" si="54"/>
        <v>699.95567557142442</v>
      </c>
      <c r="U70" s="6">
        <f t="shared" ca="1" si="53"/>
        <v>1140016.0220243474</v>
      </c>
      <c r="V70" s="6">
        <f t="shared" ca="1" si="55"/>
        <v>-199.94225740299601</v>
      </c>
      <c r="W70" s="6">
        <f t="shared" ca="1" si="56"/>
        <v>21.774911647919112</v>
      </c>
      <c r="X70" s="6">
        <f t="shared" ca="1" si="57"/>
        <v>-127343.04401164455</v>
      </c>
      <c r="Y70" s="6">
        <f t="shared" ca="1" si="58"/>
        <v>12607.673844145165</v>
      </c>
      <c r="Z70" s="6">
        <f t="shared" ca="1" si="59"/>
        <v>-139950.7178557897</v>
      </c>
      <c r="AA70" s="7">
        <f t="shared" ca="1" si="60"/>
        <v>0.74331568803365966</v>
      </c>
      <c r="AB70" s="7">
        <f t="shared" ca="1" si="61"/>
        <v>0.76643948572303711</v>
      </c>
      <c r="AC70" s="8">
        <f t="shared" ca="1" si="62"/>
        <v>0.33718244803695152</v>
      </c>
      <c r="AD70" s="8">
        <f t="shared" ca="1" si="63"/>
        <v>0.41210703279175981</v>
      </c>
      <c r="AE70" s="8">
        <f t="shared" ca="1" si="64"/>
        <v>3.3928571428571426E-2</v>
      </c>
      <c r="AF70" s="8">
        <f t="shared" ca="1" si="65"/>
        <v>6.5122461008647048E-2</v>
      </c>
    </row>
    <row r="71" spans="3:32" x14ac:dyDescent="0.25">
      <c r="C71" s="23" t="s">
        <v>49</v>
      </c>
      <c r="D71" s="6">
        <f t="shared" ca="1" si="69"/>
        <v>1561.695652173913</v>
      </c>
      <c r="E71" s="10">
        <f t="shared" ca="1" si="42"/>
        <v>660.03438848520284</v>
      </c>
      <c r="F71" s="6">
        <f t="shared" ca="1" si="66"/>
        <v>1030772.8347826087</v>
      </c>
      <c r="G71" s="6">
        <f t="shared" ca="1" si="66"/>
        <v>2454.5845410628021</v>
      </c>
      <c r="H71" s="10">
        <f t="shared" ca="1" si="44"/>
        <v>593.37443722581622</v>
      </c>
      <c r="I71" s="6">
        <f t="shared" ca="1" si="67"/>
        <v>1456487.7206763288</v>
      </c>
      <c r="J71" s="6">
        <f t="shared" ca="1" si="67"/>
        <v>2227</v>
      </c>
      <c r="K71" s="10">
        <f t="shared" ca="1" si="46"/>
        <v>551.5056623259992</v>
      </c>
      <c r="L71" s="6">
        <f t="shared" ca="1" si="68"/>
        <v>1228203.1100000001</v>
      </c>
      <c r="M71" s="6">
        <f t="shared" ca="1" si="68"/>
        <v>0</v>
      </c>
      <c r="N71" s="10" t="str">
        <f t="shared" ca="1" si="48"/>
        <v>-</v>
      </c>
      <c r="O71" s="6">
        <f t="shared" ca="1" si="70"/>
        <v>0</v>
      </c>
      <c r="P71" s="6">
        <f t="shared" ca="1" si="51"/>
        <v>4656.454545454545</v>
      </c>
      <c r="Q71" s="10">
        <f t="shared" ca="1" si="50"/>
        <v>551.5056623259992</v>
      </c>
      <c r="R71" s="6">
        <f t="shared" ca="1" si="52"/>
        <v>2568061.0481818183</v>
      </c>
      <c r="S71" s="6">
        <f t="shared" ca="1" si="53"/>
        <v>0</v>
      </c>
      <c r="T71" s="10" t="str">
        <f t="shared" ca="1" si="54"/>
        <v>-</v>
      </c>
      <c r="U71" s="6">
        <f t="shared" ca="1" si="53"/>
        <v>0</v>
      </c>
      <c r="V71" s="6">
        <f t="shared" ca="1" si="55"/>
        <v>2227</v>
      </c>
      <c r="W71" s="6">
        <f t="shared" ca="1" si="56"/>
        <v>0</v>
      </c>
      <c r="X71" s="6">
        <f t="shared" ca="1" si="57"/>
        <v>1228203.1100000001</v>
      </c>
      <c r="Y71" s="6" t="str">
        <f t="shared" ca="1" si="58"/>
        <v>-</v>
      </c>
      <c r="Z71" s="6" t="str">
        <f t="shared" ca="1" si="59"/>
        <v>-</v>
      </c>
      <c r="AA71" s="7" t="str">
        <f t="shared" ca="1" si="60"/>
        <v>-</v>
      </c>
      <c r="AB71" s="7" t="str">
        <f t="shared" ca="1" si="61"/>
        <v>-</v>
      </c>
      <c r="AC71" s="8">
        <f t="shared" ca="1" si="62"/>
        <v>0.42601408725187229</v>
      </c>
      <c r="AD71" s="8">
        <f t="shared" ca="1" si="63"/>
        <v>0.19153616447316418</v>
      </c>
      <c r="AE71" s="8">
        <f t="shared" ca="1" si="64"/>
        <v>-9.2718151383883923E-2</v>
      </c>
      <c r="AF71" s="8">
        <f t="shared" ca="1" si="65"/>
        <v>-0.15673637850535624</v>
      </c>
    </row>
    <row r="72" spans="3:32" x14ac:dyDescent="0.25">
      <c r="C72" s="23" t="s">
        <v>304</v>
      </c>
      <c r="D72" s="6">
        <f t="shared" ca="1" si="69"/>
        <v>47.826086956521742</v>
      </c>
      <c r="E72" s="10">
        <f t="shared" ca="1" si="42"/>
        <v>408.97889999999978</v>
      </c>
      <c r="F72" s="6">
        <f t="shared" ca="1" si="66"/>
        <v>19559.8604347826</v>
      </c>
      <c r="G72" s="6">
        <f t="shared" ca="1" si="66"/>
        <v>56.913043478260875</v>
      </c>
      <c r="H72" s="10">
        <f t="shared" ca="1" si="44"/>
        <v>369.69453781512613</v>
      </c>
      <c r="I72" s="6">
        <f t="shared" ca="1" si="67"/>
        <v>21040.441304347831</v>
      </c>
      <c r="J72" s="6">
        <f t="shared" ca="1" si="67"/>
        <v>71</v>
      </c>
      <c r="K72" s="10">
        <f t="shared" ca="1" si="46"/>
        <v>330.74816901408457</v>
      </c>
      <c r="L72" s="6">
        <f t="shared" ca="1" si="68"/>
        <v>23483.120000000003</v>
      </c>
      <c r="M72" s="6">
        <f t="shared" ca="1" si="68"/>
        <v>61.599999999999994</v>
      </c>
      <c r="N72" s="10">
        <f t="shared" ca="1" si="48"/>
        <v>430</v>
      </c>
      <c r="O72" s="6">
        <f t="shared" ca="1" si="70"/>
        <v>26487.999999999996</v>
      </c>
      <c r="P72" s="6">
        <f t="shared" ca="1" si="51"/>
        <v>148.45454545454544</v>
      </c>
      <c r="Q72" s="10">
        <f t="shared" ca="1" si="50"/>
        <v>330.74816901408457</v>
      </c>
      <c r="R72" s="6">
        <f t="shared" ca="1" si="52"/>
        <v>49101.069090909092</v>
      </c>
      <c r="S72" s="6">
        <f t="shared" ca="1" si="53"/>
        <v>128.79999999999998</v>
      </c>
      <c r="T72" s="10">
        <f t="shared" ca="1" si="54"/>
        <v>430</v>
      </c>
      <c r="U72" s="6">
        <f t="shared" ca="1" si="53"/>
        <v>55383.999999999993</v>
      </c>
      <c r="V72" s="6">
        <f t="shared" ca="1" si="55"/>
        <v>9.4000000000000057</v>
      </c>
      <c r="W72" s="6">
        <f t="shared" ca="1" si="56"/>
        <v>-99.251830985915433</v>
      </c>
      <c r="X72" s="6">
        <f t="shared" ca="1" si="57"/>
        <v>-3004.8799999999937</v>
      </c>
      <c r="Y72" s="6">
        <f t="shared" ca="1" si="58"/>
        <v>-7046.8799999999956</v>
      </c>
      <c r="Z72" s="6">
        <f t="shared" ca="1" si="59"/>
        <v>4042.0000000000023</v>
      </c>
      <c r="AA72" s="7">
        <f t="shared" ca="1" si="60"/>
        <v>1.1525974025974026</v>
      </c>
      <c r="AB72" s="7">
        <f t="shared" ca="1" si="61"/>
        <v>0.88655693144065262</v>
      </c>
      <c r="AC72" s="8">
        <f t="shared" ca="1" si="62"/>
        <v>0.48454545454545445</v>
      </c>
      <c r="AD72" s="8">
        <f t="shared" ca="1" si="63"/>
        <v>0.20057707355829646</v>
      </c>
      <c r="AE72" s="8">
        <f t="shared" ca="1" si="64"/>
        <v>0.24751718869365918</v>
      </c>
      <c r="AF72" s="8">
        <f t="shared" ca="1" si="65"/>
        <v>0.1160944611531229</v>
      </c>
    </row>
    <row r="73" spans="3:32" x14ac:dyDescent="0.25">
      <c r="C73" s="23" t="s">
        <v>50</v>
      </c>
      <c r="D73" s="6">
        <f t="shared" ca="1" si="69"/>
        <v>403</v>
      </c>
      <c r="E73" s="10">
        <f t="shared" ca="1" si="42"/>
        <v>451.15384615384613</v>
      </c>
      <c r="F73" s="6">
        <f t="shared" ca="1" si="66"/>
        <v>181815</v>
      </c>
      <c r="G73" s="6">
        <f t="shared" ca="1" si="66"/>
        <v>536.55555555555566</v>
      </c>
      <c r="H73" s="10">
        <f t="shared" ca="1" si="44"/>
        <v>454.70364464692472</v>
      </c>
      <c r="I73" s="6">
        <f t="shared" ca="1" si="67"/>
        <v>243973.76666666666</v>
      </c>
      <c r="J73" s="6">
        <f t="shared" ca="1" si="67"/>
        <v>917</v>
      </c>
      <c r="K73" s="10">
        <f t="shared" ca="1" si="46"/>
        <v>396.27608505997819</v>
      </c>
      <c r="L73" s="6">
        <f t="shared" ca="1" si="68"/>
        <v>363385.17</v>
      </c>
      <c r="M73" s="6">
        <f t="shared" ca="1" si="68"/>
        <v>834.79794926581212</v>
      </c>
      <c r="N73" s="10">
        <f t="shared" ca="1" si="48"/>
        <v>461.62619435189248</v>
      </c>
      <c r="O73" s="6">
        <f t="shared" ca="1" si="70"/>
        <v>385364.60037234105</v>
      </c>
      <c r="P73" s="6">
        <f t="shared" ca="1" si="51"/>
        <v>1917.3636363636363</v>
      </c>
      <c r="Q73" s="10">
        <f t="shared" ca="1" si="50"/>
        <v>396.27608505997813</v>
      </c>
      <c r="R73" s="6">
        <f t="shared" ca="1" si="52"/>
        <v>759805.35545454535</v>
      </c>
      <c r="S73" s="6">
        <f t="shared" ca="1" si="53"/>
        <v>1745.4866211921526</v>
      </c>
      <c r="T73" s="10">
        <f t="shared" ca="1" si="54"/>
        <v>461.62619435189248</v>
      </c>
      <c r="U73" s="6">
        <f t="shared" ca="1" si="53"/>
        <v>805762.34623307677</v>
      </c>
      <c r="V73" s="6">
        <f t="shared" ca="1" si="55"/>
        <v>82.202050734187878</v>
      </c>
      <c r="W73" s="6">
        <f t="shared" ca="1" si="56"/>
        <v>-65.350109291914293</v>
      </c>
      <c r="X73" s="6">
        <f t="shared" ca="1" si="57"/>
        <v>-21979.43037234107</v>
      </c>
      <c r="Y73" s="6">
        <f t="shared" ca="1" si="58"/>
        <v>-59926.050220685407</v>
      </c>
      <c r="Z73" s="6">
        <f t="shared" ca="1" si="59"/>
        <v>37946.619848344337</v>
      </c>
      <c r="AA73" s="7">
        <f t="shared" ca="1" si="60"/>
        <v>1.0984693970636643</v>
      </c>
      <c r="AB73" s="7">
        <f t="shared" ca="1" si="61"/>
        <v>0.9429645837964763</v>
      </c>
      <c r="AC73" s="8">
        <f t="shared" ca="1" si="62"/>
        <v>1.2754342431761787</v>
      </c>
      <c r="AD73" s="8">
        <f t="shared" ca="1" si="63"/>
        <v>0.99865341143469999</v>
      </c>
      <c r="AE73" s="8">
        <f t="shared" ca="1" si="64"/>
        <v>0.70904949264858119</v>
      </c>
      <c r="AF73" s="8">
        <f t="shared" ca="1" si="65"/>
        <v>0.48944361914320567</v>
      </c>
    </row>
    <row r="74" spans="3:32" x14ac:dyDescent="0.25">
      <c r="C74" s="23" t="s">
        <v>219</v>
      </c>
      <c r="D74" s="6">
        <f t="shared" ca="1" si="69"/>
        <v>523.3478260869565</v>
      </c>
      <c r="E74" s="10">
        <f t="shared" ca="1" si="42"/>
        <v>467.88195979064568</v>
      </c>
      <c r="F74" s="6">
        <f t="shared" ref="F74:G90" ca="1" si="71">IF($C$93="KSA",SUMIFS(F$96:F$390,$B$96:$B$390,$C74),SUMIFS(F$96:F$390,$B$96:$B$390,$C74,$AA$96:$AA$390,$C$93))</f>
        <v>244865.00652173921</v>
      </c>
      <c r="G74" s="6">
        <f t="shared" ca="1" si="71"/>
        <v>714.3478260869565</v>
      </c>
      <c r="H74" s="10">
        <f t="shared" ca="1" si="44"/>
        <v>429.86756482045047</v>
      </c>
      <c r="I74" s="6">
        <f t="shared" ref="I74:J90" ca="1" si="72">IF($C$93="KSA",SUMIFS(I$96:I$390,$B$96:$B$390,$C74),SUMIFS(I$96:I$390,$B$96:$B$390,$C74,$AA$96:$AA$390,$C$93))</f>
        <v>307074.96043478267</v>
      </c>
      <c r="J74" s="6">
        <f t="shared" ca="1" si="72"/>
        <v>567</v>
      </c>
      <c r="K74" s="10">
        <f t="shared" ca="1" si="46"/>
        <v>509.82546737213403</v>
      </c>
      <c r="L74" s="6">
        <f t="shared" ref="L74:M90" ca="1" si="73">IF($C$93="KSA",SUMIFS(L$96:L$390,$B$96:$B$390,$C74),SUMIFS(L$96:L$390,$B$96:$B$390,$C74,$AA$96:$AA$390,$C$93))</f>
        <v>289071.03999999998</v>
      </c>
      <c r="M74" s="6">
        <f t="shared" ca="1" si="73"/>
        <v>1007.6765217391305</v>
      </c>
      <c r="N74" s="10">
        <f t="shared" ca="1" si="48"/>
        <v>475.63150426016625</v>
      </c>
      <c r="O74" s="6">
        <f t="shared" ca="1" si="70"/>
        <v>479282.69984243478</v>
      </c>
      <c r="P74" s="6">
        <f t="shared" ca="1" si="51"/>
        <v>1185.5454545454545</v>
      </c>
      <c r="Q74" s="10">
        <f t="shared" ca="1" si="50"/>
        <v>509.82546737213397</v>
      </c>
      <c r="R74" s="6">
        <f t="shared" ca="1" si="52"/>
        <v>604421.26545454538</v>
      </c>
      <c r="S74" s="6">
        <f t="shared" ca="1" si="53"/>
        <v>2106.96</v>
      </c>
      <c r="T74" s="10">
        <f t="shared" ca="1" si="54"/>
        <v>475.63150426016631</v>
      </c>
      <c r="U74" s="6">
        <f t="shared" ca="1" si="53"/>
        <v>1002136.554216</v>
      </c>
      <c r="V74" s="6">
        <f t="shared" ca="1" si="55"/>
        <v>-440.67652173913052</v>
      </c>
      <c r="W74" s="6">
        <f t="shared" ca="1" si="56"/>
        <v>34.193963111967776</v>
      </c>
      <c r="X74" s="6">
        <f t="shared" ca="1" si="57"/>
        <v>-190211.6598424348</v>
      </c>
      <c r="Y74" s="6">
        <f t="shared" ca="1" si="58"/>
        <v>19387.97708448573</v>
      </c>
      <c r="Z74" s="6">
        <f t="shared" ca="1" si="59"/>
        <v>-209599.6369269205</v>
      </c>
      <c r="AA74" s="7">
        <f t="shared" ca="1" si="60"/>
        <v>0.56268057036937313</v>
      </c>
      <c r="AB74" s="7">
        <f t="shared" ca="1" si="61"/>
        <v>0.60313263987002386</v>
      </c>
      <c r="AC74" s="8">
        <f t="shared" ca="1" si="62"/>
        <v>8.3409487413807465E-2</v>
      </c>
      <c r="AD74" s="8">
        <f t="shared" ca="1" si="63"/>
        <v>0.1805322618621544</v>
      </c>
      <c r="AE74" s="8">
        <f t="shared" ca="1" si="64"/>
        <v>-0.20626902008520995</v>
      </c>
      <c r="AF74" s="8">
        <f t="shared" ca="1" si="65"/>
        <v>-5.8630376144284825E-2</v>
      </c>
    </row>
    <row r="75" spans="3:32" x14ac:dyDescent="0.25">
      <c r="C75" s="23" t="s">
        <v>150</v>
      </c>
      <c r="D75" s="6">
        <f t="shared" ca="1" si="69"/>
        <v>0</v>
      </c>
      <c r="E75" s="10" t="str">
        <f t="shared" ca="1" si="42"/>
        <v>-</v>
      </c>
      <c r="F75" s="6">
        <f t="shared" ca="1" si="71"/>
        <v>0</v>
      </c>
      <c r="G75" s="6">
        <f t="shared" ca="1" si="71"/>
        <v>0</v>
      </c>
      <c r="H75" s="10" t="str">
        <f t="shared" ca="1" si="44"/>
        <v>-</v>
      </c>
      <c r="I75" s="6">
        <f t="shared" ca="1" si="72"/>
        <v>0</v>
      </c>
      <c r="J75" s="6">
        <f t="shared" ca="1" si="72"/>
        <v>68</v>
      </c>
      <c r="K75" s="10">
        <f t="shared" ca="1" si="46"/>
        <v>730.58397058823527</v>
      </c>
      <c r="L75" s="6">
        <f t="shared" ca="1" si="73"/>
        <v>49679.71</v>
      </c>
      <c r="M75" s="6">
        <f t="shared" ca="1" si="73"/>
        <v>83.695652173913047</v>
      </c>
      <c r="N75" s="10">
        <f t="shared" ca="1" si="48"/>
        <v>784.10285714285715</v>
      </c>
      <c r="O75" s="6">
        <f t="shared" ca="1" si="70"/>
        <v>65626</v>
      </c>
      <c r="P75" s="6">
        <f t="shared" ca="1" si="51"/>
        <v>142.18181818181819</v>
      </c>
      <c r="Q75" s="10">
        <f t="shared" ca="1" si="50"/>
        <v>730.58397058823516</v>
      </c>
      <c r="R75" s="6">
        <f t="shared" ca="1" si="52"/>
        <v>103875.75727272726</v>
      </c>
      <c r="S75" s="6">
        <f t="shared" ca="1" si="53"/>
        <v>175</v>
      </c>
      <c r="T75" s="10">
        <f t="shared" ca="1" si="54"/>
        <v>784.10285714285715</v>
      </c>
      <c r="U75" s="6">
        <f t="shared" ca="1" si="53"/>
        <v>137218</v>
      </c>
      <c r="V75" s="6">
        <f t="shared" ca="1" si="55"/>
        <v>-15.695652173913047</v>
      </c>
      <c r="W75" s="6">
        <f t="shared" ca="1" si="56"/>
        <v>-53.518886554621872</v>
      </c>
      <c r="X75" s="6">
        <f t="shared" ca="1" si="57"/>
        <v>-15946.29</v>
      </c>
      <c r="Y75" s="6">
        <f t="shared" ca="1" si="58"/>
        <v>-3639.2842857142873</v>
      </c>
      <c r="Z75" s="6">
        <f t="shared" ca="1" si="59"/>
        <v>-12307.005714285717</v>
      </c>
      <c r="AA75" s="7">
        <f t="shared" ca="1" si="60"/>
        <v>0.81246753246753245</v>
      </c>
      <c r="AB75" s="7">
        <f t="shared" ca="1" si="61"/>
        <v>0.75701261695059885</v>
      </c>
      <c r="AC75" s="8" t="str">
        <f t="shared" ca="1" si="62"/>
        <v>-</v>
      </c>
      <c r="AD75" s="8" t="str">
        <f t="shared" ca="1" si="63"/>
        <v>-</v>
      </c>
      <c r="AE75" s="8" t="str">
        <f t="shared" ca="1" si="64"/>
        <v>-</v>
      </c>
      <c r="AF75" s="8" t="str">
        <f t="shared" ca="1" si="65"/>
        <v>-</v>
      </c>
    </row>
    <row r="76" spans="3:32" x14ac:dyDescent="0.25">
      <c r="C76" s="23" t="s">
        <v>715</v>
      </c>
      <c r="D76" s="6">
        <f t="shared" ca="1" si="69"/>
        <v>0</v>
      </c>
      <c r="E76" s="10" t="str">
        <f t="shared" ca="1" si="42"/>
        <v>-</v>
      </c>
      <c r="F76" s="6">
        <f t="shared" ca="1" si="71"/>
        <v>0</v>
      </c>
      <c r="G76" s="6">
        <f t="shared" ca="1" si="71"/>
        <v>0</v>
      </c>
      <c r="H76" s="10" t="str">
        <f t="shared" ca="1" si="44"/>
        <v>-</v>
      </c>
      <c r="I76" s="6">
        <f t="shared" ca="1" si="72"/>
        <v>0</v>
      </c>
      <c r="J76" s="6">
        <f t="shared" ca="1" si="72"/>
        <v>0</v>
      </c>
      <c r="K76" s="10" t="str">
        <f t="shared" ca="1" si="46"/>
        <v>-</v>
      </c>
      <c r="L76" s="6">
        <f t="shared" ca="1" si="73"/>
        <v>0</v>
      </c>
      <c r="M76" s="6">
        <f t="shared" ca="1" si="73"/>
        <v>0</v>
      </c>
      <c r="N76" s="10" t="str">
        <f t="shared" ca="1" si="48"/>
        <v>-</v>
      </c>
      <c r="O76" s="6">
        <f t="shared" ca="1" si="70"/>
        <v>0</v>
      </c>
      <c r="P76" s="6">
        <f t="shared" ca="1" si="51"/>
        <v>0</v>
      </c>
      <c r="Q76" s="10" t="str">
        <f t="shared" ca="1" si="50"/>
        <v>-</v>
      </c>
      <c r="R76" s="6">
        <f t="shared" ca="1" si="52"/>
        <v>0</v>
      </c>
      <c r="S76" s="6">
        <f t="shared" ca="1" si="53"/>
        <v>0</v>
      </c>
      <c r="T76" s="10" t="str">
        <f t="shared" ca="1" si="54"/>
        <v>-</v>
      </c>
      <c r="U76" s="6">
        <f t="shared" ca="1" si="53"/>
        <v>0</v>
      </c>
      <c r="V76" s="6">
        <f t="shared" ca="1" si="55"/>
        <v>0</v>
      </c>
      <c r="W76" s="6">
        <f t="shared" ca="1" si="56"/>
        <v>0</v>
      </c>
      <c r="X76" s="6">
        <f t="shared" ca="1" si="57"/>
        <v>0</v>
      </c>
      <c r="Y76" s="6" t="str">
        <f t="shared" ca="1" si="58"/>
        <v>-</v>
      </c>
      <c r="Z76" s="6" t="str">
        <f t="shared" ca="1" si="59"/>
        <v>-</v>
      </c>
      <c r="AA76" s="7" t="str">
        <f t="shared" ca="1" si="60"/>
        <v>-</v>
      </c>
      <c r="AB76" s="7" t="str">
        <f t="shared" ca="1" si="61"/>
        <v>-</v>
      </c>
      <c r="AC76" s="8" t="str">
        <f t="shared" ca="1" si="62"/>
        <v>-</v>
      </c>
      <c r="AD76" s="8" t="str">
        <f t="shared" ca="1" si="63"/>
        <v>-</v>
      </c>
      <c r="AE76" s="8" t="str">
        <f t="shared" ca="1" si="64"/>
        <v>-</v>
      </c>
      <c r="AF76" s="8" t="str">
        <f t="shared" ca="1" si="65"/>
        <v>-</v>
      </c>
    </row>
    <row r="77" spans="3:32" x14ac:dyDescent="0.25">
      <c r="C77" s="23" t="s">
        <v>214</v>
      </c>
      <c r="D77" s="6">
        <f t="shared" ca="1" si="69"/>
        <v>39.217391304347828</v>
      </c>
      <c r="E77" s="10">
        <f t="shared" ca="1" si="42"/>
        <v>1343.7977937915743</v>
      </c>
      <c r="F77" s="6">
        <f t="shared" ca="1" si="71"/>
        <v>52700.24391304348</v>
      </c>
      <c r="G77" s="6">
        <f t="shared" ca="1" si="71"/>
        <v>39.130434782608695</v>
      </c>
      <c r="H77" s="10">
        <f t="shared" ca="1" si="44"/>
        <v>745.77177777777786</v>
      </c>
      <c r="I77" s="6">
        <f t="shared" ca="1" si="72"/>
        <v>29182.373913043481</v>
      </c>
      <c r="J77" s="6">
        <f t="shared" ca="1" si="72"/>
        <v>301</v>
      </c>
      <c r="K77" s="10">
        <f t="shared" ca="1" si="46"/>
        <v>281.52099667774087</v>
      </c>
      <c r="L77" s="6">
        <f t="shared" ca="1" si="73"/>
        <v>84737.82</v>
      </c>
      <c r="M77" s="6">
        <f t="shared" ca="1" si="73"/>
        <v>123.78347826086956</v>
      </c>
      <c r="N77" s="10">
        <f t="shared" ca="1" si="48"/>
        <v>1087.4442405841899</v>
      </c>
      <c r="O77" s="6">
        <f t="shared" ca="1" si="70"/>
        <v>134607.63051426088</v>
      </c>
      <c r="P77" s="6">
        <f t="shared" ca="1" si="51"/>
        <v>629.36363636363637</v>
      </c>
      <c r="Q77" s="10">
        <f t="shared" ca="1" si="50"/>
        <v>281.52099667774087</v>
      </c>
      <c r="R77" s="6">
        <f t="shared" ca="1" si="52"/>
        <v>177179.07818181819</v>
      </c>
      <c r="S77" s="6">
        <f t="shared" ca="1" si="53"/>
        <v>258.82</v>
      </c>
      <c r="T77" s="10">
        <f t="shared" ca="1" si="54"/>
        <v>1087.4442405841899</v>
      </c>
      <c r="U77" s="6">
        <f t="shared" ca="1" si="53"/>
        <v>281452.318348</v>
      </c>
      <c r="V77" s="6">
        <f t="shared" ca="1" si="55"/>
        <v>177.21652173913043</v>
      </c>
      <c r="W77" s="6">
        <f t="shared" ca="1" si="56"/>
        <v>-805.92324390644899</v>
      </c>
      <c r="X77" s="6">
        <f t="shared" ca="1" si="57"/>
        <v>-49869.810514260869</v>
      </c>
      <c r="Y77" s="6">
        <f t="shared" ca="1" si="58"/>
        <v>-242582.89641584115</v>
      </c>
      <c r="Z77" s="6">
        <f t="shared" ca="1" si="59"/>
        <v>192713.08590158026</v>
      </c>
      <c r="AA77" s="7">
        <f t="shared" ca="1" si="60"/>
        <v>2.4316653904784653</v>
      </c>
      <c r="AB77" s="7">
        <f t="shared" ca="1" si="61"/>
        <v>0.62951720995506666</v>
      </c>
      <c r="AC77" s="8">
        <f t="shared" ca="1" si="62"/>
        <v>6.6751662971175163</v>
      </c>
      <c r="AD77" s="8">
        <f t="shared" ca="1" si="63"/>
        <v>0.60792083125495977</v>
      </c>
      <c r="AE77" s="8">
        <f t="shared" ca="1" si="64"/>
        <v>6.6922222222222221</v>
      </c>
      <c r="AF77" s="8">
        <f t="shared" ca="1" si="65"/>
        <v>1.9037329263376075</v>
      </c>
    </row>
    <row r="78" spans="3:32" x14ac:dyDescent="0.25">
      <c r="C78" s="23" t="s">
        <v>222</v>
      </c>
      <c r="D78" s="6">
        <f t="shared" ca="1" si="69"/>
        <v>7.1739130434782608</v>
      </c>
      <c r="E78" s="10">
        <f t="shared" ca="1" si="42"/>
        <v>2261.166666666667</v>
      </c>
      <c r="F78" s="6">
        <f t="shared" ca="1" si="71"/>
        <v>16221.413043478262</v>
      </c>
      <c r="G78" s="6">
        <f t="shared" ca="1" si="71"/>
        <v>9.0869565217391308</v>
      </c>
      <c r="H78" s="10">
        <f t="shared" ca="1" si="44"/>
        <v>1309.6842105263158</v>
      </c>
      <c r="I78" s="6">
        <f t="shared" ca="1" si="72"/>
        <v>11901.04347826087</v>
      </c>
      <c r="J78" s="6">
        <f t="shared" ca="1" si="72"/>
        <v>116</v>
      </c>
      <c r="K78" s="10">
        <f t="shared" ca="1" si="46"/>
        <v>212.29827586206895</v>
      </c>
      <c r="L78" s="6">
        <f t="shared" ca="1" si="73"/>
        <v>24626.6</v>
      </c>
      <c r="M78" s="6">
        <f t="shared" ca="1" si="73"/>
        <v>23.936278824150669</v>
      </c>
      <c r="N78" s="10">
        <f t="shared" ca="1" si="48"/>
        <v>1709.1085584856826</v>
      </c>
      <c r="O78" s="6">
        <f t="shared" ca="1" si="70"/>
        <v>40909.698996655519</v>
      </c>
      <c r="P78" s="6">
        <f t="shared" ca="1" si="51"/>
        <v>242.54545454545453</v>
      </c>
      <c r="Q78" s="10">
        <f t="shared" ca="1" si="50"/>
        <v>212.29827586206895</v>
      </c>
      <c r="R78" s="6">
        <f t="shared" ca="1" si="52"/>
        <v>51491.981818181812</v>
      </c>
      <c r="S78" s="6">
        <f t="shared" ca="1" si="53"/>
        <v>50.048582995951399</v>
      </c>
      <c r="T78" s="10">
        <f t="shared" ca="1" si="54"/>
        <v>1709.1085584856824</v>
      </c>
      <c r="U78" s="6">
        <f t="shared" ca="1" si="53"/>
        <v>85538.461538461532</v>
      </c>
      <c r="V78" s="6">
        <f t="shared" ca="1" si="55"/>
        <v>92.063721175849338</v>
      </c>
      <c r="W78" s="6">
        <f t="shared" ca="1" si="56"/>
        <v>-1496.8102826236136</v>
      </c>
      <c r="X78" s="6">
        <f t="shared" ca="1" si="57"/>
        <v>-16283.098996655521</v>
      </c>
      <c r="Y78" s="6">
        <f t="shared" ca="1" si="58"/>
        <v>-173629.99278433918</v>
      </c>
      <c r="Z78" s="6">
        <f t="shared" ca="1" si="59"/>
        <v>157346.89378768369</v>
      </c>
      <c r="AA78" s="7">
        <f t="shared" ca="1" si="60"/>
        <v>4.8462002323836995</v>
      </c>
      <c r="AB78" s="7">
        <f t="shared" ca="1" si="61"/>
        <v>0.60197460758665788</v>
      </c>
      <c r="AC78" s="8">
        <f t="shared" ca="1" si="62"/>
        <v>15.16969696969697</v>
      </c>
      <c r="AD78" s="8">
        <f t="shared" ca="1" si="63"/>
        <v>0.51815380904199337</v>
      </c>
      <c r="AE78" s="8">
        <f t="shared" ca="1" si="64"/>
        <v>11.76555023923445</v>
      </c>
      <c r="AF78" s="8">
        <f t="shared" ca="1" si="65"/>
        <v>1.0692807353392466</v>
      </c>
    </row>
    <row r="79" spans="3:32" x14ac:dyDescent="0.25">
      <c r="C79" s="23" t="s">
        <v>311</v>
      </c>
      <c r="D79" s="6">
        <f t="shared" ca="1" si="69"/>
        <v>0</v>
      </c>
      <c r="E79" s="10" t="str">
        <f t="shared" ca="1" si="42"/>
        <v>-</v>
      </c>
      <c r="F79" s="6">
        <f t="shared" ca="1" si="71"/>
        <v>0</v>
      </c>
      <c r="G79" s="6">
        <f t="shared" ca="1" si="71"/>
        <v>0</v>
      </c>
      <c r="H79" s="10" t="str">
        <f t="shared" ca="1" si="44"/>
        <v>-</v>
      </c>
      <c r="I79" s="6">
        <f t="shared" ca="1" si="72"/>
        <v>0</v>
      </c>
      <c r="J79" s="6">
        <f t="shared" ca="1" si="72"/>
        <v>0</v>
      </c>
      <c r="K79" s="10" t="str">
        <f t="shared" ca="1" si="46"/>
        <v>-</v>
      </c>
      <c r="L79" s="6">
        <f t="shared" ca="1" si="73"/>
        <v>0</v>
      </c>
      <c r="M79" s="6">
        <f t="shared" ca="1" si="73"/>
        <v>0</v>
      </c>
      <c r="N79" s="10" t="str">
        <f t="shared" ca="1" si="48"/>
        <v>-</v>
      </c>
      <c r="O79" s="6">
        <f t="shared" ca="1" si="70"/>
        <v>28730.16663478261</v>
      </c>
      <c r="P79" s="6">
        <f t="shared" ca="1" si="51"/>
        <v>0</v>
      </c>
      <c r="Q79" s="10" t="str">
        <f t="shared" ca="1" si="50"/>
        <v>-</v>
      </c>
      <c r="R79" s="6">
        <f t="shared" ca="1" si="52"/>
        <v>0</v>
      </c>
      <c r="S79" s="6">
        <f t="shared" ca="1" si="53"/>
        <v>0</v>
      </c>
      <c r="T79" s="10" t="str">
        <f t="shared" ca="1" si="54"/>
        <v>-</v>
      </c>
      <c r="U79" s="6">
        <f t="shared" ca="1" si="53"/>
        <v>60072.166600000004</v>
      </c>
      <c r="V79" s="6">
        <f t="shared" ca="1" si="55"/>
        <v>0</v>
      </c>
      <c r="W79" s="6">
        <f t="shared" ca="1" si="56"/>
        <v>0</v>
      </c>
      <c r="X79" s="6">
        <f t="shared" ca="1" si="57"/>
        <v>-28730.16663478261</v>
      </c>
      <c r="Y79" s="6" t="str">
        <f t="shared" ca="1" si="58"/>
        <v>-</v>
      </c>
      <c r="Z79" s="6" t="str">
        <f t="shared" ca="1" si="59"/>
        <v>-</v>
      </c>
      <c r="AA79" s="7" t="str">
        <f t="shared" ca="1" si="60"/>
        <v>-</v>
      </c>
      <c r="AB79" s="7">
        <f t="shared" ca="1" si="61"/>
        <v>0</v>
      </c>
      <c r="AC79" s="8" t="str">
        <f t="shared" ca="1" si="62"/>
        <v>-</v>
      </c>
      <c r="AD79" s="8" t="str">
        <f t="shared" ca="1" si="63"/>
        <v>-</v>
      </c>
      <c r="AE79" s="8" t="str">
        <f t="shared" ca="1" si="64"/>
        <v>-</v>
      </c>
      <c r="AF79" s="8" t="str">
        <f t="shared" ca="1" si="65"/>
        <v>-</v>
      </c>
    </row>
    <row r="80" spans="3:32" x14ac:dyDescent="0.25">
      <c r="C80" s="23" t="s">
        <v>148</v>
      </c>
      <c r="D80" s="6">
        <f t="shared" ca="1" si="69"/>
        <v>166.43478260869568</v>
      </c>
      <c r="E80" s="10">
        <f t="shared" ca="1" si="42"/>
        <v>655.71916666666721</v>
      </c>
      <c r="F80" s="6">
        <f t="shared" ca="1" si="71"/>
        <v>109134.47695652186</v>
      </c>
      <c r="G80" s="6">
        <f t="shared" ca="1" si="71"/>
        <v>288.86956521739131</v>
      </c>
      <c r="H80" s="10">
        <f t="shared" ca="1" si="44"/>
        <v>966.26374172185422</v>
      </c>
      <c r="I80" s="6">
        <f t="shared" ca="1" si="72"/>
        <v>279124.18695652171</v>
      </c>
      <c r="J80" s="6">
        <f t="shared" ca="1" si="72"/>
        <v>261</v>
      </c>
      <c r="K80" s="10">
        <f t="shared" ca="1" si="46"/>
        <v>762.49318007662839</v>
      </c>
      <c r="L80" s="6">
        <f t="shared" ca="1" si="73"/>
        <v>199010.72</v>
      </c>
      <c r="M80" s="6">
        <f t="shared" ca="1" si="73"/>
        <v>358.69565217391306</v>
      </c>
      <c r="N80" s="10">
        <f t="shared" ca="1" si="48"/>
        <v>949.67200000000003</v>
      </c>
      <c r="O80" s="6">
        <f t="shared" ca="1" si="70"/>
        <v>340643.21739130438</v>
      </c>
      <c r="P80" s="6">
        <f t="shared" ca="1" si="51"/>
        <v>545.72727272727275</v>
      </c>
      <c r="Q80" s="10">
        <f t="shared" ca="1" si="50"/>
        <v>762.49318007662828</v>
      </c>
      <c r="R80" s="6">
        <f t="shared" ca="1" si="52"/>
        <v>416113.32363636361</v>
      </c>
      <c r="S80" s="6">
        <f t="shared" ca="1" si="53"/>
        <v>750</v>
      </c>
      <c r="T80" s="10">
        <f t="shared" ca="1" si="54"/>
        <v>949.67200000000003</v>
      </c>
      <c r="U80" s="6">
        <f t="shared" ca="1" si="53"/>
        <v>712254</v>
      </c>
      <c r="V80" s="6">
        <f t="shared" ca="1" si="55"/>
        <v>-97.695652173913061</v>
      </c>
      <c r="W80" s="6">
        <f t="shared" ca="1" si="56"/>
        <v>-187.17881992337163</v>
      </c>
      <c r="X80" s="6">
        <f t="shared" ca="1" si="57"/>
        <v>-141632.49739130438</v>
      </c>
      <c r="Y80" s="6">
        <f t="shared" ca="1" si="58"/>
        <v>-48853.671999999999</v>
      </c>
      <c r="Z80" s="6">
        <f t="shared" ca="1" si="59"/>
        <v>-92778.825391304374</v>
      </c>
      <c r="AA80" s="7">
        <f t="shared" ca="1" si="60"/>
        <v>0.72763636363636364</v>
      </c>
      <c r="AB80" s="7">
        <f t="shared" ca="1" si="61"/>
        <v>0.58422040962404365</v>
      </c>
      <c r="AC80" s="8">
        <f t="shared" ca="1" si="62"/>
        <v>0.5681818181818179</v>
      </c>
      <c r="AD80" s="8">
        <f t="shared" ca="1" si="63"/>
        <v>0.82353666366389411</v>
      </c>
      <c r="AE80" s="8">
        <f t="shared" ca="1" si="64"/>
        <v>-9.6478025285972324E-2</v>
      </c>
      <c r="AF80" s="8">
        <f t="shared" ca="1" si="65"/>
        <v>-0.28701728728725584</v>
      </c>
    </row>
    <row r="81" spans="1:32" x14ac:dyDescent="0.25">
      <c r="C81" s="23" t="s">
        <v>218</v>
      </c>
      <c r="D81" s="6">
        <f t="shared" ca="1" si="69"/>
        <v>0</v>
      </c>
      <c r="E81" s="10" t="str">
        <f t="shared" ca="1" si="42"/>
        <v>-</v>
      </c>
      <c r="F81" s="6">
        <f t="shared" ca="1" si="71"/>
        <v>0</v>
      </c>
      <c r="G81" s="6">
        <f t="shared" ca="1" si="71"/>
        <v>0</v>
      </c>
      <c r="H81" s="10" t="str">
        <f t="shared" ca="1" si="44"/>
        <v>-</v>
      </c>
      <c r="I81" s="6">
        <f t="shared" ca="1" si="72"/>
        <v>0</v>
      </c>
      <c r="J81" s="6">
        <f t="shared" ca="1" si="72"/>
        <v>0</v>
      </c>
      <c r="K81" s="10" t="str">
        <f t="shared" ca="1" si="46"/>
        <v>-</v>
      </c>
      <c r="L81" s="6">
        <f t="shared" ca="1" si="73"/>
        <v>0</v>
      </c>
      <c r="M81" s="6">
        <f t="shared" ca="1" si="73"/>
        <v>30.290909090909093</v>
      </c>
      <c r="N81" s="10">
        <f t="shared" ca="1" si="48"/>
        <v>734.77499999999998</v>
      </c>
      <c r="O81" s="6">
        <f t="shared" ca="1" si="70"/>
        <v>22257.002727272727</v>
      </c>
      <c r="P81" s="6">
        <f t="shared" ca="1" si="51"/>
        <v>0</v>
      </c>
      <c r="Q81" s="10" t="str">
        <f t="shared" ca="1" si="50"/>
        <v>-</v>
      </c>
      <c r="R81" s="6">
        <f t="shared" ca="1" si="52"/>
        <v>0</v>
      </c>
      <c r="S81" s="6">
        <f t="shared" ca="1" si="53"/>
        <v>63.335537190082647</v>
      </c>
      <c r="T81" s="10">
        <f t="shared" ca="1" si="54"/>
        <v>734.77499999999998</v>
      </c>
      <c r="U81" s="6">
        <f t="shared" ca="1" si="53"/>
        <v>46537.369338842975</v>
      </c>
      <c r="V81" s="6">
        <f t="shared" ca="1" si="55"/>
        <v>-30.290909090909093</v>
      </c>
      <c r="W81" s="6">
        <f t="shared" ca="1" si="56"/>
        <v>0</v>
      </c>
      <c r="X81" s="6">
        <f t="shared" ca="1" si="57"/>
        <v>-22257.002727272727</v>
      </c>
      <c r="Y81" s="6" t="str">
        <f t="shared" ca="1" si="58"/>
        <v>-</v>
      </c>
      <c r="Z81" s="6">
        <f t="shared" ca="1" si="59"/>
        <v>-22257.002727272727</v>
      </c>
      <c r="AA81" s="7">
        <f t="shared" ca="1" si="60"/>
        <v>0</v>
      </c>
      <c r="AB81" s="7">
        <f t="shared" ca="1" si="61"/>
        <v>0</v>
      </c>
      <c r="AC81" s="8" t="str">
        <f t="shared" ca="1" si="62"/>
        <v>-</v>
      </c>
      <c r="AD81" s="8" t="str">
        <f t="shared" ca="1" si="63"/>
        <v>-</v>
      </c>
      <c r="AE81" s="8" t="str">
        <f t="shared" ca="1" si="64"/>
        <v>-</v>
      </c>
      <c r="AF81" s="8" t="str">
        <f t="shared" ca="1" si="65"/>
        <v>-</v>
      </c>
    </row>
    <row r="82" spans="1:32" x14ac:dyDescent="0.25">
      <c r="C82" s="23" t="s">
        <v>51</v>
      </c>
      <c r="D82" s="6">
        <f t="shared" ca="1" si="69"/>
        <v>158.6521739130435</v>
      </c>
      <c r="E82" s="10">
        <f t="shared" ca="1" si="42"/>
        <v>459.00589202521229</v>
      </c>
      <c r="F82" s="6">
        <f t="shared" ca="1" si="71"/>
        <v>72822.282608695648</v>
      </c>
      <c r="G82" s="6">
        <f t="shared" ca="1" si="71"/>
        <v>177.81642512077298</v>
      </c>
      <c r="H82" s="10">
        <f t="shared" ca="1" si="44"/>
        <v>556.76731688763311</v>
      </c>
      <c r="I82" s="6">
        <f t="shared" ca="1" si="72"/>
        <v>99002.373913043484</v>
      </c>
      <c r="J82" s="6">
        <f t="shared" ca="1" si="72"/>
        <v>204</v>
      </c>
      <c r="K82" s="10">
        <f t="shared" ca="1" si="46"/>
        <v>392.33166666666659</v>
      </c>
      <c r="L82" s="6">
        <f t="shared" ca="1" si="73"/>
        <v>80035.659999999989</v>
      </c>
      <c r="M82" s="6">
        <f t="shared" ca="1" si="73"/>
        <v>184.82756410256411</v>
      </c>
      <c r="N82" s="10">
        <f t="shared" ca="1" si="48"/>
        <v>584.54760204156707</v>
      </c>
      <c r="O82" s="6">
        <f t="shared" ca="1" si="70"/>
        <v>108040.50938733788</v>
      </c>
      <c r="P82" s="6">
        <f t="shared" ca="1" si="51"/>
        <v>426.5454545454545</v>
      </c>
      <c r="Q82" s="10">
        <f t="shared" ca="1" si="50"/>
        <v>392.33166666666665</v>
      </c>
      <c r="R82" s="6">
        <f t="shared" ca="1" si="52"/>
        <v>167347.28909090906</v>
      </c>
      <c r="S82" s="6">
        <f t="shared" ca="1" si="53"/>
        <v>386.45763403263402</v>
      </c>
      <c r="T82" s="10">
        <f t="shared" ca="1" si="54"/>
        <v>584.54760204156707</v>
      </c>
      <c r="U82" s="6">
        <f t="shared" ca="1" si="53"/>
        <v>225902.88326443374</v>
      </c>
      <c r="V82" s="6">
        <f t="shared" ca="1" si="55"/>
        <v>19.172435897435889</v>
      </c>
      <c r="W82" s="6">
        <f t="shared" ca="1" si="56"/>
        <v>-192.21593537490048</v>
      </c>
      <c r="X82" s="6">
        <f t="shared" ca="1" si="57"/>
        <v>-28004.84938733789</v>
      </c>
      <c r="Y82" s="6">
        <f t="shared" ca="1" si="58"/>
        <v>-39212.050816479699</v>
      </c>
      <c r="Z82" s="6">
        <f t="shared" ca="1" si="59"/>
        <v>11207.201429141809</v>
      </c>
      <c r="AA82" s="7">
        <f t="shared" ca="1" si="60"/>
        <v>1.1037314752836149</v>
      </c>
      <c r="AB82" s="7">
        <f t="shared" ca="1" si="61"/>
        <v>0.74079306413729296</v>
      </c>
      <c r="AC82" s="8">
        <f t="shared" ca="1" si="62"/>
        <v>0.28583173472184142</v>
      </c>
      <c r="AD82" s="8">
        <f t="shared" ca="1" si="63"/>
        <v>9.9054535684699851E-2</v>
      </c>
      <c r="AE82" s="8">
        <f t="shared" ca="1" si="64"/>
        <v>0.14725059769615281</v>
      </c>
      <c r="AF82" s="8">
        <f t="shared" ca="1" si="65"/>
        <v>-0.19157837497616453</v>
      </c>
    </row>
    <row r="83" spans="1:32" x14ac:dyDescent="0.25">
      <c r="C83" s="23" t="s">
        <v>308</v>
      </c>
      <c r="D83" s="6">
        <f t="shared" ca="1" si="69"/>
        <v>0</v>
      </c>
      <c r="E83" s="10" t="str">
        <f t="shared" ca="1" si="42"/>
        <v>-</v>
      </c>
      <c r="F83" s="6">
        <f t="shared" ca="1" si="71"/>
        <v>0</v>
      </c>
      <c r="G83" s="6">
        <f t="shared" ca="1" si="71"/>
        <v>0</v>
      </c>
      <c r="H83" s="10" t="str">
        <f t="shared" ca="1" si="44"/>
        <v>-</v>
      </c>
      <c r="I83" s="6">
        <f t="shared" ca="1" si="72"/>
        <v>0</v>
      </c>
      <c r="J83" s="6">
        <f t="shared" ca="1" si="72"/>
        <v>29</v>
      </c>
      <c r="K83" s="10">
        <f t="shared" ca="1" si="46"/>
        <v>256.44655172413792</v>
      </c>
      <c r="L83" s="6">
        <f t="shared" ca="1" si="73"/>
        <v>7436.95</v>
      </c>
      <c r="M83" s="6">
        <f t="shared" ca="1" si="73"/>
        <v>30.216535555555556</v>
      </c>
      <c r="N83" s="10">
        <f t="shared" ca="1" si="48"/>
        <v>450</v>
      </c>
      <c r="O83" s="6">
        <f t="shared" ca="1" si="70"/>
        <v>13597.441000000001</v>
      </c>
      <c r="P83" s="6">
        <f t="shared" ca="1" si="51"/>
        <v>60.636363636363633</v>
      </c>
      <c r="Q83" s="10">
        <f t="shared" ca="1" si="50"/>
        <v>256.44655172413792</v>
      </c>
      <c r="R83" s="6">
        <f t="shared" ca="1" si="52"/>
        <v>15549.986363636363</v>
      </c>
      <c r="S83" s="6">
        <f t="shared" ca="1" si="53"/>
        <v>63.180028888888884</v>
      </c>
      <c r="T83" s="10">
        <f t="shared" ca="1" si="54"/>
        <v>450</v>
      </c>
      <c r="U83" s="6">
        <f t="shared" ca="1" si="53"/>
        <v>28431.012999999999</v>
      </c>
      <c r="V83" s="6">
        <f t="shared" ca="1" si="55"/>
        <v>-1.2165355555555557</v>
      </c>
      <c r="W83" s="6">
        <f t="shared" ca="1" si="56"/>
        <v>-193.55344827586208</v>
      </c>
      <c r="X83" s="6">
        <f t="shared" ca="1" si="57"/>
        <v>-6160.4910000000009</v>
      </c>
      <c r="Y83" s="6">
        <f t="shared" ca="1" si="58"/>
        <v>-5613.05</v>
      </c>
      <c r="Z83" s="6">
        <f t="shared" ca="1" si="59"/>
        <v>-547.44100000000003</v>
      </c>
      <c r="AA83" s="7">
        <f t="shared" ca="1" si="60"/>
        <v>0.95973940979041572</v>
      </c>
      <c r="AB83" s="7">
        <f t="shared" ca="1" si="61"/>
        <v>0.5469374715433587</v>
      </c>
      <c r="AC83" s="8" t="str">
        <f t="shared" ca="1" si="62"/>
        <v>-</v>
      </c>
      <c r="AD83" s="8" t="str">
        <f t="shared" ca="1" si="63"/>
        <v>-</v>
      </c>
      <c r="AE83" s="8" t="str">
        <f t="shared" ca="1" si="64"/>
        <v>-</v>
      </c>
      <c r="AF83" s="8" t="str">
        <f t="shared" ca="1" si="65"/>
        <v>-</v>
      </c>
    </row>
    <row r="84" spans="1:32" x14ac:dyDescent="0.25">
      <c r="C84" s="23" t="s">
        <v>711</v>
      </c>
      <c r="D84" s="6">
        <f t="shared" ca="1" si="69"/>
        <v>0</v>
      </c>
      <c r="E84" s="10" t="str">
        <f t="shared" ca="1" si="42"/>
        <v>-</v>
      </c>
      <c r="F84" s="6">
        <f t="shared" ca="1" si="71"/>
        <v>0</v>
      </c>
      <c r="G84" s="6">
        <f t="shared" ca="1" si="71"/>
        <v>0</v>
      </c>
      <c r="H84" s="10" t="str">
        <f t="shared" ca="1" si="44"/>
        <v>-</v>
      </c>
      <c r="I84" s="6">
        <f t="shared" ca="1" si="72"/>
        <v>0</v>
      </c>
      <c r="J84" s="6">
        <f t="shared" ca="1" si="72"/>
        <v>3</v>
      </c>
      <c r="K84" s="10">
        <f t="shared" ca="1" si="46"/>
        <v>533.33333333333337</v>
      </c>
      <c r="L84" s="6">
        <f t="shared" ca="1" si="73"/>
        <v>1600</v>
      </c>
      <c r="M84" s="6">
        <f t="shared" ca="1" si="73"/>
        <v>0</v>
      </c>
      <c r="N84" s="10" t="str">
        <f t="shared" ca="1" si="48"/>
        <v>-</v>
      </c>
      <c r="O84" s="6">
        <f t="shared" ca="1" si="70"/>
        <v>0</v>
      </c>
      <c r="P84" s="6">
        <f t="shared" ca="1" si="51"/>
        <v>6.2727272727272725</v>
      </c>
      <c r="Q84" s="10">
        <f t="shared" ca="1" si="50"/>
        <v>533.33333333333337</v>
      </c>
      <c r="R84" s="6">
        <f t="shared" ca="1" si="52"/>
        <v>3345.4545454545455</v>
      </c>
      <c r="S84" s="6">
        <f t="shared" ca="1" si="53"/>
        <v>0</v>
      </c>
      <c r="T84" s="10" t="str">
        <f t="shared" ca="1" si="54"/>
        <v>-</v>
      </c>
      <c r="U84" s="6">
        <f t="shared" ca="1" si="53"/>
        <v>0</v>
      </c>
      <c r="V84" s="6">
        <f t="shared" ca="1" si="55"/>
        <v>3</v>
      </c>
      <c r="W84" s="6">
        <f t="shared" ca="1" si="56"/>
        <v>0</v>
      </c>
      <c r="X84" s="6">
        <f t="shared" ca="1" si="57"/>
        <v>1600</v>
      </c>
      <c r="Y84" s="6" t="str">
        <f t="shared" ca="1" si="58"/>
        <v>-</v>
      </c>
      <c r="Z84" s="6" t="str">
        <f t="shared" ca="1" si="59"/>
        <v>-</v>
      </c>
      <c r="AA84" s="7" t="str">
        <f t="shared" ca="1" si="60"/>
        <v>-</v>
      </c>
      <c r="AB84" s="7" t="str">
        <f t="shared" ca="1" si="61"/>
        <v>-</v>
      </c>
      <c r="AC84" s="8" t="str">
        <f t="shared" ca="1" si="62"/>
        <v>-</v>
      </c>
      <c r="AD84" s="8" t="str">
        <f t="shared" ca="1" si="63"/>
        <v>-</v>
      </c>
      <c r="AE84" s="8" t="str">
        <f t="shared" ca="1" si="64"/>
        <v>-</v>
      </c>
      <c r="AF84" s="8" t="str">
        <f t="shared" ca="1" si="65"/>
        <v>-</v>
      </c>
    </row>
    <row r="85" spans="1:32" x14ac:dyDescent="0.25">
      <c r="C85" s="23" t="s">
        <v>151</v>
      </c>
      <c r="D85" s="6">
        <f t="shared" ca="1" si="69"/>
        <v>30.608695652173914</v>
      </c>
      <c r="E85" s="10">
        <f t="shared" ca="1" si="42"/>
        <v>286.39734375000012</v>
      </c>
      <c r="F85" s="6">
        <f t="shared" ca="1" si="71"/>
        <v>8766.2491304347859</v>
      </c>
      <c r="G85" s="6">
        <f t="shared" ca="1" si="71"/>
        <v>46.391304347826086</v>
      </c>
      <c r="H85" s="10">
        <f t="shared" ca="1" si="44"/>
        <v>363.30051546391758</v>
      </c>
      <c r="I85" s="6">
        <f t="shared" ca="1" si="72"/>
        <v>16853.984782608699</v>
      </c>
      <c r="J85" s="6">
        <f t="shared" ca="1" si="72"/>
        <v>115</v>
      </c>
      <c r="K85" s="10">
        <f t="shared" ca="1" si="46"/>
        <v>269.57600000000002</v>
      </c>
      <c r="L85" s="6">
        <f t="shared" ca="1" si="73"/>
        <v>31001.24</v>
      </c>
      <c r="M85" s="6">
        <f t="shared" ca="1" si="73"/>
        <v>213.78260869565219</v>
      </c>
      <c r="N85" s="10">
        <f t="shared" ca="1" si="48"/>
        <v>352.84116331096192</v>
      </c>
      <c r="O85" s="6">
        <f t="shared" ca="1" si="70"/>
        <v>75431.304347826081</v>
      </c>
      <c r="P85" s="6">
        <f t="shared" ca="1" si="51"/>
        <v>240.45454545454544</v>
      </c>
      <c r="Q85" s="10">
        <f t="shared" ca="1" si="50"/>
        <v>269.57600000000002</v>
      </c>
      <c r="R85" s="6">
        <f t="shared" ca="1" si="52"/>
        <v>64820.774545454544</v>
      </c>
      <c r="S85" s="6">
        <f t="shared" ca="1" si="53"/>
        <v>447</v>
      </c>
      <c r="T85" s="10">
        <f t="shared" ca="1" si="54"/>
        <v>352.84116331096192</v>
      </c>
      <c r="U85" s="6">
        <f t="shared" ca="1" si="53"/>
        <v>157719.99999999997</v>
      </c>
      <c r="V85" s="6">
        <f t="shared" ca="1" si="55"/>
        <v>-98.782608695652186</v>
      </c>
      <c r="W85" s="6">
        <f t="shared" ca="1" si="56"/>
        <v>-83.265163310961896</v>
      </c>
      <c r="X85" s="6">
        <f t="shared" ca="1" si="57"/>
        <v>-44430.064347826075</v>
      </c>
      <c r="Y85" s="6">
        <f t="shared" ca="1" si="58"/>
        <v>-9575.4937807606184</v>
      </c>
      <c r="Z85" s="6">
        <f t="shared" ca="1" si="59"/>
        <v>-34854.570567065457</v>
      </c>
      <c r="AA85" s="7">
        <f t="shared" ca="1" si="60"/>
        <v>0.53792963188936338</v>
      </c>
      <c r="AB85" s="7">
        <f t="shared" ca="1" si="61"/>
        <v>0.4109863970673</v>
      </c>
      <c r="AC85" s="8">
        <f t="shared" ca="1" si="62"/>
        <v>2.7571022727272729</v>
      </c>
      <c r="AD85" s="8">
        <f t="shared" ca="1" si="63"/>
        <v>2.5364315499966188</v>
      </c>
      <c r="AE85" s="8">
        <f t="shared" ca="1" si="64"/>
        <v>1.4789128397375819</v>
      </c>
      <c r="AF85" s="8">
        <f t="shared" ca="1" si="65"/>
        <v>0.83940120985451361</v>
      </c>
    </row>
    <row r="86" spans="1:32" x14ac:dyDescent="0.25">
      <c r="C86" s="23" t="s">
        <v>152</v>
      </c>
      <c r="D86" s="6">
        <f t="shared" ca="1" si="69"/>
        <v>388.3478260869565</v>
      </c>
      <c r="E86" s="10">
        <f t="shared" ca="1" si="42"/>
        <v>156.07827586206852</v>
      </c>
      <c r="F86" s="6">
        <f t="shared" ca="1" si="71"/>
        <v>60612.659130434608</v>
      </c>
      <c r="G86" s="6">
        <f t="shared" ca="1" si="71"/>
        <v>506</v>
      </c>
      <c r="H86" s="10">
        <f t="shared" ca="1" si="44"/>
        <v>161.99184310018885</v>
      </c>
      <c r="I86" s="6">
        <f t="shared" ca="1" si="72"/>
        <v>81967.872608695558</v>
      </c>
      <c r="J86" s="6">
        <f t="shared" ca="1" si="72"/>
        <v>590</v>
      </c>
      <c r="K86" s="10">
        <f t="shared" ca="1" si="46"/>
        <v>163.3146779661017</v>
      </c>
      <c r="L86" s="6">
        <f t="shared" ca="1" si="73"/>
        <v>96355.66</v>
      </c>
      <c r="M86" s="6">
        <f t="shared" ca="1" si="73"/>
        <v>854.6521739130435</v>
      </c>
      <c r="N86" s="10">
        <f t="shared" ca="1" si="48"/>
        <v>176.88808058198097</v>
      </c>
      <c r="O86" s="6">
        <f t="shared" ca="1" si="70"/>
        <v>151177.78260869565</v>
      </c>
      <c r="P86" s="6">
        <f t="shared" ca="1" si="51"/>
        <v>1233.6363636363635</v>
      </c>
      <c r="Q86" s="10">
        <f t="shared" ca="1" si="50"/>
        <v>163.3146779661017</v>
      </c>
      <c r="R86" s="6">
        <f t="shared" ca="1" si="52"/>
        <v>201470.92545454545</v>
      </c>
      <c r="S86" s="6">
        <f t="shared" ca="1" si="53"/>
        <v>1787</v>
      </c>
      <c r="T86" s="10">
        <f t="shared" ca="1" si="54"/>
        <v>176.88808058198097</v>
      </c>
      <c r="U86" s="6">
        <f t="shared" ca="1" si="53"/>
        <v>316099</v>
      </c>
      <c r="V86" s="6">
        <f t="shared" ca="1" si="55"/>
        <v>-264.6521739130435</v>
      </c>
      <c r="W86" s="6">
        <f t="shared" ca="1" si="56"/>
        <v>-13.573402615879274</v>
      </c>
      <c r="X86" s="6">
        <f t="shared" ca="1" si="57"/>
        <v>-54822.122608695645</v>
      </c>
      <c r="Y86" s="6">
        <f t="shared" ca="1" si="58"/>
        <v>-8008.3075433687718</v>
      </c>
      <c r="Z86" s="6">
        <f t="shared" ca="1" si="59"/>
        <v>-46813.815065326882</v>
      </c>
      <c r="AA86" s="7">
        <f t="shared" ca="1" si="60"/>
        <v>0.69033931932644854</v>
      </c>
      <c r="AB86" s="7">
        <f t="shared" ca="1" si="61"/>
        <v>0.63736653850390379</v>
      </c>
      <c r="AC86" s="8">
        <f t="shared" ca="1" si="62"/>
        <v>0.51925660546350205</v>
      </c>
      <c r="AD86" s="8">
        <f t="shared" ca="1" si="63"/>
        <v>0.58969531088627414</v>
      </c>
      <c r="AE86" s="8">
        <f t="shared" ca="1" si="64"/>
        <v>0.16600790513833993</v>
      </c>
      <c r="AF86" s="8">
        <f t="shared" ca="1" si="65"/>
        <v>0.17552959389332887</v>
      </c>
    </row>
    <row r="87" spans="1:32" x14ac:dyDescent="0.25">
      <c r="C87" s="23" t="s">
        <v>210</v>
      </c>
      <c r="D87" s="6">
        <f t="shared" ca="1" si="69"/>
        <v>160</v>
      </c>
      <c r="E87" s="10">
        <f t="shared" ca="1" si="42"/>
        <v>215.64375000000001</v>
      </c>
      <c r="F87" s="6">
        <f t="shared" ca="1" si="71"/>
        <v>34503</v>
      </c>
      <c r="G87" s="6">
        <f t="shared" ca="1" si="71"/>
        <v>128</v>
      </c>
      <c r="H87" s="10">
        <f t="shared" ca="1" si="44"/>
        <v>275.828125</v>
      </c>
      <c r="I87" s="6">
        <f t="shared" ca="1" si="72"/>
        <v>35306</v>
      </c>
      <c r="J87" s="6">
        <f t="shared" ca="1" si="72"/>
        <v>229</v>
      </c>
      <c r="K87" s="10">
        <f t="shared" ca="1" si="46"/>
        <v>212.5723580786026</v>
      </c>
      <c r="L87" s="6">
        <f t="shared" ca="1" si="73"/>
        <v>48679.07</v>
      </c>
      <c r="M87" s="6">
        <f t="shared" ca="1" si="73"/>
        <v>215.13130434782607</v>
      </c>
      <c r="N87" s="10">
        <f t="shared" ca="1" si="48"/>
        <v>240.57077777777778</v>
      </c>
      <c r="O87" s="6">
        <f t="shared" ca="1" si="70"/>
        <v>51754.305211304345</v>
      </c>
      <c r="P87" s="6">
        <f t="shared" ca="1" si="51"/>
        <v>478.81818181818181</v>
      </c>
      <c r="Q87" s="10">
        <f t="shared" ca="1" si="50"/>
        <v>212.5723580786026</v>
      </c>
      <c r="R87" s="6">
        <f t="shared" ca="1" si="52"/>
        <v>101783.51</v>
      </c>
      <c r="S87" s="6">
        <f t="shared" ca="1" si="53"/>
        <v>449.81999999999994</v>
      </c>
      <c r="T87" s="10">
        <f t="shared" ca="1" si="54"/>
        <v>240.57077777777781</v>
      </c>
      <c r="U87" s="6">
        <f t="shared" ca="1" si="53"/>
        <v>108213.54725999999</v>
      </c>
      <c r="V87" s="6">
        <f t="shared" ca="1" si="55"/>
        <v>13.868695652173926</v>
      </c>
      <c r="W87" s="6">
        <f t="shared" ca="1" si="56"/>
        <v>-27.998419699175173</v>
      </c>
      <c r="X87" s="6">
        <f t="shared" ca="1" si="57"/>
        <v>-3075.2352113043453</v>
      </c>
      <c r="Y87" s="6">
        <f t="shared" ca="1" si="58"/>
        <v>-6411.638111111115</v>
      </c>
      <c r="Z87" s="6">
        <f t="shared" ca="1" si="59"/>
        <v>3336.4028998067665</v>
      </c>
      <c r="AA87" s="7">
        <f t="shared" ca="1" si="60"/>
        <v>1.0644661905166108</v>
      </c>
      <c r="AB87" s="7">
        <f t="shared" ca="1" si="61"/>
        <v>0.94058010828763594</v>
      </c>
      <c r="AC87" s="8">
        <f t="shared" ca="1" si="62"/>
        <v>0.43125000000000002</v>
      </c>
      <c r="AD87" s="8">
        <f t="shared" ca="1" si="63"/>
        <v>0.4108648523316813</v>
      </c>
      <c r="AE87" s="8">
        <f t="shared" ca="1" si="64"/>
        <v>0.7890625</v>
      </c>
      <c r="AF87" s="8">
        <f t="shared" ca="1" si="65"/>
        <v>0.37877612870333655</v>
      </c>
    </row>
    <row r="88" spans="1:32" x14ac:dyDescent="0.25">
      <c r="C88" s="23" t="s">
        <v>280</v>
      </c>
      <c r="D88" s="6">
        <f t="shared" si="69"/>
        <v>0</v>
      </c>
      <c r="E88" s="10" t="str">
        <f t="shared" si="42"/>
        <v>-</v>
      </c>
      <c r="F88" s="6">
        <f t="shared" si="71"/>
        <v>0</v>
      </c>
      <c r="G88" s="6">
        <f t="shared" si="71"/>
        <v>0</v>
      </c>
      <c r="H88" s="10" t="str">
        <f t="shared" si="44"/>
        <v>-</v>
      </c>
      <c r="I88" s="6">
        <f t="shared" si="72"/>
        <v>0</v>
      </c>
      <c r="J88" s="6">
        <f t="shared" si="72"/>
        <v>0</v>
      </c>
      <c r="K88" s="10" t="str">
        <f t="shared" si="46"/>
        <v>-</v>
      </c>
      <c r="L88" s="6">
        <f t="shared" si="73"/>
        <v>0</v>
      </c>
      <c r="M88" s="6">
        <f t="shared" si="73"/>
        <v>0</v>
      </c>
      <c r="N88" s="10" t="str">
        <f t="shared" si="48"/>
        <v>-</v>
      </c>
      <c r="O88" s="6">
        <f t="shared" si="70"/>
        <v>0</v>
      </c>
      <c r="P88" s="6">
        <f t="shared" si="51"/>
        <v>0</v>
      </c>
      <c r="Q88" s="10" t="str">
        <f t="shared" si="50"/>
        <v>-</v>
      </c>
      <c r="R88" s="6">
        <f t="shared" si="52"/>
        <v>0</v>
      </c>
      <c r="S88" s="6">
        <f t="shared" si="53"/>
        <v>0</v>
      </c>
      <c r="T88" s="10" t="str">
        <f t="shared" si="54"/>
        <v>-</v>
      </c>
      <c r="U88" s="6">
        <f t="shared" si="53"/>
        <v>0</v>
      </c>
      <c r="V88" s="6">
        <f t="shared" si="55"/>
        <v>0</v>
      </c>
      <c r="W88" s="6">
        <f t="shared" si="56"/>
        <v>0</v>
      </c>
      <c r="X88" s="6">
        <f t="shared" si="57"/>
        <v>0</v>
      </c>
      <c r="Y88" s="6" t="str">
        <f t="shared" si="58"/>
        <v>-</v>
      </c>
      <c r="Z88" s="6" t="str">
        <f t="shared" si="59"/>
        <v>-</v>
      </c>
      <c r="AA88" s="7" t="str">
        <f t="shared" si="60"/>
        <v>-</v>
      </c>
      <c r="AB88" s="7" t="str">
        <f t="shared" si="61"/>
        <v>-</v>
      </c>
      <c r="AC88" s="8" t="str">
        <f t="shared" si="62"/>
        <v>-</v>
      </c>
      <c r="AD88" s="8" t="str">
        <f t="shared" si="63"/>
        <v>-</v>
      </c>
      <c r="AE88" s="8" t="str">
        <f t="shared" si="64"/>
        <v>-</v>
      </c>
      <c r="AF88" s="8" t="str">
        <f t="shared" si="65"/>
        <v>-</v>
      </c>
    </row>
    <row r="89" spans="1:32" x14ac:dyDescent="0.25">
      <c r="C89" s="23" t="s">
        <v>52</v>
      </c>
      <c r="D89" s="6">
        <f t="shared" ca="1" si="69"/>
        <v>268</v>
      </c>
      <c r="E89" s="10">
        <f t="shared" ca="1" si="42"/>
        <v>893.70149253731347</v>
      </c>
      <c r="F89" s="6">
        <f t="shared" ca="1" si="71"/>
        <v>239512</v>
      </c>
      <c r="G89" s="6">
        <f t="shared" ca="1" si="71"/>
        <v>314.11111111111109</v>
      </c>
      <c r="H89" s="10">
        <f t="shared" ca="1" si="44"/>
        <v>740.50330739299625</v>
      </c>
      <c r="I89" s="6">
        <f t="shared" ca="1" si="72"/>
        <v>232600.31666666671</v>
      </c>
      <c r="J89" s="6">
        <f t="shared" ca="1" si="72"/>
        <v>250</v>
      </c>
      <c r="K89" s="10">
        <f t="shared" ca="1" si="46"/>
        <v>692.29552000000001</v>
      </c>
      <c r="L89" s="6">
        <f t="shared" ca="1" si="73"/>
        <v>173073.88</v>
      </c>
      <c r="M89" s="6">
        <f t="shared" ca="1" si="73"/>
        <v>411.46236714975845</v>
      </c>
      <c r="N89" s="10">
        <f t="shared" ca="1" si="48"/>
        <v>690.14817346179291</v>
      </c>
      <c r="O89" s="6">
        <f t="shared" ca="1" si="70"/>
        <v>283970.0011366714</v>
      </c>
      <c r="P89" s="6">
        <f t="shared" ca="1" si="51"/>
        <v>522.72727272727275</v>
      </c>
      <c r="Q89" s="10">
        <f t="shared" ca="1" si="50"/>
        <v>692.29552000000001</v>
      </c>
      <c r="R89" s="6">
        <f t="shared" ca="1" si="52"/>
        <v>361881.74909090908</v>
      </c>
      <c r="S89" s="6">
        <f t="shared" ca="1" si="53"/>
        <v>860.33040404040401</v>
      </c>
      <c r="T89" s="10">
        <f t="shared" ca="1" si="54"/>
        <v>690.14817346179291</v>
      </c>
      <c r="U89" s="6">
        <f t="shared" ca="1" si="53"/>
        <v>593755.45692213112</v>
      </c>
      <c r="V89" s="6">
        <f t="shared" ca="1" si="55"/>
        <v>-161.46236714975845</v>
      </c>
      <c r="W89" s="6">
        <f t="shared" ca="1" si="56"/>
        <v>2.1473465382071026</v>
      </c>
      <c r="X89" s="6">
        <f t="shared" ca="1" si="57"/>
        <v>-110896.1211366714</v>
      </c>
      <c r="Y89" s="6">
        <f t="shared" ca="1" si="58"/>
        <v>536.83663455177566</v>
      </c>
      <c r="Z89" s="6">
        <f t="shared" ca="1" si="59"/>
        <v>-111432.95777122318</v>
      </c>
      <c r="AA89" s="7">
        <f t="shared" ca="1" si="60"/>
        <v>0.60758898008528783</v>
      </c>
      <c r="AB89" s="7">
        <f t="shared" ca="1" si="61"/>
        <v>0.60947944961517819</v>
      </c>
      <c r="AC89" s="8">
        <f t="shared" ca="1" si="62"/>
        <v>-6.7164179104477612E-2</v>
      </c>
      <c r="AD89" s="8">
        <f t="shared" ca="1" si="63"/>
        <v>-0.27738952536824873</v>
      </c>
      <c r="AE89" s="8">
        <f t="shared" ca="1" si="64"/>
        <v>-0.20410328970640249</v>
      </c>
      <c r="AF89" s="8">
        <f t="shared" ca="1" si="65"/>
        <v>-0.25591726408512355</v>
      </c>
    </row>
    <row r="90" spans="1:32" x14ac:dyDescent="0.25">
      <c r="C90" s="23" t="s">
        <v>53</v>
      </c>
      <c r="D90" s="6">
        <f t="shared" ca="1" si="69"/>
        <v>54</v>
      </c>
      <c r="E90" s="10">
        <f t="shared" ca="1" si="42"/>
        <v>626.5</v>
      </c>
      <c r="F90" s="6">
        <f t="shared" ca="1" si="71"/>
        <v>33831</v>
      </c>
      <c r="G90" s="6">
        <f t="shared" ca="1" si="71"/>
        <v>53.888888888888893</v>
      </c>
      <c r="H90" s="10">
        <f t="shared" ca="1" si="44"/>
        <v>653.23247422680402</v>
      </c>
      <c r="I90" s="6">
        <f t="shared" ca="1" si="72"/>
        <v>35201.972222222219</v>
      </c>
      <c r="J90" s="6">
        <f t="shared" ca="1" si="72"/>
        <v>61</v>
      </c>
      <c r="K90" s="10">
        <f t="shared" ca="1" si="46"/>
        <v>506.73901639344257</v>
      </c>
      <c r="L90" s="6">
        <f t="shared" ca="1" si="73"/>
        <v>30911.079999999998</v>
      </c>
      <c r="M90" s="6">
        <f t="shared" ca="1" si="73"/>
        <v>58.888888888888893</v>
      </c>
      <c r="N90" s="10">
        <f t="shared" ca="1" si="48"/>
        <v>761.92797872340429</v>
      </c>
      <c r="O90" s="6">
        <f t="shared" ca="1" si="70"/>
        <v>44869.092080378257</v>
      </c>
      <c r="P90" s="6">
        <f t="shared" ca="1" si="51"/>
        <v>127.54545454545455</v>
      </c>
      <c r="Q90" s="10">
        <f t="shared" ca="1" si="50"/>
        <v>506.73901639344257</v>
      </c>
      <c r="R90" s="6">
        <f t="shared" ca="1" si="52"/>
        <v>64632.258181818179</v>
      </c>
      <c r="S90" s="6">
        <f t="shared" ca="1" si="53"/>
        <v>123.13131313131314</v>
      </c>
      <c r="T90" s="10">
        <f t="shared" ca="1" si="54"/>
        <v>761.92797872340429</v>
      </c>
      <c r="U90" s="6">
        <f t="shared" ca="1" si="53"/>
        <v>93817.192531699984</v>
      </c>
      <c r="V90" s="6">
        <f t="shared" ca="1" si="55"/>
        <v>2.1111111111111072</v>
      </c>
      <c r="W90" s="6">
        <f t="shared" ca="1" si="56"/>
        <v>-255.18896232996173</v>
      </c>
      <c r="X90" s="6">
        <f t="shared" ca="1" si="57"/>
        <v>-13958.012080378259</v>
      </c>
      <c r="Y90" s="6">
        <f t="shared" ca="1" si="58"/>
        <v>-15566.526702127665</v>
      </c>
      <c r="Z90" s="6">
        <f t="shared" ca="1" si="59"/>
        <v>1608.5146217494062</v>
      </c>
      <c r="AA90" s="7">
        <f t="shared" ca="1" si="60"/>
        <v>1.0358490566037735</v>
      </c>
      <c r="AB90" s="7">
        <f t="shared" ca="1" si="61"/>
        <v>0.68891699311913979</v>
      </c>
      <c r="AC90" s="8">
        <f t="shared" ca="1" si="62"/>
        <v>0.12962962962962962</v>
      </c>
      <c r="AD90" s="8">
        <f t="shared" ca="1" si="63"/>
        <v>-8.630900653247027E-2</v>
      </c>
      <c r="AE90" s="8">
        <f t="shared" ca="1" si="64"/>
        <v>0.13195876288659786</v>
      </c>
      <c r="AF90" s="8">
        <f t="shared" ca="1" si="65"/>
        <v>-0.12189351764539705</v>
      </c>
    </row>
    <row r="93" spans="1:32" x14ac:dyDescent="0.25">
      <c r="C93" s="108" t="s">
        <v>23</v>
      </c>
      <c r="D93" s="102" t="s">
        <v>30</v>
      </c>
      <c r="E93" s="103"/>
      <c r="F93" s="104"/>
      <c r="G93" s="102" t="s">
        <v>31</v>
      </c>
      <c r="H93" s="103"/>
      <c r="I93" s="104"/>
      <c r="J93" s="102" t="s">
        <v>353</v>
      </c>
      <c r="K93" s="103"/>
      <c r="L93" s="104"/>
      <c r="M93" s="102" t="s">
        <v>354</v>
      </c>
      <c r="N93" s="103"/>
      <c r="O93" s="104"/>
      <c r="P93" s="110" t="s">
        <v>3</v>
      </c>
      <c r="Q93" s="111"/>
      <c r="R93" s="111"/>
      <c r="S93" s="111"/>
      <c r="T93" s="111"/>
      <c r="U93" s="100" t="s">
        <v>6</v>
      </c>
      <c r="V93" s="100"/>
      <c r="W93" s="100" t="s">
        <v>7</v>
      </c>
      <c r="X93" s="100"/>
      <c r="Y93" s="100" t="s">
        <v>8</v>
      </c>
      <c r="Z93" s="100"/>
      <c r="AA93"/>
      <c r="AB93"/>
    </row>
    <row r="94" spans="1:32" x14ac:dyDescent="0.25">
      <c r="C94" s="109"/>
      <c r="D94" s="105"/>
      <c r="E94" s="106"/>
      <c r="F94" s="107"/>
      <c r="G94" s="105"/>
      <c r="H94" s="106"/>
      <c r="I94" s="107"/>
      <c r="J94" s="105"/>
      <c r="K94" s="106"/>
      <c r="L94" s="107"/>
      <c r="M94" s="105"/>
      <c r="N94" s="106"/>
      <c r="O94" s="107"/>
      <c r="P94" s="105"/>
      <c r="Q94" s="106"/>
      <c r="R94" s="106"/>
      <c r="S94" s="106"/>
      <c r="T94" s="106"/>
      <c r="U94" s="101"/>
      <c r="V94" s="101"/>
      <c r="W94" s="101"/>
      <c r="X94" s="101"/>
      <c r="Y94" s="101"/>
      <c r="Z94" s="101"/>
      <c r="AA94"/>
      <c r="AB94"/>
    </row>
    <row r="95" spans="1:32" x14ac:dyDescent="0.25">
      <c r="A95" s="18" t="s">
        <v>4</v>
      </c>
      <c r="B95" s="19" t="s">
        <v>33</v>
      </c>
      <c r="C95" s="19" t="s">
        <v>34</v>
      </c>
      <c r="D95" s="20" t="s">
        <v>9</v>
      </c>
      <c r="E95" s="20" t="s">
        <v>10</v>
      </c>
      <c r="F95" s="20" t="s">
        <v>11</v>
      </c>
      <c r="G95" s="20" t="s">
        <v>9</v>
      </c>
      <c r="H95" s="20" t="s">
        <v>10</v>
      </c>
      <c r="I95" s="20" t="s">
        <v>11</v>
      </c>
      <c r="J95" s="20" t="s">
        <v>9</v>
      </c>
      <c r="K95" s="20" t="s">
        <v>10</v>
      </c>
      <c r="L95" s="20" t="s">
        <v>11</v>
      </c>
      <c r="M95" s="20" t="s">
        <v>9</v>
      </c>
      <c r="N95" s="20" t="s">
        <v>10</v>
      </c>
      <c r="O95" s="20" t="s">
        <v>11</v>
      </c>
      <c r="P95" s="20" t="s">
        <v>9</v>
      </c>
      <c r="Q95" s="20" t="s">
        <v>10</v>
      </c>
      <c r="R95" s="20" t="s">
        <v>11</v>
      </c>
      <c r="S95" s="20" t="s">
        <v>14</v>
      </c>
      <c r="T95" s="20" t="s">
        <v>15</v>
      </c>
      <c r="U95" s="20" t="s">
        <v>16</v>
      </c>
      <c r="V95" s="20" t="s">
        <v>11</v>
      </c>
      <c r="W95" s="20" t="s">
        <v>16</v>
      </c>
      <c r="X95" s="20" t="s">
        <v>11</v>
      </c>
      <c r="Y95" s="20" t="s">
        <v>16</v>
      </c>
      <c r="Z95" s="20" t="s">
        <v>11</v>
      </c>
      <c r="AA95"/>
      <c r="AB95"/>
    </row>
    <row r="96" spans="1:32" x14ac:dyDescent="0.25">
      <c r="A96" s="5" t="s">
        <v>22</v>
      </c>
      <c r="B96" s="5" t="s">
        <v>35</v>
      </c>
      <c r="C96" s="5" t="s">
        <v>54</v>
      </c>
      <c r="D96" s="6">
        <f t="shared" ref="D96:D159" ca="1" si="74">IFERROR(VLOOKUP($C96,INDIRECT("'"&amp;$AA96&amp;"-"&amp;$C$1&amp;"'!$C:$AH"),D$30,0),0)</f>
        <v>106</v>
      </c>
      <c r="E96" s="6">
        <f ca="1">IFERROR(F96/D96,"-")</f>
        <v>720.81132075471703</v>
      </c>
      <c r="F96" s="6">
        <f t="shared" ref="F96:G115" ca="1" si="75">IFERROR(VLOOKUP($C96,INDIRECT("'"&amp;$AA96&amp;"-"&amp;$C$1&amp;"'!$C:$AH"),F$30,0),0)</f>
        <v>76406</v>
      </c>
      <c r="G96" s="6">
        <f t="shared" ca="1" si="75"/>
        <v>198.33333333333334</v>
      </c>
      <c r="H96" s="6">
        <f ca="1">IFERROR(I96/G96,"-")</f>
        <v>437.49873949579825</v>
      </c>
      <c r="I96" s="6">
        <f t="shared" ref="I96:J115" ca="1" si="76">IFERROR(VLOOKUP($C96,INDIRECT("'"&amp;$AA96&amp;"-"&amp;$C$1&amp;"'!$C:$AH"),I$30,0),0)</f>
        <v>86770.583333333328</v>
      </c>
      <c r="J96" s="6">
        <f t="shared" ca="1" si="76"/>
        <v>118</v>
      </c>
      <c r="K96" s="6">
        <f ca="1">IFERROR(L96/J96,"-")</f>
        <v>725.1966949152544</v>
      </c>
      <c r="L96" s="6">
        <f t="shared" ref="L96:M115" ca="1" si="77">IFERROR(VLOOKUP($C96,INDIRECT("'"&amp;$AA96&amp;"-"&amp;$C$1&amp;"'!$C:$AH"),L$30,0),0)</f>
        <v>85573.210000000021</v>
      </c>
      <c r="M96" s="6">
        <f t="shared" ca="1" si="77"/>
        <v>228.08333333333334</v>
      </c>
      <c r="N96" s="6">
        <f ca="1">IFERROR(O96/M96,"-")</f>
        <v>696.89574660633468</v>
      </c>
      <c r="O96" s="6">
        <f t="shared" ref="O96:Z105" ca="1" si="78">IFERROR(VLOOKUP($C96,INDIRECT("'"&amp;$AA96&amp;"-"&amp;$C$1&amp;"'!$C:$AH"),O$30,0),0)</f>
        <v>158950.30487179485</v>
      </c>
      <c r="P96" s="6">
        <f t="shared" ca="1" si="78"/>
        <v>-110.08333333333334</v>
      </c>
      <c r="Q96" s="6">
        <f t="shared" ca="1" si="78"/>
        <v>28.300948308919715</v>
      </c>
      <c r="R96" s="6">
        <f t="shared" ca="1" si="78"/>
        <v>-73377.094871794834</v>
      </c>
      <c r="S96" s="6">
        <f t="shared" ca="1" si="78"/>
        <v>3339.5119004525263</v>
      </c>
      <c r="T96" s="6">
        <f t="shared" ca="1" si="78"/>
        <v>-76716.606772247353</v>
      </c>
      <c r="U96" s="7">
        <f t="shared" ca="1" si="78"/>
        <v>0.51735476799415414</v>
      </c>
      <c r="V96" s="7">
        <f t="shared" ca="1" si="78"/>
        <v>0.53836455405996941</v>
      </c>
      <c r="W96" s="7">
        <f t="shared" ca="1" si="78"/>
        <v>0.11320754716981132</v>
      </c>
      <c r="X96" s="7">
        <f t="shared" ca="1" si="78"/>
        <v>0.11998023715415047</v>
      </c>
      <c r="Y96" s="7">
        <f t="shared" ca="1" si="78"/>
        <v>-0.40504201680672269</v>
      </c>
      <c r="Z96" s="7">
        <f t="shared" ca="1" si="78"/>
        <v>-1.3799300262089293E-2</v>
      </c>
      <c r="AA96" s="28" t="str">
        <f>VLOOKUP(A96,$AC$96:$AD$104,2,0)</f>
        <v>HJH</v>
      </c>
      <c r="AB96" s="28" t="str">
        <f>A96&amp;C96</f>
        <v>HJHSHERIF MOHAMED IBRAHIM ELDAWY</v>
      </c>
      <c r="AC96" s="12" t="s">
        <v>22</v>
      </c>
      <c r="AD96" s="12" t="s">
        <v>22</v>
      </c>
    </row>
    <row r="97" spans="1:30" x14ac:dyDescent="0.25">
      <c r="A97" s="5" t="s">
        <v>22</v>
      </c>
      <c r="B97" s="5" t="s">
        <v>36</v>
      </c>
      <c r="C97" s="5" t="s">
        <v>55</v>
      </c>
      <c r="D97" s="6">
        <f t="shared" ca="1" si="74"/>
        <v>109</v>
      </c>
      <c r="E97" s="6">
        <f t="shared" ref="E97:E160" ca="1" si="79">IFERROR(F97/D97,"-")</f>
        <v>1020.440366972477</v>
      </c>
      <c r="F97" s="6">
        <f t="shared" ca="1" si="75"/>
        <v>111228</v>
      </c>
      <c r="G97" s="6">
        <f t="shared" ca="1" si="75"/>
        <v>153.88888888888889</v>
      </c>
      <c r="H97" s="6">
        <f t="shared" ref="H97:H160" ca="1" si="80">IFERROR(I97/G97,"-")</f>
        <v>765.56021660649867</v>
      </c>
      <c r="I97" s="6">
        <f t="shared" ca="1" si="76"/>
        <v>117811.21111111117</v>
      </c>
      <c r="J97" s="6">
        <f t="shared" ca="1" si="76"/>
        <v>91</v>
      </c>
      <c r="K97" s="6">
        <f t="shared" ref="K97:K160" ca="1" si="81">IFERROR(L97/J97,"-")</f>
        <v>756.19571428571442</v>
      </c>
      <c r="L97" s="6">
        <f t="shared" ca="1" si="77"/>
        <v>68813.810000000012</v>
      </c>
      <c r="M97" s="6">
        <f t="shared" ca="1" si="77"/>
        <v>173.20261437908496</v>
      </c>
      <c r="N97" s="6">
        <f t="shared" ref="N97:N160" ca="1" si="82">IFERROR(O97/M97,"-")</f>
        <v>927.48140000000001</v>
      </c>
      <c r="O97" s="6">
        <f t="shared" ca="1" si="78"/>
        <v>160642.20326797385</v>
      </c>
      <c r="P97" s="6">
        <f t="shared" ca="1" si="78"/>
        <v>-82.202614379084963</v>
      </c>
      <c r="Q97" s="6">
        <f t="shared" ca="1" si="78"/>
        <v>-171.28568571428559</v>
      </c>
      <c r="R97" s="6">
        <f t="shared" ca="1" si="78"/>
        <v>-91828.393267973835</v>
      </c>
      <c r="S97" s="6">
        <f t="shared" ca="1" si="78"/>
        <v>-15586.997399999989</v>
      </c>
      <c r="T97" s="6">
        <f t="shared" ca="1" si="78"/>
        <v>-76241.395867973857</v>
      </c>
      <c r="U97" s="7">
        <f t="shared" ca="1" si="78"/>
        <v>0.52539622641509431</v>
      </c>
      <c r="V97" s="7">
        <f t="shared" ca="1" si="78"/>
        <v>0.42836694592148289</v>
      </c>
      <c r="W97" s="7">
        <f t="shared" ca="1" si="78"/>
        <v>-0.16513761467889909</v>
      </c>
      <c r="X97" s="7">
        <f t="shared" ca="1" si="78"/>
        <v>-0.38132655446470304</v>
      </c>
      <c r="Y97" s="7">
        <f t="shared" ca="1" si="78"/>
        <v>-0.40866425992779781</v>
      </c>
      <c r="Z97" s="7">
        <f t="shared" ca="1" si="78"/>
        <v>-0.41589760982000507</v>
      </c>
      <c r="AA97" s="28" t="str">
        <f t="shared" ref="AA97:AA160" si="83">VLOOKUP(A97,$AC$96:$AD$104,2,0)</f>
        <v>HJH</v>
      </c>
      <c r="AB97" s="28"/>
      <c r="AC97" s="12" t="s">
        <v>145</v>
      </c>
      <c r="AD97" s="12" t="s">
        <v>21</v>
      </c>
    </row>
    <row r="98" spans="1:30" x14ac:dyDescent="0.25">
      <c r="A98" s="5" t="s">
        <v>22</v>
      </c>
      <c r="B98" s="5" t="s">
        <v>36</v>
      </c>
      <c r="C98" s="5" t="s">
        <v>56</v>
      </c>
      <c r="D98" s="6">
        <f t="shared" ca="1" si="74"/>
        <v>37</v>
      </c>
      <c r="E98" s="6">
        <f t="shared" ca="1" si="79"/>
        <v>1138.4594594594594</v>
      </c>
      <c r="F98" s="6">
        <f t="shared" ca="1" si="75"/>
        <v>42123</v>
      </c>
      <c r="G98" s="6">
        <f t="shared" ca="1" si="75"/>
        <v>38.333333333333336</v>
      </c>
      <c r="H98" s="6">
        <f t="shared" ca="1" si="80"/>
        <v>1258.710289855072</v>
      </c>
      <c r="I98" s="6">
        <f t="shared" ca="1" si="76"/>
        <v>48250.561111111099</v>
      </c>
      <c r="J98" s="6">
        <f t="shared" ca="1" si="76"/>
        <v>47</v>
      </c>
      <c r="K98" s="6">
        <f t="shared" ca="1" si="81"/>
        <v>970.14510638297884</v>
      </c>
      <c r="L98" s="6">
        <f t="shared" ca="1" si="77"/>
        <v>45596.820000000007</v>
      </c>
      <c r="M98" s="6">
        <f t="shared" ca="1" si="77"/>
        <v>95.996732026143803</v>
      </c>
      <c r="N98" s="6">
        <f t="shared" ca="1" si="82"/>
        <v>1107.1036170212762</v>
      </c>
      <c r="O98" s="6">
        <f t="shared" ca="1" si="78"/>
        <v>106278.329248366</v>
      </c>
      <c r="P98" s="6">
        <f t="shared" ca="1" si="78"/>
        <v>-48.996732026143803</v>
      </c>
      <c r="Q98" s="6">
        <f t="shared" ca="1" si="78"/>
        <v>-136.95851063829741</v>
      </c>
      <c r="R98" s="6">
        <f t="shared" ca="1" si="78"/>
        <v>-60681.509248365997</v>
      </c>
      <c r="S98" s="6">
        <f t="shared" ca="1" si="78"/>
        <v>-6437.0499999999784</v>
      </c>
      <c r="T98" s="6">
        <f t="shared" ca="1" si="78"/>
        <v>-54244.459248366009</v>
      </c>
      <c r="U98" s="7">
        <f t="shared" ca="1" si="78"/>
        <v>0.48959999999999992</v>
      </c>
      <c r="V98" s="7">
        <f t="shared" ca="1" si="78"/>
        <v>0.42903214909827014</v>
      </c>
      <c r="W98" s="7">
        <f t="shared" ca="1" si="78"/>
        <v>0.27027027027027029</v>
      </c>
      <c r="X98" s="7">
        <f t="shared" ca="1" si="78"/>
        <v>8.2468485150630461E-2</v>
      </c>
      <c r="Y98" s="7">
        <f t="shared" ca="1" si="78"/>
        <v>0.22608695652173905</v>
      </c>
      <c r="Z98" s="7">
        <f t="shared" ca="1" si="78"/>
        <v>-5.4999176175383191E-2</v>
      </c>
      <c r="AA98" s="28" t="str">
        <f t="shared" si="83"/>
        <v>HJH</v>
      </c>
      <c r="AB98" s="28"/>
      <c r="AC98" s="12" t="s">
        <v>144</v>
      </c>
      <c r="AD98" s="12" t="s">
        <v>21</v>
      </c>
    </row>
    <row r="99" spans="1:30" x14ac:dyDescent="0.25">
      <c r="A99" s="5" t="s">
        <v>22</v>
      </c>
      <c r="B99" s="5" t="s">
        <v>37</v>
      </c>
      <c r="C99" s="5" t="s">
        <v>57</v>
      </c>
      <c r="D99" s="6">
        <f t="shared" ca="1" si="74"/>
        <v>0</v>
      </c>
      <c r="E99" s="6" t="str">
        <f t="shared" ca="1" si="79"/>
        <v>-</v>
      </c>
      <c r="F99" s="6">
        <f t="shared" ca="1" si="75"/>
        <v>0</v>
      </c>
      <c r="G99" s="6">
        <f t="shared" ca="1" si="75"/>
        <v>3.8888888888888893</v>
      </c>
      <c r="H99" s="6">
        <f t="shared" ca="1" si="80"/>
        <v>703.21714285714302</v>
      </c>
      <c r="I99" s="6">
        <f t="shared" ca="1" si="76"/>
        <v>2734.733333333334</v>
      </c>
      <c r="J99" s="6">
        <f t="shared" ca="1" si="76"/>
        <v>2</v>
      </c>
      <c r="K99" s="6">
        <f t="shared" ca="1" si="81"/>
        <v>102.75</v>
      </c>
      <c r="L99" s="6">
        <f t="shared" ca="1" si="77"/>
        <v>205.5</v>
      </c>
      <c r="M99" s="6">
        <f t="shared" ca="1" si="77"/>
        <v>22</v>
      </c>
      <c r="N99" s="6">
        <f t="shared" ca="1" si="82"/>
        <v>846.31000000000017</v>
      </c>
      <c r="O99" s="6">
        <f t="shared" ca="1" si="78"/>
        <v>18618.820000000003</v>
      </c>
      <c r="P99" s="6">
        <f t="shared" ca="1" si="78"/>
        <v>-20</v>
      </c>
      <c r="Q99" s="6">
        <f t="shared" ca="1" si="78"/>
        <v>-743.56000000000017</v>
      </c>
      <c r="R99" s="6">
        <f t="shared" ca="1" si="78"/>
        <v>-18413.320000000003</v>
      </c>
      <c r="S99" s="6">
        <f t="shared" ca="1" si="78"/>
        <v>-1487.1200000000003</v>
      </c>
      <c r="T99" s="6">
        <f t="shared" ca="1" si="78"/>
        <v>-16926.200000000004</v>
      </c>
      <c r="U99" s="7">
        <f t="shared" ca="1" si="78"/>
        <v>9.0909090909090912E-2</v>
      </c>
      <c r="V99" s="7">
        <f t="shared" ca="1" si="78"/>
        <v>1.1037219329688991E-2</v>
      </c>
      <c r="W99" s="7" t="str">
        <f t="shared" ca="1" si="78"/>
        <v>-</v>
      </c>
      <c r="X99" s="7" t="str">
        <f t="shared" ca="1" si="78"/>
        <v>-</v>
      </c>
      <c r="Y99" s="7">
        <f t="shared" ca="1" si="78"/>
        <v>-0.48571428571428577</v>
      </c>
      <c r="Z99" s="7">
        <f t="shared" ca="1" si="78"/>
        <v>-0.92485556178542705</v>
      </c>
      <c r="AA99" s="28" t="str">
        <f t="shared" si="83"/>
        <v>HJH</v>
      </c>
      <c r="AB99" s="28"/>
      <c r="AC99" s="12" t="s">
        <v>208</v>
      </c>
      <c r="AD99" s="12" t="s">
        <v>0</v>
      </c>
    </row>
    <row r="100" spans="1:30" x14ac:dyDescent="0.25">
      <c r="A100" s="5" t="s">
        <v>22</v>
      </c>
      <c r="B100" s="5" t="s">
        <v>38</v>
      </c>
      <c r="C100" s="5" t="s">
        <v>58</v>
      </c>
      <c r="D100" s="6">
        <f t="shared" ca="1" si="74"/>
        <v>111</v>
      </c>
      <c r="E100" s="6">
        <f t="shared" ca="1" si="79"/>
        <v>845.40540540540542</v>
      </c>
      <c r="F100" s="6">
        <f t="shared" ca="1" si="75"/>
        <v>93840</v>
      </c>
      <c r="G100" s="6">
        <f t="shared" ca="1" si="75"/>
        <v>101.11111111111111</v>
      </c>
      <c r="H100" s="6">
        <f t="shared" ca="1" si="80"/>
        <v>849.83104395604391</v>
      </c>
      <c r="I100" s="6">
        <f t="shared" ca="1" si="76"/>
        <v>85927.361111111109</v>
      </c>
      <c r="J100" s="6">
        <f t="shared" ca="1" si="76"/>
        <v>108</v>
      </c>
      <c r="K100" s="6">
        <f t="shared" ca="1" si="81"/>
        <v>841.50537037037054</v>
      </c>
      <c r="L100" s="6">
        <f t="shared" ca="1" si="77"/>
        <v>90882.580000000016</v>
      </c>
      <c r="M100" s="6">
        <f t="shared" ca="1" si="77"/>
        <v>236.66666666666669</v>
      </c>
      <c r="N100" s="6">
        <f t="shared" ca="1" si="82"/>
        <v>855.08720472440848</v>
      </c>
      <c r="O100" s="6">
        <f t="shared" ca="1" si="78"/>
        <v>202370.63845144334</v>
      </c>
      <c r="P100" s="6">
        <f t="shared" ca="1" si="78"/>
        <v>-128.66666666666669</v>
      </c>
      <c r="Q100" s="6">
        <f t="shared" ca="1" si="78"/>
        <v>-13.581834354037937</v>
      </c>
      <c r="R100" s="6">
        <f t="shared" ca="1" si="78"/>
        <v>-111488.05845144333</v>
      </c>
      <c r="S100" s="6">
        <f t="shared" ca="1" si="78"/>
        <v>-1466.8381102360972</v>
      </c>
      <c r="T100" s="6">
        <f t="shared" ca="1" si="78"/>
        <v>-110021.22034120724</v>
      </c>
      <c r="U100" s="7">
        <f t="shared" ca="1" si="78"/>
        <v>0.45633802816901403</v>
      </c>
      <c r="V100" s="7">
        <f t="shared" ca="1" si="78"/>
        <v>0.44908975281908947</v>
      </c>
      <c r="W100" s="7">
        <f t="shared" ca="1" si="78"/>
        <v>-2.7027027027027029E-2</v>
      </c>
      <c r="X100" s="7">
        <f t="shared" ca="1" si="78"/>
        <v>-3.1515558397271777E-2</v>
      </c>
      <c r="Y100" s="7">
        <f t="shared" ca="1" si="78"/>
        <v>6.8131868131868098E-2</v>
      </c>
      <c r="Z100" s="7">
        <f t="shared" ca="1" si="78"/>
        <v>5.7667532492722585E-2</v>
      </c>
      <c r="AA100" s="28" t="str">
        <f t="shared" si="83"/>
        <v>HJH</v>
      </c>
      <c r="AB100" s="28"/>
      <c r="AC100" s="12" t="s">
        <v>207</v>
      </c>
      <c r="AD100" s="12" t="s">
        <v>0</v>
      </c>
    </row>
    <row r="101" spans="1:30" x14ac:dyDescent="0.25">
      <c r="A101" s="5" t="s">
        <v>22</v>
      </c>
      <c r="B101" s="5" t="s">
        <v>39</v>
      </c>
      <c r="C101" s="5" t="s">
        <v>59</v>
      </c>
      <c r="D101" s="6">
        <f t="shared" ca="1" si="74"/>
        <v>264</v>
      </c>
      <c r="E101" s="6">
        <f t="shared" ca="1" si="79"/>
        <v>457.06818181818181</v>
      </c>
      <c r="F101" s="6">
        <f t="shared" ca="1" si="75"/>
        <v>120666</v>
      </c>
      <c r="G101" s="6">
        <f t="shared" ca="1" si="75"/>
        <v>249.44444444444446</v>
      </c>
      <c r="H101" s="6">
        <f t="shared" ca="1" si="80"/>
        <v>423.80365256124691</v>
      </c>
      <c r="I101" s="6">
        <f t="shared" ca="1" si="76"/>
        <v>105715.4666666666</v>
      </c>
      <c r="J101" s="6">
        <f t="shared" ca="1" si="76"/>
        <v>132</v>
      </c>
      <c r="K101" s="6">
        <f t="shared" ca="1" si="81"/>
        <v>442.23651515151511</v>
      </c>
      <c r="L101" s="6">
        <f t="shared" ca="1" si="77"/>
        <v>58375.219999999994</v>
      </c>
      <c r="M101" s="6">
        <f t="shared" ca="1" si="77"/>
        <v>338.57212552742612</v>
      </c>
      <c r="N101" s="6">
        <f t="shared" ca="1" si="82"/>
        <v>406.45474387527838</v>
      </c>
      <c r="O101" s="6">
        <f t="shared" ca="1" si="78"/>
        <v>137614.24656455859</v>
      </c>
      <c r="P101" s="6">
        <f t="shared" ca="1" si="78"/>
        <v>-206.57212552742612</v>
      </c>
      <c r="Q101" s="6">
        <f t="shared" ca="1" si="78"/>
        <v>35.781771276236725</v>
      </c>
      <c r="R101" s="6">
        <f t="shared" ca="1" si="78"/>
        <v>-79239.02656455859</v>
      </c>
      <c r="S101" s="6">
        <f t="shared" ca="1" si="78"/>
        <v>4723.1938084632475</v>
      </c>
      <c r="T101" s="6">
        <f t="shared" ca="1" si="78"/>
        <v>-83962.220373021846</v>
      </c>
      <c r="U101" s="7">
        <f t="shared" ca="1" si="78"/>
        <v>0.38987261516101185</v>
      </c>
      <c r="V101" s="7">
        <f t="shared" ca="1" si="78"/>
        <v>0.42419459799617903</v>
      </c>
      <c r="W101" s="7">
        <f t="shared" ca="1" si="78"/>
        <v>-0.5</v>
      </c>
      <c r="X101" s="7">
        <f t="shared" ca="1" si="78"/>
        <v>-0.51622478577229713</v>
      </c>
      <c r="Y101" s="7">
        <f t="shared" ca="1" si="78"/>
        <v>-0.47082405345211586</v>
      </c>
      <c r="Z101" s="7">
        <f t="shared" ca="1" si="78"/>
        <v>-0.44780814160274218</v>
      </c>
      <c r="AA101" s="28" t="str">
        <f t="shared" si="83"/>
        <v>HJH</v>
      </c>
      <c r="AB101" s="28"/>
      <c r="AC101" s="12" t="s">
        <v>18</v>
      </c>
      <c r="AD101" s="12" t="s">
        <v>18</v>
      </c>
    </row>
    <row r="102" spans="1:30" x14ac:dyDescent="0.25">
      <c r="A102" s="5" t="s">
        <v>22</v>
      </c>
      <c r="B102" s="5" t="s">
        <v>39</v>
      </c>
      <c r="C102" s="5" t="s">
        <v>60</v>
      </c>
      <c r="D102" s="6">
        <f t="shared" ca="1" si="74"/>
        <v>59</v>
      </c>
      <c r="E102" s="6">
        <f t="shared" ca="1" si="79"/>
        <v>781.03389830508479</v>
      </c>
      <c r="F102" s="6">
        <f t="shared" ca="1" si="75"/>
        <v>46081</v>
      </c>
      <c r="G102" s="6">
        <f t="shared" ca="1" si="75"/>
        <v>127.22222222222223</v>
      </c>
      <c r="H102" s="6">
        <f t="shared" ca="1" si="80"/>
        <v>664.61755458515302</v>
      </c>
      <c r="I102" s="6">
        <f t="shared" ca="1" si="76"/>
        <v>84554.122222222242</v>
      </c>
      <c r="J102" s="6">
        <f t="shared" ca="1" si="76"/>
        <v>112</v>
      </c>
      <c r="K102" s="6">
        <f t="shared" ca="1" si="81"/>
        <v>590.90455357142866</v>
      </c>
      <c r="L102" s="6">
        <f t="shared" ca="1" si="77"/>
        <v>66181.310000000012</v>
      </c>
      <c r="M102" s="6">
        <f t="shared" ca="1" si="77"/>
        <v>205.90009669479608</v>
      </c>
      <c r="N102" s="6">
        <f t="shared" ca="1" si="82"/>
        <v>732.25726368159144</v>
      </c>
      <c r="O102" s="6">
        <f t="shared" ca="1" si="78"/>
        <v>150771.84139750648</v>
      </c>
      <c r="P102" s="6">
        <f t="shared" ca="1" si="78"/>
        <v>-93.900096694796076</v>
      </c>
      <c r="Q102" s="6">
        <f t="shared" ca="1" si="78"/>
        <v>-141.35271011016277</v>
      </c>
      <c r="R102" s="6">
        <f t="shared" ca="1" si="78"/>
        <v>-84590.531397506464</v>
      </c>
      <c r="S102" s="6">
        <f t="shared" ca="1" si="78"/>
        <v>-15831.503532338231</v>
      </c>
      <c r="T102" s="6">
        <f t="shared" ca="1" si="78"/>
        <v>-68759.027865168217</v>
      </c>
      <c r="U102" s="7">
        <f t="shared" ca="1" si="78"/>
        <v>0.54395311997359874</v>
      </c>
      <c r="V102" s="7">
        <f t="shared" ca="1" si="78"/>
        <v>0.43895006777501988</v>
      </c>
      <c r="W102" s="7">
        <f t="shared" ca="1" si="78"/>
        <v>0.89830508474576276</v>
      </c>
      <c r="X102" s="7">
        <f t="shared" ca="1" si="78"/>
        <v>0.43619517805603203</v>
      </c>
      <c r="Y102" s="7">
        <f t="shared" ca="1" si="78"/>
        <v>-0.1196506550218341</v>
      </c>
      <c r="Z102" s="7">
        <f t="shared" ca="1" si="78"/>
        <v>-0.21729055591086896</v>
      </c>
      <c r="AA102" s="28" t="str">
        <f t="shared" si="83"/>
        <v>HJH</v>
      </c>
      <c r="AB102" s="28"/>
      <c r="AC102" s="12" t="s">
        <v>19</v>
      </c>
      <c r="AD102" s="12" t="s">
        <v>19</v>
      </c>
    </row>
    <row r="103" spans="1:30" x14ac:dyDescent="0.25">
      <c r="A103" s="5" t="s">
        <v>22</v>
      </c>
      <c r="B103" s="5" t="s">
        <v>40</v>
      </c>
      <c r="C103" s="5" t="s">
        <v>61</v>
      </c>
      <c r="D103" s="6">
        <f t="shared" ca="1" si="74"/>
        <v>182</v>
      </c>
      <c r="E103" s="6">
        <f t="shared" ca="1" si="79"/>
        <v>353.5164835164835</v>
      </c>
      <c r="F103" s="6">
        <f t="shared" ca="1" si="75"/>
        <v>64340</v>
      </c>
      <c r="G103" s="6">
        <f t="shared" ca="1" si="75"/>
        <v>253.88888888888891</v>
      </c>
      <c r="H103" s="6">
        <f t="shared" ca="1" si="80"/>
        <v>330.22150984682736</v>
      </c>
      <c r="I103" s="6">
        <f t="shared" ca="1" si="76"/>
        <v>83839.572222222283</v>
      </c>
      <c r="J103" s="6">
        <f t="shared" ca="1" si="76"/>
        <v>302</v>
      </c>
      <c r="K103" s="6">
        <f t="shared" ca="1" si="81"/>
        <v>296.21029801324505</v>
      </c>
      <c r="L103" s="6">
        <f t="shared" ca="1" si="77"/>
        <v>89455.510000000009</v>
      </c>
      <c r="M103" s="6">
        <f t="shared" ca="1" si="77"/>
        <v>241.66666666666669</v>
      </c>
      <c r="N103" s="6">
        <f t="shared" ca="1" si="82"/>
        <v>332.46585585585564</v>
      </c>
      <c r="O103" s="6">
        <f t="shared" ca="1" si="78"/>
        <v>80345.915165165119</v>
      </c>
      <c r="P103" s="6">
        <f t="shared" ca="1" si="78"/>
        <v>60.333333333333314</v>
      </c>
      <c r="Q103" s="6">
        <f t="shared" ca="1" si="78"/>
        <v>-36.255557842610585</v>
      </c>
      <c r="R103" s="6">
        <f t="shared" ca="1" si="78"/>
        <v>9109.5948348348902</v>
      </c>
      <c r="S103" s="6">
        <f t="shared" ca="1" si="78"/>
        <v>-10949.178468468397</v>
      </c>
      <c r="T103" s="6">
        <f t="shared" ca="1" si="78"/>
        <v>20058.773303303286</v>
      </c>
      <c r="U103" s="7">
        <f t="shared" ca="1" si="78"/>
        <v>1.249655172413793</v>
      </c>
      <c r="V103" s="7">
        <f t="shared" ca="1" si="78"/>
        <v>1.1133796885144505</v>
      </c>
      <c r="W103" s="7">
        <f t="shared" ca="1" si="78"/>
        <v>0.65934065934065933</v>
      </c>
      <c r="X103" s="7">
        <f t="shared" ca="1" si="78"/>
        <v>0.39035607709045711</v>
      </c>
      <c r="Y103" s="7">
        <f t="shared" ca="1" si="78"/>
        <v>0.18949671772428872</v>
      </c>
      <c r="Z103" s="7">
        <f t="shared" ca="1" si="78"/>
        <v>6.6984332444973774E-2</v>
      </c>
      <c r="AA103" s="28" t="str">
        <f t="shared" si="83"/>
        <v>HJH</v>
      </c>
      <c r="AB103" s="28"/>
      <c r="AC103" s="12" t="s">
        <v>21</v>
      </c>
      <c r="AD103" s="12" t="s">
        <v>21</v>
      </c>
    </row>
    <row r="104" spans="1:30" x14ac:dyDescent="0.25">
      <c r="A104" s="5" t="s">
        <v>22</v>
      </c>
      <c r="B104" s="5" t="s">
        <v>154</v>
      </c>
      <c r="C104" s="5" t="s">
        <v>62</v>
      </c>
      <c r="D104" s="6">
        <f t="shared" ca="1" si="74"/>
        <v>69</v>
      </c>
      <c r="E104" s="6">
        <f t="shared" ca="1" si="79"/>
        <v>524.5797101449275</v>
      </c>
      <c r="F104" s="6">
        <f t="shared" ca="1" si="75"/>
        <v>36196</v>
      </c>
      <c r="G104" s="6">
        <f t="shared" ca="1" si="75"/>
        <v>81.111111111111114</v>
      </c>
      <c r="H104" s="6">
        <f t="shared" ca="1" si="80"/>
        <v>436.44664383561661</v>
      </c>
      <c r="I104" s="6">
        <f t="shared" ca="1" si="76"/>
        <v>35400.672222222238</v>
      </c>
      <c r="J104" s="6">
        <f t="shared" ca="1" si="76"/>
        <v>76</v>
      </c>
      <c r="K104" s="6">
        <f t="shared" ca="1" si="81"/>
        <v>299.79934210526318</v>
      </c>
      <c r="L104" s="6">
        <f t="shared" ca="1" si="77"/>
        <v>22784.750000000004</v>
      </c>
      <c r="M104" s="6">
        <f t="shared" ca="1" si="77"/>
        <v>106.11111111111111</v>
      </c>
      <c r="N104" s="6">
        <f t="shared" ca="1" si="82"/>
        <v>460.79959236031681</v>
      </c>
      <c r="O104" s="6">
        <f t="shared" ca="1" si="78"/>
        <v>48895.956744900286</v>
      </c>
      <c r="P104" s="6">
        <f t="shared" ca="1" si="78"/>
        <v>-30.111111111111114</v>
      </c>
      <c r="Q104" s="6">
        <f t="shared" ca="1" si="78"/>
        <v>-161.00025025505363</v>
      </c>
      <c r="R104" s="6">
        <f t="shared" ca="1" si="78"/>
        <v>-26111.206744900283</v>
      </c>
      <c r="S104" s="6">
        <f t="shared" ca="1" si="78"/>
        <v>-12236.019019384075</v>
      </c>
      <c r="T104" s="6">
        <f t="shared" ca="1" si="78"/>
        <v>-13875.187725516207</v>
      </c>
      <c r="U104" s="7">
        <f t="shared" ca="1" si="78"/>
        <v>0.71623036649214655</v>
      </c>
      <c r="V104" s="7">
        <f t="shared" ca="1" si="78"/>
        <v>0.46598433729137306</v>
      </c>
      <c r="W104" s="7">
        <f t="shared" ca="1" si="78"/>
        <v>0.10144927536231885</v>
      </c>
      <c r="X104" s="7">
        <f t="shared" ca="1" si="78"/>
        <v>-0.37051746049287204</v>
      </c>
      <c r="Y104" s="7">
        <f t="shared" ca="1" si="78"/>
        <v>-6.3013698630137019E-2</v>
      </c>
      <c r="Z104" s="7">
        <f t="shared" ca="1" si="78"/>
        <v>-0.35637521635260866</v>
      </c>
      <c r="AA104" s="28" t="str">
        <f t="shared" si="83"/>
        <v>HJH</v>
      </c>
      <c r="AB104" s="28"/>
      <c r="AC104" s="12" t="s">
        <v>0</v>
      </c>
      <c r="AD104" s="12" t="s">
        <v>0</v>
      </c>
    </row>
    <row r="105" spans="1:30" x14ac:dyDescent="0.25">
      <c r="A105" s="5" t="s">
        <v>22</v>
      </c>
      <c r="B105" s="5" t="s">
        <v>41</v>
      </c>
      <c r="C105" s="5" t="s">
        <v>63</v>
      </c>
      <c r="D105" s="6">
        <f t="shared" ca="1" si="74"/>
        <v>67</v>
      </c>
      <c r="E105" s="6">
        <f t="shared" ca="1" si="79"/>
        <v>1051.358208955224</v>
      </c>
      <c r="F105" s="6">
        <f t="shared" ca="1" si="75"/>
        <v>70441</v>
      </c>
      <c r="G105" s="6">
        <f t="shared" ca="1" si="75"/>
        <v>87.777777777777786</v>
      </c>
      <c r="H105" s="6">
        <f t="shared" ca="1" si="80"/>
        <v>833.17221518987424</v>
      </c>
      <c r="I105" s="6">
        <f t="shared" ca="1" si="76"/>
        <v>73134.005555555632</v>
      </c>
      <c r="J105" s="6">
        <f t="shared" ca="1" si="76"/>
        <v>101</v>
      </c>
      <c r="K105" s="6">
        <f t="shared" ca="1" si="81"/>
        <v>805.10306930693082</v>
      </c>
      <c r="L105" s="6">
        <f t="shared" ca="1" si="77"/>
        <v>81315.410000000018</v>
      </c>
      <c r="M105" s="6">
        <f t="shared" ca="1" si="77"/>
        <v>200</v>
      </c>
      <c r="N105" s="6">
        <f t="shared" ca="1" si="82"/>
        <v>838.30505785123978</v>
      </c>
      <c r="O105" s="6">
        <f t="shared" ca="1" si="78"/>
        <v>167661.01157024797</v>
      </c>
      <c r="P105" s="6">
        <f t="shared" ca="1" si="78"/>
        <v>-99</v>
      </c>
      <c r="Q105" s="6">
        <f t="shared" ca="1" si="78"/>
        <v>-33.201988544308961</v>
      </c>
      <c r="R105" s="6">
        <f t="shared" ca="1" si="78"/>
        <v>-86345.601570247949</v>
      </c>
      <c r="S105" s="6">
        <f t="shared" ca="1" si="78"/>
        <v>-3353.4008429752048</v>
      </c>
      <c r="T105" s="6">
        <f t="shared" ca="1" si="78"/>
        <v>-82992.200727272735</v>
      </c>
      <c r="U105" s="7">
        <f t="shared" ca="1" si="78"/>
        <v>0.505</v>
      </c>
      <c r="V105" s="7">
        <f t="shared" ca="1" si="78"/>
        <v>0.48499892275748219</v>
      </c>
      <c r="W105" s="7">
        <f t="shared" ca="1" si="78"/>
        <v>0.5074626865671642</v>
      </c>
      <c r="X105" s="7">
        <f t="shared" ca="1" si="78"/>
        <v>0.15437614457489271</v>
      </c>
      <c r="Y105" s="7">
        <f t="shared" ca="1" si="78"/>
        <v>0.15063291139240495</v>
      </c>
      <c r="Z105" s="7">
        <f t="shared" ca="1" si="78"/>
        <v>0.11186867698952235</v>
      </c>
      <c r="AA105" s="28" t="str">
        <f t="shared" si="83"/>
        <v>HJH</v>
      </c>
      <c r="AB105" s="28"/>
      <c r="AC105" s="12"/>
      <c r="AD105" s="12"/>
    </row>
    <row r="106" spans="1:30" x14ac:dyDescent="0.25">
      <c r="A106" s="5" t="s">
        <v>22</v>
      </c>
      <c r="B106" s="5" t="s">
        <v>41</v>
      </c>
      <c r="C106" s="5" t="s">
        <v>64</v>
      </c>
      <c r="D106" s="6">
        <f t="shared" ca="1" si="74"/>
        <v>52</v>
      </c>
      <c r="E106" s="6">
        <f t="shared" ca="1" si="79"/>
        <v>398.38461538461536</v>
      </c>
      <c r="F106" s="6">
        <f t="shared" ca="1" si="75"/>
        <v>20716</v>
      </c>
      <c r="G106" s="6">
        <f t="shared" ca="1" si="75"/>
        <v>60.555555555555557</v>
      </c>
      <c r="H106" s="6">
        <f t="shared" ca="1" si="80"/>
        <v>314.61146788990834</v>
      </c>
      <c r="I106" s="6">
        <f t="shared" ca="1" si="76"/>
        <v>19051.472222222226</v>
      </c>
      <c r="J106" s="6">
        <f t="shared" ca="1" si="76"/>
        <v>29</v>
      </c>
      <c r="K106" s="6">
        <f t="shared" ca="1" si="81"/>
        <v>379.46206896551729</v>
      </c>
      <c r="L106" s="6">
        <f t="shared" ca="1" si="77"/>
        <v>11004.400000000001</v>
      </c>
      <c r="M106" s="6">
        <f t="shared" ca="1" si="77"/>
        <v>54.44444444444445</v>
      </c>
      <c r="N106" s="6">
        <f t="shared" ca="1" si="82"/>
        <v>423.16158536585368</v>
      </c>
      <c r="O106" s="6">
        <f t="shared" ref="O106:Z115" ca="1" si="84">IFERROR(VLOOKUP($C106,INDIRECT("'"&amp;$AA106&amp;"-"&amp;$C$1&amp;"'!$C:$AH"),O$30,0),0)</f>
        <v>23038.797425474258</v>
      </c>
      <c r="P106" s="6">
        <f t="shared" ca="1" si="84"/>
        <v>-25.44444444444445</v>
      </c>
      <c r="Q106" s="6">
        <f t="shared" ca="1" si="84"/>
        <v>-43.699516400336393</v>
      </c>
      <c r="R106" s="6">
        <f t="shared" ca="1" si="84"/>
        <v>-12034.397425474257</v>
      </c>
      <c r="S106" s="6">
        <f t="shared" ca="1" si="84"/>
        <v>-1267.2859756097555</v>
      </c>
      <c r="T106" s="6">
        <f t="shared" ca="1" si="84"/>
        <v>-10767.111449864502</v>
      </c>
      <c r="U106" s="7">
        <f t="shared" ca="1" si="84"/>
        <v>0.53265306122448974</v>
      </c>
      <c r="V106" s="7">
        <f t="shared" ca="1" si="84"/>
        <v>0.47764645857045956</v>
      </c>
      <c r="W106" s="7">
        <f t="shared" ca="1" si="84"/>
        <v>-0.44230769230769229</v>
      </c>
      <c r="X106" s="7">
        <f t="shared" ca="1" si="84"/>
        <v>-0.46879706507047686</v>
      </c>
      <c r="Y106" s="7">
        <f t="shared" ca="1" si="84"/>
        <v>-0.52110091743119269</v>
      </c>
      <c r="Z106" s="7">
        <f t="shared" ca="1" si="84"/>
        <v>-0.42238584652979577</v>
      </c>
      <c r="AA106" s="28" t="str">
        <f t="shared" si="83"/>
        <v>HJH</v>
      </c>
      <c r="AB106" s="28"/>
      <c r="AC106" s="12"/>
      <c r="AD106" s="12"/>
    </row>
    <row r="107" spans="1:30" x14ac:dyDescent="0.25">
      <c r="A107" s="5" t="s">
        <v>22</v>
      </c>
      <c r="B107" s="5" t="s">
        <v>42</v>
      </c>
      <c r="C107" s="5" t="s">
        <v>65</v>
      </c>
      <c r="D107" s="6">
        <f t="shared" ca="1" si="74"/>
        <v>190</v>
      </c>
      <c r="E107" s="6">
        <f t="shared" ca="1" si="79"/>
        <v>797.43157894736839</v>
      </c>
      <c r="F107" s="6">
        <f t="shared" ca="1" si="75"/>
        <v>151512</v>
      </c>
      <c r="G107" s="6">
        <f t="shared" ca="1" si="75"/>
        <v>435</v>
      </c>
      <c r="H107" s="6">
        <f t="shared" ca="1" si="80"/>
        <v>369.3665772669226</v>
      </c>
      <c r="I107" s="6">
        <f t="shared" ca="1" si="76"/>
        <v>160674.46111111133</v>
      </c>
      <c r="J107" s="6">
        <f t="shared" ca="1" si="76"/>
        <v>161</v>
      </c>
      <c r="K107" s="6">
        <f t="shared" ca="1" si="81"/>
        <v>686.38944099378875</v>
      </c>
      <c r="L107" s="6">
        <f t="shared" ca="1" si="77"/>
        <v>110508.7</v>
      </c>
      <c r="M107" s="6">
        <f t="shared" ca="1" si="77"/>
        <v>218.32645845609898</v>
      </c>
      <c r="N107" s="6">
        <f t="shared" ca="1" si="82"/>
        <v>637.94535672514655</v>
      </c>
      <c r="O107" s="6">
        <f t="shared" ca="1" si="84"/>
        <v>139280.35042231396</v>
      </c>
      <c r="P107" s="6">
        <f t="shared" ca="1" si="84"/>
        <v>-57.326458456098976</v>
      </c>
      <c r="Q107" s="6">
        <f t="shared" ca="1" si="84"/>
        <v>48.4440842686422</v>
      </c>
      <c r="R107" s="6">
        <f t="shared" ca="1" si="84"/>
        <v>-28771.650422313964</v>
      </c>
      <c r="S107" s="6">
        <f t="shared" ca="1" si="84"/>
        <v>7799.4975672513938</v>
      </c>
      <c r="T107" s="6">
        <f t="shared" ca="1" si="84"/>
        <v>-36571.147989565354</v>
      </c>
      <c r="U107" s="7">
        <f t="shared" ca="1" si="84"/>
        <v>0.73742780026990562</v>
      </c>
      <c r="V107" s="7">
        <f t="shared" ca="1" si="84"/>
        <v>0.79342634955271851</v>
      </c>
      <c r="W107" s="7">
        <f t="shared" ca="1" si="84"/>
        <v>-0.15263157894736842</v>
      </c>
      <c r="X107" s="7">
        <f t="shared" ca="1" si="84"/>
        <v>-0.27062740905010824</v>
      </c>
      <c r="Y107" s="7">
        <f t="shared" ca="1" si="84"/>
        <v>-0.62988505747126433</v>
      </c>
      <c r="Z107" s="7">
        <f t="shared" ca="1" si="84"/>
        <v>-0.31221988089582059</v>
      </c>
      <c r="AA107" s="28" t="str">
        <f t="shared" si="83"/>
        <v>HJH</v>
      </c>
      <c r="AB107" s="28"/>
      <c r="AC107" s="12"/>
      <c r="AD107" s="12"/>
    </row>
    <row r="108" spans="1:30" x14ac:dyDescent="0.25">
      <c r="A108" s="5" t="s">
        <v>22</v>
      </c>
      <c r="B108" s="5" t="s">
        <v>42</v>
      </c>
      <c r="C108" s="5" t="s">
        <v>66</v>
      </c>
      <c r="D108" s="6">
        <f t="shared" ca="1" si="74"/>
        <v>183</v>
      </c>
      <c r="E108" s="6">
        <f t="shared" ca="1" si="79"/>
        <v>961.68852459016398</v>
      </c>
      <c r="F108" s="6">
        <f t="shared" ca="1" si="75"/>
        <v>175989</v>
      </c>
      <c r="G108" s="6">
        <f t="shared" ca="1" si="75"/>
        <v>182.7777777777778</v>
      </c>
      <c r="H108" s="6">
        <f t="shared" ca="1" si="80"/>
        <v>820.68784194528871</v>
      </c>
      <c r="I108" s="6">
        <f t="shared" ca="1" si="76"/>
        <v>150003.5</v>
      </c>
      <c r="J108" s="6">
        <f t="shared" ca="1" si="76"/>
        <v>151</v>
      </c>
      <c r="K108" s="6">
        <f t="shared" ca="1" si="81"/>
        <v>757.40304635761584</v>
      </c>
      <c r="L108" s="6">
        <f t="shared" ca="1" si="77"/>
        <v>114367.85999999999</v>
      </c>
      <c r="M108" s="6">
        <f t="shared" ca="1" si="77"/>
        <v>215.0919924048975</v>
      </c>
      <c r="N108" s="6">
        <f t="shared" ca="1" si="82"/>
        <v>834.4940863787383</v>
      </c>
      <c r="O108" s="6">
        <f t="shared" ca="1" si="84"/>
        <v>179492.99568930746</v>
      </c>
      <c r="P108" s="6">
        <f t="shared" ca="1" si="84"/>
        <v>-64.091992404897496</v>
      </c>
      <c r="Q108" s="6">
        <f t="shared" ca="1" si="84"/>
        <v>-77.091040021122467</v>
      </c>
      <c r="R108" s="6">
        <f t="shared" ca="1" si="84"/>
        <v>-65125.13568930747</v>
      </c>
      <c r="S108" s="6">
        <f t="shared" ca="1" si="84"/>
        <v>-11640.747043189493</v>
      </c>
      <c r="T108" s="6">
        <f t="shared" ca="1" si="84"/>
        <v>-53484.388646117972</v>
      </c>
      <c r="U108" s="7">
        <f t="shared" ca="1" si="84"/>
        <v>0.70202520471218544</v>
      </c>
      <c r="V108" s="7">
        <f t="shared" ca="1" si="84"/>
        <v>0.63717171559142338</v>
      </c>
      <c r="W108" s="7">
        <f t="shared" ca="1" si="84"/>
        <v>-0.17486338797814208</v>
      </c>
      <c r="X108" s="7">
        <f t="shared" ca="1" si="84"/>
        <v>-0.35014199751120817</v>
      </c>
      <c r="Y108" s="7">
        <f t="shared" ca="1" si="84"/>
        <v>-0.17386018237082076</v>
      </c>
      <c r="Z108" s="7">
        <f t="shared" ca="1" si="84"/>
        <v>-0.23756539014089681</v>
      </c>
      <c r="AA108" s="28" t="str">
        <f t="shared" si="83"/>
        <v>HJH</v>
      </c>
      <c r="AB108" s="28"/>
      <c r="AC108" s="12"/>
      <c r="AD108" s="12"/>
    </row>
    <row r="109" spans="1:30" x14ac:dyDescent="0.25">
      <c r="A109" s="5" t="s">
        <v>22</v>
      </c>
      <c r="B109" s="5" t="s">
        <v>42</v>
      </c>
      <c r="C109" s="5" t="s">
        <v>67</v>
      </c>
      <c r="D109" s="6">
        <f t="shared" ca="1" si="74"/>
        <v>222</v>
      </c>
      <c r="E109" s="6">
        <f t="shared" ca="1" si="79"/>
        <v>970.3648648648649</v>
      </c>
      <c r="F109" s="6">
        <f t="shared" ca="1" si="75"/>
        <v>215421</v>
      </c>
      <c r="G109" s="6">
        <f t="shared" ca="1" si="75"/>
        <v>176.11111111111111</v>
      </c>
      <c r="H109" s="6">
        <f t="shared" ca="1" si="80"/>
        <v>915.63429022081982</v>
      </c>
      <c r="I109" s="6">
        <f t="shared" ca="1" si="76"/>
        <v>161253.37222222215</v>
      </c>
      <c r="J109" s="6">
        <f t="shared" ca="1" si="76"/>
        <v>176</v>
      </c>
      <c r="K109" s="6">
        <f t="shared" ca="1" si="81"/>
        <v>1090.6273863636359</v>
      </c>
      <c r="L109" s="6">
        <f t="shared" ca="1" si="77"/>
        <v>191950.41999999993</v>
      </c>
      <c r="M109" s="6">
        <f t="shared" ca="1" si="77"/>
        <v>186.52087561928457</v>
      </c>
      <c r="N109" s="6">
        <f t="shared" ca="1" si="82"/>
        <v>831.27420457225878</v>
      </c>
      <c r="O109" s="6">
        <f t="shared" ca="1" si="84"/>
        <v>155049.992516542</v>
      </c>
      <c r="P109" s="6">
        <f t="shared" ca="1" si="84"/>
        <v>-10.520875619284567</v>
      </c>
      <c r="Q109" s="6">
        <f t="shared" ca="1" si="84"/>
        <v>259.3531817913771</v>
      </c>
      <c r="R109" s="6">
        <f t="shared" ca="1" si="84"/>
        <v>36900.427483457926</v>
      </c>
      <c r="S109" s="6">
        <f t="shared" ca="1" si="84"/>
        <v>45646.159995282367</v>
      </c>
      <c r="T109" s="6">
        <f t="shared" ca="1" si="84"/>
        <v>-8745.732511824448</v>
      </c>
      <c r="U109" s="7">
        <f t="shared" ca="1" si="84"/>
        <v>0.94359411200299548</v>
      </c>
      <c r="V109" s="7">
        <f t="shared" ca="1" si="84"/>
        <v>1.2379905144434049</v>
      </c>
      <c r="W109" s="7">
        <f t="shared" ca="1" si="84"/>
        <v>-0.2072072072072072</v>
      </c>
      <c r="X109" s="7">
        <f t="shared" ca="1" si="84"/>
        <v>-0.10895214486981342</v>
      </c>
      <c r="Y109" s="7">
        <f t="shared" ca="1" si="84"/>
        <v>-6.3091482649844065E-4</v>
      </c>
      <c r="Z109" s="7">
        <f t="shared" ca="1" si="84"/>
        <v>0.19036530743353622</v>
      </c>
      <c r="AA109" s="28" t="str">
        <f t="shared" si="83"/>
        <v>HJH</v>
      </c>
      <c r="AB109" s="28"/>
      <c r="AC109" s="12"/>
      <c r="AD109" s="12"/>
    </row>
    <row r="110" spans="1:30" x14ac:dyDescent="0.25">
      <c r="A110" s="5" t="s">
        <v>22</v>
      </c>
      <c r="B110" s="5" t="s">
        <v>42</v>
      </c>
      <c r="C110" s="5" t="s">
        <v>68</v>
      </c>
      <c r="D110" s="6">
        <f t="shared" ca="1" si="74"/>
        <v>71</v>
      </c>
      <c r="E110" s="6">
        <f t="shared" ca="1" si="79"/>
        <v>785.54929577464793</v>
      </c>
      <c r="F110" s="6">
        <f t="shared" ca="1" si="75"/>
        <v>55774</v>
      </c>
      <c r="G110" s="6">
        <f t="shared" ca="1" si="75"/>
        <v>114.44444444444444</v>
      </c>
      <c r="H110" s="6">
        <f t="shared" ca="1" si="80"/>
        <v>728.94461165048574</v>
      </c>
      <c r="I110" s="6">
        <f t="shared" ca="1" si="76"/>
        <v>83423.661111111142</v>
      </c>
      <c r="J110" s="6">
        <f t="shared" ca="1" si="76"/>
        <v>85</v>
      </c>
      <c r="K110" s="6">
        <f t="shared" ca="1" si="81"/>
        <v>836.38670588235289</v>
      </c>
      <c r="L110" s="6">
        <f t="shared" ca="1" si="77"/>
        <v>71092.87</v>
      </c>
      <c r="M110" s="6">
        <f t="shared" ca="1" si="77"/>
        <v>139.62111787686328</v>
      </c>
      <c r="N110" s="6">
        <f t="shared" ca="1" si="82"/>
        <v>732.93751515151564</v>
      </c>
      <c r="O110" s="6">
        <f t="shared" ca="1" si="84"/>
        <v>102333.55519934504</v>
      </c>
      <c r="P110" s="6">
        <f t="shared" ca="1" si="84"/>
        <v>-54.621117876863281</v>
      </c>
      <c r="Q110" s="6">
        <f t="shared" ca="1" si="84"/>
        <v>103.44919073083724</v>
      </c>
      <c r="R110" s="6">
        <f t="shared" ca="1" si="84"/>
        <v>-31240.68519934504</v>
      </c>
      <c r="S110" s="6">
        <f t="shared" ca="1" si="84"/>
        <v>8793.181212121166</v>
      </c>
      <c r="T110" s="6">
        <f t="shared" ca="1" si="84"/>
        <v>-40033.866411466202</v>
      </c>
      <c r="U110" s="7">
        <f t="shared" ca="1" si="84"/>
        <v>0.60879042721148002</v>
      </c>
      <c r="V110" s="7">
        <f t="shared" ca="1" si="84"/>
        <v>0.69471709315201247</v>
      </c>
      <c r="W110" s="7">
        <f t="shared" ca="1" si="84"/>
        <v>0.19718309859154928</v>
      </c>
      <c r="X110" s="7">
        <f t="shared" ca="1" si="84"/>
        <v>0.2746596980671997</v>
      </c>
      <c r="Y110" s="7">
        <f t="shared" ca="1" si="84"/>
        <v>-0.25728155339805825</v>
      </c>
      <c r="Z110" s="7">
        <f t="shared" ca="1" si="84"/>
        <v>-0.14780927793000942</v>
      </c>
      <c r="AA110" s="28" t="str">
        <f t="shared" si="83"/>
        <v>HJH</v>
      </c>
      <c r="AB110" s="28"/>
      <c r="AC110" s="12"/>
      <c r="AD110" s="12"/>
    </row>
    <row r="111" spans="1:30" x14ac:dyDescent="0.25">
      <c r="A111" s="5" t="s">
        <v>22</v>
      </c>
      <c r="B111" s="5" t="s">
        <v>42</v>
      </c>
      <c r="C111" s="5" t="s">
        <v>69</v>
      </c>
      <c r="D111" s="6">
        <f t="shared" ca="1" si="74"/>
        <v>47</v>
      </c>
      <c r="E111" s="6">
        <f t="shared" ca="1" si="79"/>
        <v>858.31914893617022</v>
      </c>
      <c r="F111" s="6">
        <f t="shared" ca="1" si="75"/>
        <v>40341</v>
      </c>
      <c r="G111" s="6">
        <f t="shared" ca="1" si="75"/>
        <v>172.77777777777777</v>
      </c>
      <c r="H111" s="6">
        <f t="shared" ca="1" si="80"/>
        <v>602.0223151125399</v>
      </c>
      <c r="I111" s="6">
        <f t="shared" ca="1" si="76"/>
        <v>104016.07777777773</v>
      </c>
      <c r="J111" s="6">
        <f t="shared" ca="1" si="76"/>
        <v>103</v>
      </c>
      <c r="K111" s="6">
        <f t="shared" ca="1" si="81"/>
        <v>929.12417475728159</v>
      </c>
      <c r="L111" s="6">
        <f t="shared" ca="1" si="77"/>
        <v>95699.790000000008</v>
      </c>
      <c r="M111" s="6">
        <f t="shared" ca="1" si="77"/>
        <v>155.25437045767038</v>
      </c>
      <c r="N111" s="6">
        <f t="shared" ca="1" si="82"/>
        <v>770.97279720279766</v>
      </c>
      <c r="O111" s="6">
        <f t="shared" ca="1" si="84"/>
        <v>119696.89626970953</v>
      </c>
      <c r="P111" s="6">
        <f t="shared" ca="1" si="84"/>
        <v>-52.254370457670376</v>
      </c>
      <c r="Q111" s="6">
        <f t="shared" ca="1" si="84"/>
        <v>158.15137755448393</v>
      </c>
      <c r="R111" s="6">
        <f t="shared" ca="1" si="84"/>
        <v>-23997.106269709519</v>
      </c>
      <c r="S111" s="6">
        <f t="shared" ca="1" si="84"/>
        <v>16289.591888111845</v>
      </c>
      <c r="T111" s="6">
        <f t="shared" ca="1" si="84"/>
        <v>-40286.698157821367</v>
      </c>
      <c r="U111" s="7">
        <f t="shared" ca="1" si="84"/>
        <v>0.66342737854251022</v>
      </c>
      <c r="V111" s="7">
        <f t="shared" ca="1" si="84"/>
        <v>0.79951772336988969</v>
      </c>
      <c r="W111" s="7">
        <f t="shared" ca="1" si="84"/>
        <v>1.1914893617021276</v>
      </c>
      <c r="X111" s="7">
        <f t="shared" ca="1" si="84"/>
        <v>1.3722711385439132</v>
      </c>
      <c r="Y111" s="7">
        <f t="shared" ca="1" si="84"/>
        <v>-0.40385852090032154</v>
      </c>
      <c r="Z111" s="7">
        <f t="shared" ca="1" si="84"/>
        <v>-7.9951945463131391E-2</v>
      </c>
      <c r="AA111" s="28" t="str">
        <f t="shared" si="83"/>
        <v>HJH</v>
      </c>
      <c r="AB111" s="28"/>
      <c r="AC111" s="12"/>
      <c r="AD111" s="12"/>
    </row>
    <row r="112" spans="1:30" x14ac:dyDescent="0.25">
      <c r="A112" s="5" t="s">
        <v>22</v>
      </c>
      <c r="B112" s="5" t="s">
        <v>43</v>
      </c>
      <c r="C112" s="5" t="s">
        <v>70</v>
      </c>
      <c r="D112" s="6">
        <f t="shared" ca="1" si="74"/>
        <v>0</v>
      </c>
      <c r="E112" s="6" t="str">
        <f t="shared" ca="1" si="79"/>
        <v>-</v>
      </c>
      <c r="F112" s="6">
        <f t="shared" ca="1" si="75"/>
        <v>0</v>
      </c>
      <c r="G112" s="6">
        <f t="shared" ca="1" si="75"/>
        <v>0</v>
      </c>
      <c r="H112" s="6" t="str">
        <f t="shared" ca="1" si="80"/>
        <v>-</v>
      </c>
      <c r="I112" s="6">
        <f t="shared" ca="1" si="76"/>
        <v>0</v>
      </c>
      <c r="J112" s="6">
        <f t="shared" ca="1" si="76"/>
        <v>38</v>
      </c>
      <c r="K112" s="6">
        <f t="shared" ca="1" si="81"/>
        <v>620.03894736842108</v>
      </c>
      <c r="L112" s="6">
        <f t="shared" ca="1" si="77"/>
        <v>23561.48</v>
      </c>
      <c r="M112" s="6">
        <f t="shared" ca="1" si="77"/>
        <v>48.888888888888893</v>
      </c>
      <c r="N112" s="6">
        <f t="shared" ca="1" si="82"/>
        <v>763.09124999999995</v>
      </c>
      <c r="O112" s="6">
        <f t="shared" ca="1" si="84"/>
        <v>37306.683333333334</v>
      </c>
      <c r="P112" s="6">
        <f t="shared" ca="1" si="84"/>
        <v>-10.888888888888893</v>
      </c>
      <c r="Q112" s="6">
        <f t="shared" ca="1" si="84"/>
        <v>-143.05230263157887</v>
      </c>
      <c r="R112" s="6">
        <f t="shared" ca="1" si="84"/>
        <v>-13745.203333333335</v>
      </c>
      <c r="S112" s="6">
        <f t="shared" ca="1" si="84"/>
        <v>-5435.9874999999975</v>
      </c>
      <c r="T112" s="6">
        <f t="shared" ca="1" si="84"/>
        <v>-8309.2158333333355</v>
      </c>
      <c r="U112" s="7">
        <f t="shared" ca="1" si="84"/>
        <v>0.77727272727272723</v>
      </c>
      <c r="V112" s="7">
        <f t="shared" ca="1" si="84"/>
        <v>0.63156190512781218</v>
      </c>
      <c r="W112" s="7" t="str">
        <f t="shared" ca="1" si="84"/>
        <v>-</v>
      </c>
      <c r="X112" s="7" t="str">
        <f t="shared" ca="1" si="84"/>
        <v>-</v>
      </c>
      <c r="Y112" s="7" t="str">
        <f t="shared" ca="1" si="84"/>
        <v>-</v>
      </c>
      <c r="Z112" s="7" t="str">
        <f t="shared" ca="1" si="84"/>
        <v>-</v>
      </c>
      <c r="AA112" s="28" t="str">
        <f t="shared" si="83"/>
        <v>HJH</v>
      </c>
      <c r="AB112" s="28"/>
      <c r="AC112" s="12"/>
      <c r="AD112" s="12"/>
    </row>
    <row r="113" spans="1:30" x14ac:dyDescent="0.25">
      <c r="A113" s="5" t="s">
        <v>22</v>
      </c>
      <c r="B113" s="5" t="s">
        <v>44</v>
      </c>
      <c r="C113" s="5" t="s">
        <v>71</v>
      </c>
      <c r="D113" s="6">
        <f t="shared" ca="1" si="74"/>
        <v>306</v>
      </c>
      <c r="E113" s="6">
        <f t="shared" ca="1" si="79"/>
        <v>796.60130718954247</v>
      </c>
      <c r="F113" s="6">
        <f t="shared" ca="1" si="75"/>
        <v>243760</v>
      </c>
      <c r="G113" s="6">
        <f t="shared" ca="1" si="75"/>
        <v>354.44444444444446</v>
      </c>
      <c r="H113" s="6">
        <f t="shared" ca="1" si="80"/>
        <v>839.19692789968792</v>
      </c>
      <c r="I113" s="6">
        <f t="shared" ca="1" si="76"/>
        <v>297448.68888888939</v>
      </c>
      <c r="J113" s="6">
        <f t="shared" ca="1" si="76"/>
        <v>349</v>
      </c>
      <c r="K113" s="6">
        <f t="shared" ca="1" si="81"/>
        <v>749.22931232091685</v>
      </c>
      <c r="L113" s="6">
        <f t="shared" ca="1" si="77"/>
        <v>261481.02999999997</v>
      </c>
      <c r="M113" s="6">
        <f t="shared" ca="1" si="77"/>
        <v>383.33333333333337</v>
      </c>
      <c r="N113" s="6">
        <f t="shared" ca="1" si="82"/>
        <v>803.53062068965596</v>
      </c>
      <c r="O113" s="6">
        <f t="shared" ca="1" si="84"/>
        <v>308020.07126436813</v>
      </c>
      <c r="P113" s="6">
        <f t="shared" ca="1" si="84"/>
        <v>-34.333333333333371</v>
      </c>
      <c r="Q113" s="6">
        <f t="shared" ca="1" si="84"/>
        <v>-54.301308368739114</v>
      </c>
      <c r="R113" s="6">
        <f t="shared" ca="1" si="84"/>
        <v>-46539.041264368163</v>
      </c>
      <c r="S113" s="6">
        <f t="shared" ca="1" si="84"/>
        <v>-18951.156620689952</v>
      </c>
      <c r="T113" s="6">
        <f t="shared" ca="1" si="84"/>
        <v>-27587.884643678219</v>
      </c>
      <c r="U113" s="7">
        <f t="shared" ca="1" si="84"/>
        <v>0.91043478260869559</v>
      </c>
      <c r="V113" s="7">
        <f t="shared" ca="1" si="84"/>
        <v>0.84890906273304334</v>
      </c>
      <c r="W113" s="7">
        <f t="shared" ca="1" si="84"/>
        <v>0.14052287581699346</v>
      </c>
      <c r="X113" s="7">
        <f t="shared" ca="1" si="84"/>
        <v>7.2698679028552551E-2</v>
      </c>
      <c r="Y113" s="7">
        <f t="shared" ca="1" si="84"/>
        <v>-1.5360501567398155E-2</v>
      </c>
      <c r="Z113" s="7">
        <f t="shared" ca="1" si="84"/>
        <v>-0.1209205494340739</v>
      </c>
      <c r="AA113" s="28" t="str">
        <f t="shared" si="83"/>
        <v>HJH</v>
      </c>
      <c r="AB113" s="28"/>
      <c r="AC113" s="12"/>
      <c r="AD113" s="12"/>
    </row>
    <row r="114" spans="1:30" x14ac:dyDescent="0.25">
      <c r="A114" s="5" t="s">
        <v>22</v>
      </c>
      <c r="B114" s="5" t="s">
        <v>46</v>
      </c>
      <c r="C114" s="5" t="s">
        <v>72</v>
      </c>
      <c r="D114" s="6">
        <f t="shared" ca="1" si="74"/>
        <v>171</v>
      </c>
      <c r="E114" s="6">
        <f t="shared" ca="1" si="79"/>
        <v>439.23391812865498</v>
      </c>
      <c r="F114" s="6">
        <f t="shared" ca="1" si="75"/>
        <v>75109</v>
      </c>
      <c r="G114" s="6">
        <f t="shared" ca="1" si="75"/>
        <v>224.44444444444446</v>
      </c>
      <c r="H114" s="6">
        <f t="shared" ca="1" si="80"/>
        <v>352.35324257425742</v>
      </c>
      <c r="I114" s="6">
        <f t="shared" ca="1" si="76"/>
        <v>79083.727777777778</v>
      </c>
      <c r="J114" s="6">
        <f t="shared" ca="1" si="76"/>
        <v>218</v>
      </c>
      <c r="K114" s="6">
        <f t="shared" ca="1" si="81"/>
        <v>466.93238532110081</v>
      </c>
      <c r="L114" s="6">
        <f t="shared" ca="1" si="77"/>
        <v>101791.25999999998</v>
      </c>
      <c r="M114" s="6">
        <f t="shared" ca="1" si="77"/>
        <v>259.6060925320985</v>
      </c>
      <c r="N114" s="6">
        <f t="shared" ca="1" si="82"/>
        <v>445.89611111111077</v>
      </c>
      <c r="O114" s="6">
        <f t="shared" ca="1" si="84"/>
        <v>115757.3470808139</v>
      </c>
      <c r="P114" s="6">
        <f t="shared" ca="1" si="84"/>
        <v>-41.606092532098501</v>
      </c>
      <c r="Q114" s="6">
        <f t="shared" ca="1" si="84"/>
        <v>21.03627420999004</v>
      </c>
      <c r="R114" s="6">
        <f t="shared" ca="1" si="84"/>
        <v>-13966.087080813915</v>
      </c>
      <c r="S114" s="6">
        <f t="shared" ca="1" si="84"/>
        <v>4585.9077777778284</v>
      </c>
      <c r="T114" s="6">
        <f t="shared" ca="1" si="84"/>
        <v>-18551.994858591748</v>
      </c>
      <c r="U114" s="7">
        <f t="shared" ca="1" si="84"/>
        <v>0.83973375922618532</v>
      </c>
      <c r="V114" s="7">
        <f t="shared" ca="1" si="84"/>
        <v>0.87935031829069354</v>
      </c>
      <c r="W114" s="7">
        <f t="shared" ca="1" si="84"/>
        <v>0.27485380116959063</v>
      </c>
      <c r="X114" s="7">
        <f t="shared" ca="1" si="84"/>
        <v>0.35524717410696427</v>
      </c>
      <c r="Y114" s="7">
        <f t="shared" ca="1" si="84"/>
        <v>-2.8712871287128766E-2</v>
      </c>
      <c r="Z114" s="7">
        <f t="shared" ca="1" si="84"/>
        <v>0.28713280039137118</v>
      </c>
      <c r="AA114" s="28" t="str">
        <f t="shared" si="83"/>
        <v>HJH</v>
      </c>
      <c r="AB114" s="28"/>
      <c r="AC114" s="12"/>
      <c r="AD114" s="12"/>
    </row>
    <row r="115" spans="1:30" x14ac:dyDescent="0.25">
      <c r="A115" s="5" t="s">
        <v>22</v>
      </c>
      <c r="B115" s="5" t="s">
        <v>46</v>
      </c>
      <c r="C115" s="5" t="s">
        <v>73</v>
      </c>
      <c r="D115" s="6">
        <f t="shared" ca="1" si="74"/>
        <v>193</v>
      </c>
      <c r="E115" s="6">
        <f t="shared" ca="1" si="79"/>
        <v>496.2176165803109</v>
      </c>
      <c r="F115" s="6">
        <f t="shared" ca="1" si="75"/>
        <v>95770</v>
      </c>
      <c r="G115" s="6">
        <f t="shared" ca="1" si="75"/>
        <v>223.33333333333334</v>
      </c>
      <c r="H115" s="6">
        <f t="shared" ca="1" si="80"/>
        <v>422.86962686567153</v>
      </c>
      <c r="I115" s="6">
        <f t="shared" ca="1" si="76"/>
        <v>94440.883333333317</v>
      </c>
      <c r="J115" s="6">
        <f t="shared" ca="1" si="76"/>
        <v>223</v>
      </c>
      <c r="K115" s="6">
        <f t="shared" ca="1" si="81"/>
        <v>441.00103139013453</v>
      </c>
      <c r="L115" s="6">
        <f t="shared" ca="1" si="77"/>
        <v>98343.23</v>
      </c>
      <c r="M115" s="6">
        <f t="shared" ca="1" si="77"/>
        <v>244.85506772063582</v>
      </c>
      <c r="N115" s="6">
        <f t="shared" ca="1" si="82"/>
        <v>455.66178082191811</v>
      </c>
      <c r="O115" s="6">
        <f t="shared" ca="1" si="84"/>
        <v>111571.09620085628</v>
      </c>
      <c r="P115" s="6">
        <f t="shared" ca="1" si="84"/>
        <v>-21.855067720635816</v>
      </c>
      <c r="Q115" s="6">
        <f t="shared" ca="1" si="84"/>
        <v>-14.660749431783586</v>
      </c>
      <c r="R115" s="6">
        <f t="shared" ca="1" si="84"/>
        <v>-13227.866200856282</v>
      </c>
      <c r="S115" s="6">
        <f t="shared" ca="1" si="84"/>
        <v>-3269.3471232877396</v>
      </c>
      <c r="T115" s="6">
        <f t="shared" ca="1" si="84"/>
        <v>-9958.5190775685351</v>
      </c>
      <c r="U115" s="7">
        <f t="shared" ca="1" si="84"/>
        <v>0.91074284096267488</v>
      </c>
      <c r="V115" s="7">
        <f t="shared" ca="1" si="84"/>
        <v>0.8814400265724488</v>
      </c>
      <c r="W115" s="7">
        <f t="shared" ca="1" si="84"/>
        <v>0.15544041450777202</v>
      </c>
      <c r="X115" s="7">
        <f t="shared" ca="1" si="84"/>
        <v>2.6868852459016351E-2</v>
      </c>
      <c r="Y115" s="7">
        <f t="shared" ca="1" si="84"/>
        <v>-1.4925373134328781E-3</v>
      </c>
      <c r="Z115" s="7">
        <f t="shared" ca="1" si="84"/>
        <v>4.132052273265141E-2</v>
      </c>
      <c r="AA115" s="28" t="str">
        <f t="shared" si="83"/>
        <v>HJH</v>
      </c>
      <c r="AB115" s="28"/>
      <c r="AC115" s="12"/>
      <c r="AD115" s="12"/>
    </row>
    <row r="116" spans="1:30" x14ac:dyDescent="0.25">
      <c r="A116" s="5" t="s">
        <v>22</v>
      </c>
      <c r="B116" s="5" t="s">
        <v>46</v>
      </c>
      <c r="C116" s="5" t="s">
        <v>74</v>
      </c>
      <c r="D116" s="6">
        <f t="shared" ca="1" si="74"/>
        <v>33</v>
      </c>
      <c r="E116" s="6">
        <f t="shared" ca="1" si="79"/>
        <v>764.87878787878788</v>
      </c>
      <c r="F116" s="6">
        <f t="shared" ref="F116:G135" ca="1" si="85">IFERROR(VLOOKUP($C116,INDIRECT("'"&amp;$AA116&amp;"-"&amp;$C$1&amp;"'!$C:$AH"),F$30,0),0)</f>
        <v>25241</v>
      </c>
      <c r="G116" s="6">
        <f t="shared" ca="1" si="85"/>
        <v>88.888888888888886</v>
      </c>
      <c r="H116" s="6">
        <f t="shared" ca="1" si="80"/>
        <v>757.44343749999973</v>
      </c>
      <c r="I116" s="6">
        <f t="shared" ref="I116:J135" ca="1" si="86">IFERROR(VLOOKUP($C116,INDIRECT("'"&amp;$AA116&amp;"-"&amp;$C$1&amp;"'!$C:$AH"),I$30,0),0)</f>
        <v>67328.305555555533</v>
      </c>
      <c r="J116" s="6">
        <f t="shared" ca="1" si="86"/>
        <v>72</v>
      </c>
      <c r="K116" s="6">
        <f t="shared" ca="1" si="81"/>
        <v>681.38083333333327</v>
      </c>
      <c r="L116" s="6">
        <f t="shared" ref="L116:M135" ca="1" si="87">IFERROR(VLOOKUP($C116,INDIRECT("'"&amp;$AA116&amp;"-"&amp;$C$1&amp;"'!$C:$AH"),L$30,0),0)</f>
        <v>49059.42</v>
      </c>
      <c r="M116" s="6">
        <f t="shared" ca="1" si="87"/>
        <v>187.83333333333331</v>
      </c>
      <c r="N116" s="6">
        <f t="shared" ca="1" si="82"/>
        <v>723.49709090909084</v>
      </c>
      <c r="O116" s="6">
        <f t="shared" ref="O116:Z125" ca="1" si="88">IFERROR(VLOOKUP($C116,INDIRECT("'"&amp;$AA116&amp;"-"&amp;$C$1&amp;"'!$C:$AH"),O$30,0),0)</f>
        <v>135896.87024242422</v>
      </c>
      <c r="P116" s="6">
        <f t="shared" ca="1" si="88"/>
        <v>-115.83333333333331</v>
      </c>
      <c r="Q116" s="6">
        <f t="shared" ca="1" si="88"/>
        <v>-42.116257575757572</v>
      </c>
      <c r="R116" s="6">
        <f t="shared" ca="1" si="88"/>
        <v>-86837.450242424224</v>
      </c>
      <c r="S116" s="6">
        <f t="shared" ca="1" si="88"/>
        <v>-3032.3705454545452</v>
      </c>
      <c r="T116" s="6">
        <f t="shared" ca="1" si="88"/>
        <v>-83805.079696969682</v>
      </c>
      <c r="U116" s="7">
        <f t="shared" ca="1" si="88"/>
        <v>0.38331854480922806</v>
      </c>
      <c r="V116" s="7">
        <f t="shared" ca="1" si="88"/>
        <v>0.36100478187969814</v>
      </c>
      <c r="W116" s="7">
        <f t="shared" ca="1" si="88"/>
        <v>1.1818181818181819</v>
      </c>
      <c r="X116" s="7">
        <f t="shared" ca="1" si="88"/>
        <v>0.94364010934590536</v>
      </c>
      <c r="Y116" s="7">
        <f t="shared" ca="1" si="88"/>
        <v>-0.18999999999999997</v>
      </c>
      <c r="Z116" s="7">
        <f t="shared" ca="1" si="88"/>
        <v>-0.27134034348274333</v>
      </c>
      <c r="AA116" s="28" t="str">
        <f t="shared" si="83"/>
        <v>HJH</v>
      </c>
      <c r="AB116" s="28"/>
      <c r="AC116" s="12"/>
      <c r="AD116" s="12"/>
    </row>
    <row r="117" spans="1:30" x14ac:dyDescent="0.25">
      <c r="A117" s="5" t="s">
        <v>22</v>
      </c>
      <c r="B117" s="5" t="s">
        <v>46</v>
      </c>
      <c r="C117" s="5" t="s">
        <v>75</v>
      </c>
      <c r="D117" s="6">
        <f t="shared" ca="1" si="74"/>
        <v>29</v>
      </c>
      <c r="E117" s="6">
        <f t="shared" ca="1" si="79"/>
        <v>663.9655172413793</v>
      </c>
      <c r="F117" s="6">
        <f t="shared" ca="1" si="85"/>
        <v>19255</v>
      </c>
      <c r="G117" s="6">
        <f t="shared" ca="1" si="85"/>
        <v>33.888888888888893</v>
      </c>
      <c r="H117" s="6">
        <f t="shared" ca="1" si="80"/>
        <v>636.59180327868864</v>
      </c>
      <c r="I117" s="6">
        <f t="shared" ca="1" si="86"/>
        <v>21573.388888888894</v>
      </c>
      <c r="J117" s="6">
        <f t="shared" ca="1" si="86"/>
        <v>28</v>
      </c>
      <c r="K117" s="6">
        <f t="shared" ca="1" si="81"/>
        <v>456.18285714285719</v>
      </c>
      <c r="L117" s="6">
        <f t="shared" ca="1" si="87"/>
        <v>12773.12</v>
      </c>
      <c r="M117" s="6">
        <f t="shared" ca="1" si="87"/>
        <v>46.904675655557909</v>
      </c>
      <c r="N117" s="6">
        <f t="shared" ca="1" si="82"/>
        <v>920.98399999999992</v>
      </c>
      <c r="O117" s="6">
        <f t="shared" ca="1" si="88"/>
        <v>43198.455803958343</v>
      </c>
      <c r="P117" s="6">
        <f t="shared" ca="1" si="88"/>
        <v>-18.904675655557909</v>
      </c>
      <c r="Q117" s="6">
        <f t="shared" ca="1" si="88"/>
        <v>-464.80114285714274</v>
      </c>
      <c r="R117" s="6">
        <f t="shared" ca="1" si="88"/>
        <v>-30425.33580395834</v>
      </c>
      <c r="S117" s="6">
        <f t="shared" ca="1" si="88"/>
        <v>-13014.431999999997</v>
      </c>
      <c r="T117" s="6">
        <f t="shared" ca="1" si="88"/>
        <v>-17410.903803958343</v>
      </c>
      <c r="U117" s="7">
        <f t="shared" ca="1" si="88"/>
        <v>0.59695541241168726</v>
      </c>
      <c r="V117" s="7">
        <f t="shared" ca="1" si="88"/>
        <v>0.2956846434040723</v>
      </c>
      <c r="W117" s="7">
        <f t="shared" ca="1" si="88"/>
        <v>-3.4482758620689655E-2</v>
      </c>
      <c r="X117" s="7">
        <f t="shared" ca="1" si="88"/>
        <v>-0.33663360166190598</v>
      </c>
      <c r="Y117" s="7">
        <f t="shared" ca="1" si="88"/>
        <v>-0.17377049180327878</v>
      </c>
      <c r="Z117" s="7">
        <f t="shared" ca="1" si="88"/>
        <v>-0.40792241470329971</v>
      </c>
      <c r="AA117" s="28" t="str">
        <f t="shared" si="83"/>
        <v>HJH</v>
      </c>
      <c r="AB117" s="28"/>
      <c r="AC117" s="12"/>
      <c r="AD117" s="12"/>
    </row>
    <row r="118" spans="1:30" x14ac:dyDescent="0.25">
      <c r="A118" s="5" t="s">
        <v>22</v>
      </c>
      <c r="B118" s="5" t="s">
        <v>47</v>
      </c>
      <c r="C118" s="5" t="s">
        <v>76</v>
      </c>
      <c r="D118" s="6">
        <f t="shared" ca="1" si="74"/>
        <v>147</v>
      </c>
      <c r="E118" s="6">
        <f t="shared" ca="1" si="79"/>
        <v>308.92517006802723</v>
      </c>
      <c r="F118" s="6">
        <f t="shared" ca="1" si="85"/>
        <v>45412</v>
      </c>
      <c r="G118" s="6">
        <f t="shared" ca="1" si="85"/>
        <v>135</v>
      </c>
      <c r="H118" s="6">
        <f t="shared" ca="1" si="80"/>
        <v>268.31106995884755</v>
      </c>
      <c r="I118" s="6">
        <f t="shared" ca="1" si="86"/>
        <v>36221.994444444419</v>
      </c>
      <c r="J118" s="6">
        <f t="shared" ca="1" si="86"/>
        <v>65</v>
      </c>
      <c r="K118" s="6">
        <f t="shared" ca="1" si="81"/>
        <v>285.70661538461536</v>
      </c>
      <c r="L118" s="6">
        <f t="shared" ca="1" si="87"/>
        <v>18570.93</v>
      </c>
      <c r="M118" s="6">
        <f t="shared" ca="1" si="87"/>
        <v>116.66666666666667</v>
      </c>
      <c r="N118" s="6">
        <f t="shared" ca="1" si="82"/>
        <v>360.25926199261971</v>
      </c>
      <c r="O118" s="6">
        <f t="shared" ca="1" si="88"/>
        <v>42030.247232472298</v>
      </c>
      <c r="P118" s="6">
        <f t="shared" ca="1" si="88"/>
        <v>-51.666666666666671</v>
      </c>
      <c r="Q118" s="6">
        <f t="shared" ca="1" si="88"/>
        <v>-74.552646608004352</v>
      </c>
      <c r="R118" s="6">
        <f t="shared" ca="1" si="88"/>
        <v>-23459.317232472298</v>
      </c>
      <c r="S118" s="6">
        <f t="shared" ca="1" si="88"/>
        <v>-4845.9220295202831</v>
      </c>
      <c r="T118" s="6">
        <f t="shared" ca="1" si="88"/>
        <v>-18613.395202952019</v>
      </c>
      <c r="U118" s="7">
        <f t="shared" ca="1" si="88"/>
        <v>0.55714285714285716</v>
      </c>
      <c r="V118" s="7">
        <f t="shared" ca="1" si="88"/>
        <v>0.44184679422138207</v>
      </c>
      <c r="W118" s="7">
        <f t="shared" ca="1" si="88"/>
        <v>-0.55782312925170063</v>
      </c>
      <c r="X118" s="7">
        <f t="shared" ca="1" si="88"/>
        <v>-0.59105676913591121</v>
      </c>
      <c r="Y118" s="7">
        <f t="shared" ca="1" si="88"/>
        <v>-0.51851851851851849</v>
      </c>
      <c r="Z118" s="7">
        <f t="shared" ca="1" si="88"/>
        <v>-0.48730238947821569</v>
      </c>
      <c r="AA118" s="28" t="str">
        <f t="shared" si="83"/>
        <v>HJH</v>
      </c>
      <c r="AB118" s="28"/>
      <c r="AC118" s="12"/>
      <c r="AD118" s="12"/>
    </row>
    <row r="119" spans="1:30" x14ac:dyDescent="0.25">
      <c r="A119" s="5" t="s">
        <v>22</v>
      </c>
      <c r="B119" s="5" t="s">
        <v>47</v>
      </c>
      <c r="C119" s="5" t="s">
        <v>77</v>
      </c>
      <c r="D119" s="6">
        <f t="shared" ca="1" si="74"/>
        <v>12</v>
      </c>
      <c r="E119" s="6">
        <f t="shared" ca="1" si="79"/>
        <v>184.66666666666666</v>
      </c>
      <c r="F119" s="6">
        <f t="shared" ca="1" si="85"/>
        <v>2216</v>
      </c>
      <c r="G119" s="6">
        <f t="shared" ca="1" si="85"/>
        <v>25</v>
      </c>
      <c r="H119" s="6">
        <f t="shared" ca="1" si="80"/>
        <v>178.99555555555551</v>
      </c>
      <c r="I119" s="6">
        <f t="shared" ca="1" si="86"/>
        <v>4474.8888888888878</v>
      </c>
      <c r="J119" s="6">
        <f t="shared" ca="1" si="86"/>
        <v>24</v>
      </c>
      <c r="K119" s="6">
        <f t="shared" ca="1" si="81"/>
        <v>190.15041666666664</v>
      </c>
      <c r="L119" s="6">
        <f t="shared" ca="1" si="87"/>
        <v>4563.6099999999997</v>
      </c>
      <c r="M119" s="6">
        <f t="shared" ca="1" si="87"/>
        <v>42.777777777777779</v>
      </c>
      <c r="N119" s="6">
        <f t="shared" ca="1" si="82"/>
        <v>196.44441176470596</v>
      </c>
      <c r="O119" s="6">
        <f t="shared" ca="1" si="88"/>
        <v>8403.4553921568659</v>
      </c>
      <c r="P119" s="6">
        <f t="shared" ca="1" si="88"/>
        <v>-18.777777777777779</v>
      </c>
      <c r="Q119" s="6">
        <f t="shared" ca="1" si="88"/>
        <v>-6.2939950980393178</v>
      </c>
      <c r="R119" s="6">
        <f t="shared" ca="1" si="88"/>
        <v>-3839.8453921568662</v>
      </c>
      <c r="S119" s="6">
        <f t="shared" ca="1" si="88"/>
        <v>-151.05588235294363</v>
      </c>
      <c r="T119" s="6">
        <f t="shared" ca="1" si="88"/>
        <v>-3688.789509803923</v>
      </c>
      <c r="U119" s="7">
        <f t="shared" ca="1" si="88"/>
        <v>0.561038961038961</v>
      </c>
      <c r="V119" s="7">
        <f t="shared" ca="1" si="88"/>
        <v>0.54306351221419225</v>
      </c>
      <c r="W119" s="7">
        <f t="shared" ca="1" si="88"/>
        <v>1</v>
      </c>
      <c r="X119" s="7">
        <f t="shared" ca="1" si="88"/>
        <v>1.0593907942238265</v>
      </c>
      <c r="Y119" s="7">
        <f t="shared" ca="1" si="88"/>
        <v>-0.04</v>
      </c>
      <c r="Z119" s="7">
        <f t="shared" ca="1" si="88"/>
        <v>1.9826438893579164E-2</v>
      </c>
      <c r="AA119" s="28" t="str">
        <f t="shared" si="83"/>
        <v>HJH</v>
      </c>
      <c r="AB119" s="28"/>
      <c r="AC119" s="12"/>
      <c r="AD119" s="12"/>
    </row>
    <row r="120" spans="1:30" x14ac:dyDescent="0.25">
      <c r="A120" s="5" t="s">
        <v>22</v>
      </c>
      <c r="B120" s="5" t="s">
        <v>154</v>
      </c>
      <c r="C120" s="5" t="s">
        <v>78</v>
      </c>
      <c r="D120" s="6">
        <f t="shared" ca="1" si="74"/>
        <v>67</v>
      </c>
      <c r="E120" s="6">
        <f t="shared" ca="1" si="79"/>
        <v>859.56716417910445</v>
      </c>
      <c r="F120" s="6">
        <f t="shared" ca="1" si="85"/>
        <v>57591</v>
      </c>
      <c r="G120" s="6">
        <f t="shared" ca="1" si="85"/>
        <v>90</v>
      </c>
      <c r="H120" s="6">
        <f t="shared" ca="1" si="80"/>
        <v>1151.7150617283953</v>
      </c>
      <c r="I120" s="6">
        <f t="shared" ca="1" si="86"/>
        <v>103654.35555555558</v>
      </c>
      <c r="J120" s="6">
        <f t="shared" ca="1" si="86"/>
        <v>65</v>
      </c>
      <c r="K120" s="6">
        <f t="shared" ca="1" si="81"/>
        <v>751.40430769230784</v>
      </c>
      <c r="L120" s="6">
        <f t="shared" ca="1" si="87"/>
        <v>48841.280000000006</v>
      </c>
      <c r="M120" s="6">
        <f t="shared" ca="1" si="87"/>
        <v>106.21527777777779</v>
      </c>
      <c r="N120" s="6">
        <f t="shared" ca="1" si="82"/>
        <v>921.37204938271634</v>
      </c>
      <c r="O120" s="6">
        <f t="shared" ca="1" si="88"/>
        <v>97863.78816186561</v>
      </c>
      <c r="P120" s="6">
        <f t="shared" ca="1" si="88"/>
        <v>-41.215277777777786</v>
      </c>
      <c r="Q120" s="6">
        <f t="shared" ca="1" si="88"/>
        <v>-169.9677416904085</v>
      </c>
      <c r="R120" s="6">
        <f t="shared" ca="1" si="88"/>
        <v>-49022.508161865604</v>
      </c>
      <c r="S120" s="6">
        <f t="shared" ca="1" si="88"/>
        <v>-11047.903209876553</v>
      </c>
      <c r="T120" s="6">
        <f t="shared" ca="1" si="88"/>
        <v>-37974.604951989044</v>
      </c>
      <c r="U120" s="7">
        <f t="shared" ca="1" si="88"/>
        <v>0.61196469434455703</v>
      </c>
      <c r="V120" s="7">
        <f t="shared" ca="1" si="88"/>
        <v>0.49907407956880923</v>
      </c>
      <c r="W120" s="7">
        <f t="shared" ca="1" si="88"/>
        <v>-2.9850746268656716E-2</v>
      </c>
      <c r="X120" s="7">
        <f t="shared" ca="1" si="88"/>
        <v>-0.15192859995485394</v>
      </c>
      <c r="Y120" s="7">
        <f t="shared" ca="1" si="88"/>
        <v>-0.27777777777777779</v>
      </c>
      <c r="Z120" s="7">
        <f t="shared" ca="1" si="88"/>
        <v>-0.52880629339475693</v>
      </c>
      <c r="AA120" s="28" t="str">
        <f t="shared" si="83"/>
        <v>HJH</v>
      </c>
      <c r="AB120" s="28"/>
      <c r="AC120" s="12"/>
      <c r="AD120" s="12"/>
    </row>
    <row r="121" spans="1:30" x14ac:dyDescent="0.25">
      <c r="A121" s="5" t="s">
        <v>22</v>
      </c>
      <c r="B121" s="5" t="s">
        <v>48</v>
      </c>
      <c r="C121" s="5" t="s">
        <v>79</v>
      </c>
      <c r="D121" s="6">
        <f t="shared" ca="1" si="74"/>
        <v>155</v>
      </c>
      <c r="E121" s="6">
        <f t="shared" ca="1" si="79"/>
        <v>755.73548387096776</v>
      </c>
      <c r="F121" s="6">
        <f t="shared" ca="1" si="85"/>
        <v>117139</v>
      </c>
      <c r="G121" s="6">
        <f t="shared" ca="1" si="85"/>
        <v>165.55555555555557</v>
      </c>
      <c r="H121" s="6">
        <f t="shared" ca="1" si="80"/>
        <v>786.54637583892668</v>
      </c>
      <c r="I121" s="6">
        <f t="shared" ca="1" si="86"/>
        <v>130217.12222222232</v>
      </c>
      <c r="J121" s="6">
        <f t="shared" ca="1" si="86"/>
        <v>111</v>
      </c>
      <c r="K121" s="6">
        <f t="shared" ca="1" si="81"/>
        <v>836.2319819819819</v>
      </c>
      <c r="L121" s="6">
        <f t="shared" ca="1" si="87"/>
        <v>92821.749999999985</v>
      </c>
      <c r="M121" s="6">
        <f t="shared" ca="1" si="87"/>
        <v>161</v>
      </c>
      <c r="N121" s="6">
        <f t="shared" ca="1" si="82"/>
        <v>811.6001140684416</v>
      </c>
      <c r="O121" s="6">
        <f t="shared" ca="1" si="88"/>
        <v>130667.61836501909</v>
      </c>
      <c r="P121" s="6">
        <f t="shared" ca="1" si="88"/>
        <v>-50</v>
      </c>
      <c r="Q121" s="6">
        <f t="shared" ca="1" si="88"/>
        <v>24.631867913540304</v>
      </c>
      <c r="R121" s="6">
        <f t="shared" ca="1" si="88"/>
        <v>-37845.868365019109</v>
      </c>
      <c r="S121" s="6">
        <f t="shared" ca="1" si="88"/>
        <v>2734.1373384029739</v>
      </c>
      <c r="T121" s="6">
        <f t="shared" ca="1" si="88"/>
        <v>-40580.005703422081</v>
      </c>
      <c r="U121" s="7">
        <f t="shared" ca="1" si="88"/>
        <v>0.68944099378881984</v>
      </c>
      <c r="V121" s="7">
        <f t="shared" ca="1" si="88"/>
        <v>0.71036536183511867</v>
      </c>
      <c r="W121" s="7">
        <f t="shared" ca="1" si="88"/>
        <v>-0.28387096774193549</v>
      </c>
      <c r="X121" s="7">
        <f t="shared" ca="1" si="88"/>
        <v>-0.20759311587088855</v>
      </c>
      <c r="Y121" s="7">
        <f t="shared" ca="1" si="88"/>
        <v>-0.32953020134228195</v>
      </c>
      <c r="Z121" s="7">
        <f t="shared" ca="1" si="88"/>
        <v>-0.28717707459703473</v>
      </c>
      <c r="AA121" s="28" t="str">
        <f t="shared" si="83"/>
        <v>HJH</v>
      </c>
      <c r="AB121" s="28"/>
      <c r="AC121" s="12"/>
      <c r="AD121" s="12"/>
    </row>
    <row r="122" spans="1:30" x14ac:dyDescent="0.25">
      <c r="A122" s="5" t="s">
        <v>22</v>
      </c>
      <c r="B122" s="5" t="s">
        <v>48</v>
      </c>
      <c r="C122" s="5" t="s">
        <v>80</v>
      </c>
      <c r="D122" s="6">
        <f t="shared" ca="1" si="74"/>
        <v>157</v>
      </c>
      <c r="E122" s="6">
        <f t="shared" ca="1" si="79"/>
        <v>692.53503184713372</v>
      </c>
      <c r="F122" s="6">
        <f t="shared" ca="1" si="85"/>
        <v>108728</v>
      </c>
      <c r="G122" s="6">
        <f t="shared" ca="1" si="85"/>
        <v>121.66666666666667</v>
      </c>
      <c r="H122" s="6">
        <f t="shared" ca="1" si="80"/>
        <v>669.15073059360759</v>
      </c>
      <c r="I122" s="6">
        <f t="shared" ca="1" si="86"/>
        <v>81413.338888888931</v>
      </c>
      <c r="J122" s="6">
        <f t="shared" ca="1" si="86"/>
        <v>148</v>
      </c>
      <c r="K122" s="6">
        <f t="shared" ca="1" si="81"/>
        <v>618.05466216216212</v>
      </c>
      <c r="L122" s="6">
        <f t="shared" ca="1" si="87"/>
        <v>91472.09</v>
      </c>
      <c r="M122" s="6">
        <f t="shared" ca="1" si="87"/>
        <v>161.66666666666669</v>
      </c>
      <c r="N122" s="6">
        <f t="shared" ca="1" si="82"/>
        <v>817.91034722222162</v>
      </c>
      <c r="O122" s="6">
        <f t="shared" ca="1" si="88"/>
        <v>132228.83946759251</v>
      </c>
      <c r="P122" s="6">
        <f t="shared" ca="1" si="88"/>
        <v>-13.666666666666686</v>
      </c>
      <c r="Q122" s="6">
        <f t="shared" ca="1" si="88"/>
        <v>-199.8556850600595</v>
      </c>
      <c r="R122" s="6">
        <f t="shared" ca="1" si="88"/>
        <v>-40756.749467592512</v>
      </c>
      <c r="S122" s="6">
        <f t="shared" ca="1" si="88"/>
        <v>-29578.641388888806</v>
      </c>
      <c r="T122" s="6">
        <f t="shared" ca="1" si="88"/>
        <v>-11178.108078703712</v>
      </c>
      <c r="U122" s="7">
        <f t="shared" ca="1" si="88"/>
        <v>0.91546391752577305</v>
      </c>
      <c r="V122" s="7">
        <f t="shared" ca="1" si="88"/>
        <v>0.69177110204025172</v>
      </c>
      <c r="W122" s="7">
        <f t="shared" ca="1" si="88"/>
        <v>-5.7324840764331211E-2</v>
      </c>
      <c r="X122" s="7">
        <f t="shared" ca="1" si="88"/>
        <v>-0.15870714075491138</v>
      </c>
      <c r="Y122" s="7">
        <f t="shared" ca="1" si="88"/>
        <v>0.21643835616438351</v>
      </c>
      <c r="Z122" s="7">
        <f t="shared" ca="1" si="88"/>
        <v>0.12355163476146114</v>
      </c>
      <c r="AA122" s="28" t="str">
        <f t="shared" si="83"/>
        <v>HJH</v>
      </c>
      <c r="AB122" s="28"/>
      <c r="AC122" s="12"/>
      <c r="AD122" s="12"/>
    </row>
    <row r="123" spans="1:30" x14ac:dyDescent="0.25">
      <c r="A123" s="5" t="s">
        <v>22</v>
      </c>
      <c r="B123" s="5" t="s">
        <v>48</v>
      </c>
      <c r="C123" s="5" t="s">
        <v>81</v>
      </c>
      <c r="D123" s="6">
        <f t="shared" ca="1" si="74"/>
        <v>49</v>
      </c>
      <c r="E123" s="6">
        <f t="shared" ca="1" si="79"/>
        <v>789.75510204081638</v>
      </c>
      <c r="F123" s="6">
        <f t="shared" ca="1" si="85"/>
        <v>38698</v>
      </c>
      <c r="G123" s="6">
        <f t="shared" ca="1" si="85"/>
        <v>109.44444444444444</v>
      </c>
      <c r="H123" s="6">
        <f t="shared" ca="1" si="80"/>
        <v>844.64406091370472</v>
      </c>
      <c r="I123" s="6">
        <f t="shared" ca="1" si="86"/>
        <v>92441.599999999904</v>
      </c>
      <c r="J123" s="6">
        <f t="shared" ca="1" si="86"/>
        <v>193</v>
      </c>
      <c r="K123" s="6">
        <f t="shared" ca="1" si="81"/>
        <v>891.76119170984441</v>
      </c>
      <c r="L123" s="6">
        <f t="shared" ca="1" si="87"/>
        <v>172109.90999999997</v>
      </c>
      <c r="M123" s="6">
        <f t="shared" ca="1" si="87"/>
        <v>100.06689508415533</v>
      </c>
      <c r="N123" s="6">
        <f t="shared" ca="1" si="82"/>
        <v>929.61950000000002</v>
      </c>
      <c r="O123" s="6">
        <f t="shared" ca="1" si="88"/>
        <v>93024.136974684938</v>
      </c>
      <c r="P123" s="6">
        <f t="shared" ca="1" si="88"/>
        <v>92.933104915844666</v>
      </c>
      <c r="Q123" s="6">
        <f t="shared" ca="1" si="88"/>
        <v>-37.858308290155605</v>
      </c>
      <c r="R123" s="6">
        <f t="shared" ca="1" si="88"/>
        <v>79085.773025315037</v>
      </c>
      <c r="S123" s="6">
        <f t="shared" ca="1" si="88"/>
        <v>-7306.6535000000322</v>
      </c>
      <c r="T123" s="6">
        <f t="shared" ca="1" si="88"/>
        <v>86392.426525315066</v>
      </c>
      <c r="U123" s="7">
        <f t="shared" ca="1" si="88"/>
        <v>1.9287097879642292</v>
      </c>
      <c r="V123" s="7">
        <f t="shared" ca="1" si="88"/>
        <v>1.8501640068624017</v>
      </c>
      <c r="W123" s="7">
        <f t="shared" ca="1" si="88"/>
        <v>2.9387755102040818</v>
      </c>
      <c r="X123" s="7">
        <f t="shared" ca="1" si="88"/>
        <v>3.4475143418264502</v>
      </c>
      <c r="Y123" s="7">
        <f t="shared" ca="1" si="88"/>
        <v>0.76345177664974617</v>
      </c>
      <c r="Z123" s="7">
        <f t="shared" ca="1" si="88"/>
        <v>0.86182314023123952</v>
      </c>
      <c r="AA123" s="28" t="str">
        <f t="shared" si="83"/>
        <v>HJH</v>
      </c>
      <c r="AB123" s="28"/>
      <c r="AC123" s="12"/>
      <c r="AD123" s="12"/>
    </row>
    <row r="124" spans="1:30" x14ac:dyDescent="0.25">
      <c r="A124" s="5" t="s">
        <v>22</v>
      </c>
      <c r="B124" s="5" t="s">
        <v>48</v>
      </c>
      <c r="C124" s="5" t="s">
        <v>82</v>
      </c>
      <c r="D124" s="6">
        <f t="shared" ca="1" si="74"/>
        <v>0</v>
      </c>
      <c r="E124" s="6" t="str">
        <f t="shared" ca="1" si="79"/>
        <v>-</v>
      </c>
      <c r="F124" s="6">
        <f t="shared" ca="1" si="85"/>
        <v>0</v>
      </c>
      <c r="G124" s="6">
        <f t="shared" ca="1" si="85"/>
        <v>78.333333333333343</v>
      </c>
      <c r="H124" s="6">
        <f t="shared" ca="1" si="80"/>
        <v>651.70595744680804</v>
      </c>
      <c r="I124" s="6">
        <f t="shared" ca="1" si="86"/>
        <v>51050.299999999974</v>
      </c>
      <c r="J124" s="6">
        <f t="shared" ca="1" si="86"/>
        <v>0</v>
      </c>
      <c r="K124" s="6" t="str">
        <f t="shared" ca="1" si="81"/>
        <v>-</v>
      </c>
      <c r="L124" s="6">
        <f t="shared" ca="1" si="87"/>
        <v>524.91000000000008</v>
      </c>
      <c r="M124" s="6">
        <f t="shared" ca="1" si="87"/>
        <v>138.6</v>
      </c>
      <c r="N124" s="6">
        <f t="shared" ca="1" si="82"/>
        <v>643.10314285714287</v>
      </c>
      <c r="O124" s="6">
        <f t="shared" ca="1" si="88"/>
        <v>89134.095600000001</v>
      </c>
      <c r="P124" s="6">
        <f t="shared" ca="1" si="88"/>
        <v>-138.6</v>
      </c>
      <c r="Q124" s="6" t="str">
        <f t="shared" ca="1" si="88"/>
        <v>-</v>
      </c>
      <c r="R124" s="6">
        <f t="shared" ca="1" si="88"/>
        <v>-88609.185599999997</v>
      </c>
      <c r="S124" s="6" t="str">
        <f t="shared" ca="1" si="88"/>
        <v>-</v>
      </c>
      <c r="T124" s="6">
        <f t="shared" ca="1" si="88"/>
        <v>-89134.095600000001</v>
      </c>
      <c r="U124" s="7">
        <f t="shared" ca="1" si="88"/>
        <v>0</v>
      </c>
      <c r="V124" s="7">
        <f t="shared" ca="1" si="88"/>
        <v>5.8889922702037275E-3</v>
      </c>
      <c r="W124" s="7" t="str">
        <f t="shared" ca="1" si="88"/>
        <v>-</v>
      </c>
      <c r="X124" s="7" t="str">
        <f t="shared" ca="1" si="88"/>
        <v>-</v>
      </c>
      <c r="Y124" s="7">
        <f t="shared" ca="1" si="88"/>
        <v>-1</v>
      </c>
      <c r="Z124" s="7">
        <f t="shared" ca="1" si="88"/>
        <v>-0.98971778814228317</v>
      </c>
      <c r="AA124" s="28" t="str">
        <f t="shared" si="83"/>
        <v>HJH</v>
      </c>
      <c r="AB124" s="28"/>
      <c r="AC124" s="12"/>
      <c r="AD124" s="12"/>
    </row>
    <row r="125" spans="1:30" x14ac:dyDescent="0.25">
      <c r="A125" s="5" t="s">
        <v>22</v>
      </c>
      <c r="B125" s="5" t="s">
        <v>50</v>
      </c>
      <c r="C125" s="5" t="s">
        <v>83</v>
      </c>
      <c r="D125" s="6">
        <f t="shared" ca="1" si="74"/>
        <v>124</v>
      </c>
      <c r="E125" s="6">
        <f t="shared" ca="1" si="79"/>
        <v>521.70967741935488</v>
      </c>
      <c r="F125" s="6">
        <f t="shared" ca="1" si="85"/>
        <v>64692</v>
      </c>
      <c r="G125" s="6">
        <f t="shared" ca="1" si="85"/>
        <v>148.88888888888889</v>
      </c>
      <c r="H125" s="6">
        <f t="shared" ca="1" si="80"/>
        <v>562.95332089552289</v>
      </c>
      <c r="I125" s="6">
        <f t="shared" ca="1" si="86"/>
        <v>83817.494444444514</v>
      </c>
      <c r="J125" s="6">
        <f t="shared" ca="1" si="86"/>
        <v>169</v>
      </c>
      <c r="K125" s="6">
        <f t="shared" ca="1" si="81"/>
        <v>512.74710059171593</v>
      </c>
      <c r="L125" s="6">
        <f t="shared" ca="1" si="87"/>
        <v>86654.26</v>
      </c>
      <c r="M125" s="6">
        <f t="shared" ca="1" si="87"/>
        <v>173.10838404842082</v>
      </c>
      <c r="N125" s="6">
        <f t="shared" ca="1" si="82"/>
        <v>532.33654545454567</v>
      </c>
      <c r="O125" s="6">
        <f t="shared" ca="1" si="88"/>
        <v>92151.919153555122</v>
      </c>
      <c r="P125" s="6">
        <f t="shared" ca="1" si="88"/>
        <v>-4.1083840484208167</v>
      </c>
      <c r="Q125" s="6">
        <f t="shared" ca="1" si="88"/>
        <v>-19.589444862829737</v>
      </c>
      <c r="R125" s="6">
        <f t="shared" ca="1" si="88"/>
        <v>-5497.659153555127</v>
      </c>
      <c r="S125" s="6">
        <f t="shared" ca="1" si="88"/>
        <v>-3310.6161818182254</v>
      </c>
      <c r="T125" s="6">
        <f t="shared" ca="1" si="88"/>
        <v>-2187.0429717368984</v>
      </c>
      <c r="U125" s="7">
        <f t="shared" ca="1" si="88"/>
        <v>0.97626698399962164</v>
      </c>
      <c r="V125" s="7">
        <f t="shared" ca="1" si="88"/>
        <v>0.94034134932779601</v>
      </c>
      <c r="W125" s="7">
        <f t="shared" ca="1" si="88"/>
        <v>0.36290322580645162</v>
      </c>
      <c r="X125" s="7">
        <f t="shared" ca="1" si="88"/>
        <v>0.33948958140110053</v>
      </c>
      <c r="Y125" s="7">
        <f t="shared" ca="1" si="88"/>
        <v>0.13507462686567168</v>
      </c>
      <c r="Z125" s="7">
        <f t="shared" ca="1" si="88"/>
        <v>3.384455207541108E-2</v>
      </c>
      <c r="AA125" s="28" t="str">
        <f t="shared" si="83"/>
        <v>HJH</v>
      </c>
      <c r="AB125" s="28"/>
      <c r="AC125" s="12"/>
      <c r="AD125" s="12"/>
    </row>
    <row r="126" spans="1:30" x14ac:dyDescent="0.25">
      <c r="A126" s="5" t="s">
        <v>22</v>
      </c>
      <c r="B126" s="5" t="s">
        <v>50</v>
      </c>
      <c r="C126" s="5" t="s">
        <v>84</v>
      </c>
      <c r="D126" s="6">
        <f t="shared" ca="1" si="74"/>
        <v>63</v>
      </c>
      <c r="E126" s="6">
        <f t="shared" ca="1" si="79"/>
        <v>394.60317460317458</v>
      </c>
      <c r="F126" s="6">
        <f t="shared" ca="1" si="85"/>
        <v>24860</v>
      </c>
      <c r="G126" s="6">
        <f t="shared" ca="1" si="85"/>
        <v>110</v>
      </c>
      <c r="H126" s="6">
        <f t="shared" ca="1" si="80"/>
        <v>387.46404040404042</v>
      </c>
      <c r="I126" s="6">
        <f t="shared" ca="1" si="86"/>
        <v>42621.044444444444</v>
      </c>
      <c r="J126" s="6">
        <f t="shared" ca="1" si="86"/>
        <v>7</v>
      </c>
      <c r="K126" s="6">
        <f t="shared" ca="1" si="81"/>
        <v>358.11714285714288</v>
      </c>
      <c r="L126" s="6">
        <f t="shared" ca="1" si="87"/>
        <v>2506.8200000000002</v>
      </c>
      <c r="M126" s="6">
        <f t="shared" ca="1" si="87"/>
        <v>145.03416666666666</v>
      </c>
      <c r="N126" s="6">
        <f t="shared" ca="1" si="82"/>
        <v>453.22798076923107</v>
      </c>
      <c r="O126" s="6">
        <f t="shared" ref="O126:Z135" ca="1" si="89">IFERROR(VLOOKUP($C126,INDIRECT("'"&amp;$AA126&amp;"-"&amp;$C$1&amp;"'!$C:$AH"),O$30,0),0)</f>
        <v>65733.542500881449</v>
      </c>
      <c r="P126" s="6">
        <f t="shared" ca="1" si="89"/>
        <v>-138.03416666666666</v>
      </c>
      <c r="Q126" s="6">
        <f t="shared" ca="1" si="89"/>
        <v>-95.110837912088186</v>
      </c>
      <c r="R126" s="6">
        <f t="shared" ca="1" si="89"/>
        <v>-63226.722500881449</v>
      </c>
      <c r="S126" s="6">
        <f t="shared" ca="1" si="89"/>
        <v>-665.7758653846173</v>
      </c>
      <c r="T126" s="6">
        <f t="shared" ca="1" si="89"/>
        <v>-62560.946635496832</v>
      </c>
      <c r="U126" s="7">
        <f t="shared" ca="1" si="89"/>
        <v>4.8264489401922538E-2</v>
      </c>
      <c r="V126" s="7">
        <f t="shared" ca="1" si="89"/>
        <v>3.8136085545159612E-2</v>
      </c>
      <c r="W126" s="7">
        <f t="shared" ca="1" si="89"/>
        <v>-0.88888888888888884</v>
      </c>
      <c r="X126" s="7">
        <f t="shared" ca="1" si="89"/>
        <v>-0.89916251005631542</v>
      </c>
      <c r="Y126" s="7">
        <f t="shared" ca="1" si="89"/>
        <v>-0.9363636363636364</v>
      </c>
      <c r="Z126" s="7">
        <f t="shared" ca="1" si="89"/>
        <v>-0.94118351549860346</v>
      </c>
      <c r="AA126" s="28" t="str">
        <f t="shared" si="83"/>
        <v>HJH</v>
      </c>
      <c r="AB126" s="28"/>
      <c r="AC126" s="12"/>
      <c r="AD126" s="12"/>
    </row>
    <row r="127" spans="1:30" x14ac:dyDescent="0.25">
      <c r="A127" s="5" t="s">
        <v>22</v>
      </c>
      <c r="B127" s="5" t="s">
        <v>50</v>
      </c>
      <c r="C127" s="5" t="s">
        <v>85</v>
      </c>
      <c r="D127" s="6">
        <f t="shared" ca="1" si="74"/>
        <v>83</v>
      </c>
      <c r="E127" s="6">
        <f t="shared" ca="1" si="79"/>
        <v>415.06024096385545</v>
      </c>
      <c r="F127" s="6">
        <f t="shared" ca="1" si="85"/>
        <v>34450</v>
      </c>
      <c r="G127" s="6">
        <f t="shared" ca="1" si="85"/>
        <v>138.88888888888889</v>
      </c>
      <c r="H127" s="6">
        <f t="shared" ca="1" si="80"/>
        <v>351.1136799999997</v>
      </c>
      <c r="I127" s="6">
        <f t="shared" ca="1" si="86"/>
        <v>48765.788888888848</v>
      </c>
      <c r="J127" s="6">
        <f t="shared" ca="1" si="86"/>
        <v>207</v>
      </c>
      <c r="K127" s="6">
        <f t="shared" ca="1" si="81"/>
        <v>409.54589371980671</v>
      </c>
      <c r="L127" s="6">
        <f t="shared" ca="1" si="87"/>
        <v>84775.999999999985</v>
      </c>
      <c r="M127" s="6">
        <f t="shared" ca="1" si="87"/>
        <v>139.53333333333333</v>
      </c>
      <c r="N127" s="6">
        <f t="shared" ca="1" si="82"/>
        <v>425.85917391304321</v>
      </c>
      <c r="O127" s="6">
        <f t="shared" ca="1" si="89"/>
        <v>59421.550066666627</v>
      </c>
      <c r="P127" s="6">
        <f t="shared" ca="1" si="89"/>
        <v>67.466666666666669</v>
      </c>
      <c r="Q127" s="6">
        <f t="shared" ca="1" si="89"/>
        <v>-16.313280193236494</v>
      </c>
      <c r="R127" s="6">
        <f t="shared" ca="1" si="89"/>
        <v>25354.449933333359</v>
      </c>
      <c r="S127" s="6">
        <f t="shared" ca="1" si="89"/>
        <v>-3376.8489999999542</v>
      </c>
      <c r="T127" s="6">
        <f t="shared" ca="1" si="89"/>
        <v>28731.298933333317</v>
      </c>
      <c r="U127" s="7">
        <f t="shared" ca="1" si="89"/>
        <v>1.4835164835164836</v>
      </c>
      <c r="V127" s="7">
        <f t="shared" ca="1" si="89"/>
        <v>1.4266877909594671</v>
      </c>
      <c r="W127" s="7">
        <f t="shared" ca="1" si="89"/>
        <v>1.4939759036144578</v>
      </c>
      <c r="X127" s="7">
        <f t="shared" ca="1" si="89"/>
        <v>1.4608417997097238</v>
      </c>
      <c r="Y127" s="7">
        <f t="shared" ca="1" si="89"/>
        <v>0.49040000000000006</v>
      </c>
      <c r="Z127" s="7">
        <f t="shared" ca="1" si="89"/>
        <v>0.73843183780250432</v>
      </c>
      <c r="AA127" s="28" t="str">
        <f t="shared" si="83"/>
        <v>HJH</v>
      </c>
      <c r="AB127" s="28"/>
      <c r="AC127" s="12"/>
      <c r="AD127" s="12"/>
    </row>
    <row r="128" spans="1:30" x14ac:dyDescent="0.25">
      <c r="A128" s="5" t="s">
        <v>22</v>
      </c>
      <c r="B128" s="5" t="s">
        <v>50</v>
      </c>
      <c r="C128" s="5" t="s">
        <v>86</v>
      </c>
      <c r="D128" s="6">
        <f t="shared" ca="1" si="74"/>
        <v>36</v>
      </c>
      <c r="E128" s="6">
        <f t="shared" ca="1" si="79"/>
        <v>887.02777777777783</v>
      </c>
      <c r="F128" s="6">
        <f t="shared" ca="1" si="85"/>
        <v>31933</v>
      </c>
      <c r="G128" s="6">
        <f t="shared" ca="1" si="85"/>
        <v>67.777777777777786</v>
      </c>
      <c r="H128" s="6">
        <f t="shared" ca="1" si="80"/>
        <v>704.79499999999962</v>
      </c>
      <c r="I128" s="6">
        <f t="shared" ca="1" si="86"/>
        <v>47769.438888888872</v>
      </c>
      <c r="J128" s="6">
        <f t="shared" ca="1" si="86"/>
        <v>103</v>
      </c>
      <c r="K128" s="6">
        <f t="shared" ca="1" si="81"/>
        <v>491.10339805825231</v>
      </c>
      <c r="L128" s="6">
        <f t="shared" ca="1" si="87"/>
        <v>50583.649999999987</v>
      </c>
      <c r="M128" s="6">
        <f t="shared" ca="1" si="87"/>
        <v>90.5625</v>
      </c>
      <c r="N128" s="6">
        <f t="shared" ca="1" si="82"/>
        <v>752.42329824561295</v>
      </c>
      <c r="O128" s="6">
        <f t="shared" ca="1" si="89"/>
        <v>68141.334947368319</v>
      </c>
      <c r="P128" s="6">
        <f t="shared" ca="1" si="89"/>
        <v>12.4375</v>
      </c>
      <c r="Q128" s="6">
        <f t="shared" ca="1" si="89"/>
        <v>-261.31990018736064</v>
      </c>
      <c r="R128" s="6">
        <f t="shared" ca="1" si="89"/>
        <v>-17557.684947368332</v>
      </c>
      <c r="S128" s="6">
        <f t="shared" ca="1" si="89"/>
        <v>-26915.949719298147</v>
      </c>
      <c r="T128" s="6">
        <f t="shared" ca="1" si="89"/>
        <v>9358.2647719298111</v>
      </c>
      <c r="U128" s="7">
        <f t="shared" ca="1" si="89"/>
        <v>1.137336093857833</v>
      </c>
      <c r="V128" s="7">
        <f t="shared" ca="1" si="89"/>
        <v>0.74233429736987522</v>
      </c>
      <c r="W128" s="7">
        <f t="shared" ca="1" si="89"/>
        <v>1.8611111111111112</v>
      </c>
      <c r="X128" s="7">
        <f t="shared" ca="1" si="89"/>
        <v>0.58405567907806932</v>
      </c>
      <c r="Y128" s="7">
        <f t="shared" ca="1" si="89"/>
        <v>0.51967213114754085</v>
      </c>
      <c r="Z128" s="7">
        <f t="shared" ca="1" si="89"/>
        <v>5.8912375287826509E-2</v>
      </c>
      <c r="AA128" s="28" t="str">
        <f t="shared" si="83"/>
        <v>HJH</v>
      </c>
      <c r="AB128" s="28"/>
      <c r="AC128" s="12"/>
      <c r="AD128" s="12"/>
    </row>
    <row r="129" spans="1:30" x14ac:dyDescent="0.25">
      <c r="A129" s="5" t="s">
        <v>22</v>
      </c>
      <c r="B129" s="5" t="s">
        <v>154</v>
      </c>
      <c r="C129" s="5" t="s">
        <v>87</v>
      </c>
      <c r="D129" s="6">
        <f t="shared" ca="1" si="74"/>
        <v>117</v>
      </c>
      <c r="E129" s="6">
        <f t="shared" ca="1" si="79"/>
        <v>348.40170940170941</v>
      </c>
      <c r="F129" s="6">
        <f t="shared" ca="1" si="85"/>
        <v>40763</v>
      </c>
      <c r="G129" s="6">
        <f t="shared" ca="1" si="85"/>
        <v>134.44444444444446</v>
      </c>
      <c r="H129" s="6">
        <f t="shared" ca="1" si="80"/>
        <v>328.86454545454558</v>
      </c>
      <c r="I129" s="6">
        <f t="shared" ca="1" si="86"/>
        <v>44214.011111111133</v>
      </c>
      <c r="J129" s="6">
        <f t="shared" ca="1" si="86"/>
        <v>79</v>
      </c>
      <c r="K129" s="6">
        <f t="shared" ca="1" si="81"/>
        <v>379.63556962025325</v>
      </c>
      <c r="L129" s="6">
        <f t="shared" ca="1" si="87"/>
        <v>29991.210000000006</v>
      </c>
      <c r="M129" s="6">
        <f t="shared" ca="1" si="87"/>
        <v>106.21527777777779</v>
      </c>
      <c r="N129" s="6">
        <f t="shared" ca="1" si="82"/>
        <v>402.99401574803113</v>
      </c>
      <c r="O129" s="6">
        <f t="shared" ca="1" si="89"/>
        <v>42804.12132545928</v>
      </c>
      <c r="P129" s="6">
        <f t="shared" ca="1" si="89"/>
        <v>-27.215277777777786</v>
      </c>
      <c r="Q129" s="6">
        <f t="shared" ca="1" si="89"/>
        <v>-23.358446127777881</v>
      </c>
      <c r="R129" s="6">
        <f t="shared" ca="1" si="89"/>
        <v>-12812.911325459274</v>
      </c>
      <c r="S129" s="6">
        <f t="shared" ca="1" si="89"/>
        <v>-1845.3172440944527</v>
      </c>
      <c r="T129" s="6">
        <f t="shared" ca="1" si="89"/>
        <v>-10967.594081364823</v>
      </c>
      <c r="U129" s="7">
        <f t="shared" ca="1" si="89"/>
        <v>0.74377247466492313</v>
      </c>
      <c r="V129" s="7">
        <f t="shared" ca="1" si="89"/>
        <v>0.70066173703142143</v>
      </c>
      <c r="W129" s="7">
        <f t="shared" ca="1" si="89"/>
        <v>-0.3247863247863248</v>
      </c>
      <c r="X129" s="7">
        <f t="shared" ca="1" si="89"/>
        <v>-0.26425410298555047</v>
      </c>
      <c r="Y129" s="7">
        <f t="shared" ca="1" si="89"/>
        <v>-0.41239669421487607</v>
      </c>
      <c r="Z129" s="7">
        <f t="shared" ca="1" si="89"/>
        <v>-0.32168085983804551</v>
      </c>
      <c r="AA129" s="28" t="str">
        <f t="shared" si="83"/>
        <v>HJH</v>
      </c>
      <c r="AB129" s="28"/>
      <c r="AC129" s="12"/>
      <c r="AD129" s="12"/>
    </row>
    <row r="130" spans="1:30" x14ac:dyDescent="0.25">
      <c r="A130" s="5" t="s">
        <v>22</v>
      </c>
      <c r="B130" s="5" t="s">
        <v>51</v>
      </c>
      <c r="C130" s="5" t="s">
        <v>88</v>
      </c>
      <c r="D130" s="6">
        <f t="shared" ca="1" si="74"/>
        <v>140</v>
      </c>
      <c r="E130" s="6">
        <f t="shared" ca="1" si="79"/>
        <v>351.39285714285717</v>
      </c>
      <c r="F130" s="6">
        <f t="shared" ca="1" si="85"/>
        <v>49195</v>
      </c>
      <c r="G130" s="6">
        <f t="shared" ca="1" si="85"/>
        <v>150.55555555555557</v>
      </c>
      <c r="H130" s="6">
        <f t="shared" ca="1" si="80"/>
        <v>401.81313653136527</v>
      </c>
      <c r="I130" s="6">
        <f t="shared" ca="1" si="86"/>
        <v>60495.200000000004</v>
      </c>
      <c r="J130" s="6">
        <f t="shared" ca="1" si="86"/>
        <v>167</v>
      </c>
      <c r="K130" s="6">
        <f t="shared" ca="1" si="81"/>
        <v>327.45131736526946</v>
      </c>
      <c r="L130" s="6">
        <f t="shared" ca="1" si="87"/>
        <v>54684.37</v>
      </c>
      <c r="M130" s="6">
        <f t="shared" ca="1" si="87"/>
        <v>127.45833333333333</v>
      </c>
      <c r="N130" s="6">
        <f t="shared" ca="1" si="82"/>
        <v>411.98977477477484</v>
      </c>
      <c r="O130" s="6">
        <f t="shared" ca="1" si="89"/>
        <v>52511.530043168175</v>
      </c>
      <c r="P130" s="6">
        <f t="shared" ca="1" si="89"/>
        <v>39.541666666666671</v>
      </c>
      <c r="Q130" s="6">
        <f t="shared" ca="1" si="89"/>
        <v>-84.538457409505384</v>
      </c>
      <c r="R130" s="6">
        <f t="shared" ca="1" si="89"/>
        <v>2172.8399568318273</v>
      </c>
      <c r="S130" s="6">
        <f t="shared" ca="1" si="89"/>
        <v>-14117.9223873874</v>
      </c>
      <c r="T130" s="6">
        <f t="shared" ca="1" si="89"/>
        <v>16290.762344219223</v>
      </c>
      <c r="U130" s="7">
        <f t="shared" ca="1" si="89"/>
        <v>1.3102321019941159</v>
      </c>
      <c r="V130" s="7">
        <f t="shared" ca="1" si="89"/>
        <v>1.041378340243478</v>
      </c>
      <c r="W130" s="7">
        <f t="shared" ca="1" si="89"/>
        <v>0.19285714285714287</v>
      </c>
      <c r="X130" s="7">
        <f t="shared" ca="1" si="89"/>
        <v>0.11158390080292718</v>
      </c>
      <c r="Y130" s="7">
        <f t="shared" ca="1" si="89"/>
        <v>0.10922509225092239</v>
      </c>
      <c r="Z130" s="7">
        <f t="shared" ca="1" si="89"/>
        <v>-9.6054397704280689E-2</v>
      </c>
      <c r="AA130" s="28" t="str">
        <f t="shared" si="83"/>
        <v>HJH</v>
      </c>
      <c r="AB130" s="28"/>
      <c r="AC130" s="12"/>
      <c r="AD130" s="12"/>
    </row>
    <row r="131" spans="1:30" x14ac:dyDescent="0.25">
      <c r="A131" s="5" t="s">
        <v>22</v>
      </c>
      <c r="B131" s="5" t="s">
        <v>154</v>
      </c>
      <c r="C131" s="5" t="s">
        <v>89</v>
      </c>
      <c r="D131" s="6">
        <f t="shared" ca="1" si="74"/>
        <v>0</v>
      </c>
      <c r="E131" s="6" t="str">
        <f t="shared" ca="1" si="79"/>
        <v>-</v>
      </c>
      <c r="F131" s="6">
        <f t="shared" ca="1" si="85"/>
        <v>0</v>
      </c>
      <c r="G131" s="6">
        <f t="shared" ca="1" si="85"/>
        <v>108.33333333333334</v>
      </c>
      <c r="H131" s="6">
        <f t="shared" ca="1" si="80"/>
        <v>232.35112820512828</v>
      </c>
      <c r="I131" s="6">
        <f t="shared" ca="1" si="86"/>
        <v>25171.372222222231</v>
      </c>
      <c r="J131" s="6">
        <f t="shared" ca="1" si="86"/>
        <v>27</v>
      </c>
      <c r="K131" s="6">
        <f t="shared" ca="1" si="81"/>
        <v>239.82296296296295</v>
      </c>
      <c r="L131" s="6">
        <f t="shared" ca="1" si="87"/>
        <v>6475.2199999999993</v>
      </c>
      <c r="M131" s="6">
        <f t="shared" ca="1" si="87"/>
        <v>147.77777777777777</v>
      </c>
      <c r="N131" s="6">
        <f t="shared" ca="1" si="82"/>
        <v>253.19862068965514</v>
      </c>
      <c r="O131" s="6">
        <f t="shared" ca="1" si="89"/>
        <v>37417.129501915704</v>
      </c>
      <c r="P131" s="6">
        <f t="shared" ca="1" si="89"/>
        <v>-120.77777777777777</v>
      </c>
      <c r="Q131" s="6">
        <f t="shared" ca="1" si="89"/>
        <v>-13.375657726692197</v>
      </c>
      <c r="R131" s="6">
        <f t="shared" ca="1" si="89"/>
        <v>-30941.909501915703</v>
      </c>
      <c r="S131" s="6">
        <f t="shared" ca="1" si="89"/>
        <v>-361.14275862068928</v>
      </c>
      <c r="T131" s="6">
        <f t="shared" ca="1" si="89"/>
        <v>-30580.766743295015</v>
      </c>
      <c r="U131" s="7">
        <f t="shared" ca="1" si="89"/>
        <v>0.18270676691729323</v>
      </c>
      <c r="V131" s="7">
        <f t="shared" ca="1" si="89"/>
        <v>0.17305496402839982</v>
      </c>
      <c r="W131" s="7" t="str">
        <f t="shared" ca="1" si="89"/>
        <v>-</v>
      </c>
      <c r="X131" s="7" t="str">
        <f t="shared" ca="1" si="89"/>
        <v>-</v>
      </c>
      <c r="Y131" s="7">
        <f t="shared" ca="1" si="89"/>
        <v>-0.75076923076923074</v>
      </c>
      <c r="Z131" s="7">
        <f t="shared" ca="1" si="89"/>
        <v>-0.74275458871155897</v>
      </c>
      <c r="AA131" s="28" t="str">
        <f t="shared" si="83"/>
        <v>HJH</v>
      </c>
      <c r="AB131" s="28"/>
      <c r="AC131" s="12"/>
      <c r="AD131" s="12"/>
    </row>
    <row r="132" spans="1:30" x14ac:dyDescent="0.25">
      <c r="A132" s="5" t="s">
        <v>22</v>
      </c>
      <c r="B132" s="5" t="s">
        <v>154</v>
      </c>
      <c r="C132" s="5" t="s">
        <v>90</v>
      </c>
      <c r="D132" s="6">
        <f t="shared" ca="1" si="74"/>
        <v>35</v>
      </c>
      <c r="E132" s="6">
        <f t="shared" ca="1" si="79"/>
        <v>372.17142857142858</v>
      </c>
      <c r="F132" s="6">
        <f t="shared" ca="1" si="85"/>
        <v>13026</v>
      </c>
      <c r="G132" s="6">
        <f t="shared" ca="1" si="85"/>
        <v>41.666666666666671</v>
      </c>
      <c r="H132" s="6">
        <f t="shared" ca="1" si="80"/>
        <v>317.12119999999999</v>
      </c>
      <c r="I132" s="6">
        <f t="shared" ca="1" si="86"/>
        <v>13213.383333333333</v>
      </c>
      <c r="J132" s="6">
        <f t="shared" ca="1" si="86"/>
        <v>44</v>
      </c>
      <c r="K132" s="6">
        <f t="shared" ca="1" si="81"/>
        <v>333.63636363636363</v>
      </c>
      <c r="L132" s="6">
        <f t="shared" ca="1" si="87"/>
        <v>14680</v>
      </c>
      <c r="M132" s="6">
        <f t="shared" ca="1" si="87"/>
        <v>63.729166666666664</v>
      </c>
      <c r="N132" s="6">
        <f t="shared" ca="1" si="82"/>
        <v>337.30666666666667</v>
      </c>
      <c r="O132" s="6">
        <f t="shared" ca="1" si="89"/>
        <v>21496.272777777776</v>
      </c>
      <c r="P132" s="6">
        <f t="shared" ca="1" si="89"/>
        <v>-19.729166666666664</v>
      </c>
      <c r="Q132" s="6">
        <f t="shared" ca="1" si="89"/>
        <v>-3.6703030303030459</v>
      </c>
      <c r="R132" s="6">
        <f t="shared" ca="1" si="89"/>
        <v>-6816.2727777777764</v>
      </c>
      <c r="S132" s="6">
        <f t="shared" ca="1" si="89"/>
        <v>-161.49333333333402</v>
      </c>
      <c r="T132" s="6">
        <f t="shared" ca="1" si="89"/>
        <v>-6654.7794444444435</v>
      </c>
      <c r="U132" s="7">
        <f t="shared" ca="1" si="89"/>
        <v>0.69042170644001311</v>
      </c>
      <c r="V132" s="7">
        <f t="shared" ca="1" si="89"/>
        <v>0.68290908622892799</v>
      </c>
      <c r="W132" s="7">
        <f t="shared" ca="1" si="89"/>
        <v>0.25714285714285712</v>
      </c>
      <c r="X132" s="7">
        <f t="shared" ca="1" si="89"/>
        <v>0.12697681559957008</v>
      </c>
      <c r="Y132" s="7">
        <f t="shared" ca="1" si="89"/>
        <v>5.5999999999999883E-2</v>
      </c>
      <c r="Z132" s="7">
        <f t="shared" ca="1" si="89"/>
        <v>0.11099478685121021</v>
      </c>
      <c r="AA132" s="28" t="str">
        <f t="shared" si="83"/>
        <v>HJH</v>
      </c>
      <c r="AB132" s="28"/>
      <c r="AC132" s="12"/>
      <c r="AD132" s="12"/>
    </row>
    <row r="133" spans="1:30" x14ac:dyDescent="0.25">
      <c r="A133" s="5" t="s">
        <v>22</v>
      </c>
      <c r="B133" s="5" t="s">
        <v>52</v>
      </c>
      <c r="C133" s="5" t="s">
        <v>91</v>
      </c>
      <c r="D133" s="6">
        <f t="shared" ca="1" si="74"/>
        <v>176</v>
      </c>
      <c r="E133" s="6">
        <f t="shared" ca="1" si="79"/>
        <v>1100.8522727272727</v>
      </c>
      <c r="F133" s="6">
        <f t="shared" ca="1" si="85"/>
        <v>193750</v>
      </c>
      <c r="G133" s="6">
        <f t="shared" ca="1" si="85"/>
        <v>196.11111111111111</v>
      </c>
      <c r="H133" s="6">
        <f t="shared" ca="1" si="80"/>
        <v>873.32286118980187</v>
      </c>
      <c r="I133" s="6">
        <f t="shared" ca="1" si="86"/>
        <v>171268.31666666671</v>
      </c>
      <c r="J133" s="6">
        <f t="shared" ca="1" si="86"/>
        <v>117</v>
      </c>
      <c r="K133" s="6">
        <f t="shared" ca="1" si="81"/>
        <v>914.41632478632482</v>
      </c>
      <c r="L133" s="6">
        <f t="shared" ca="1" si="87"/>
        <v>106986.71</v>
      </c>
      <c r="M133" s="6">
        <f t="shared" ca="1" si="87"/>
        <v>178.88888888888889</v>
      </c>
      <c r="N133" s="6">
        <f t="shared" ca="1" si="82"/>
        <v>931.93886274509794</v>
      </c>
      <c r="O133" s="6">
        <f t="shared" ca="1" si="89"/>
        <v>166713.5076688453</v>
      </c>
      <c r="P133" s="6">
        <f t="shared" ca="1" si="89"/>
        <v>-61.888888888888886</v>
      </c>
      <c r="Q133" s="6">
        <f t="shared" ca="1" si="89"/>
        <v>-17.522537958773114</v>
      </c>
      <c r="R133" s="6">
        <f t="shared" ca="1" si="89"/>
        <v>-59726.797668845291</v>
      </c>
      <c r="S133" s="6">
        <f t="shared" ca="1" si="89"/>
        <v>-2050.1369411764545</v>
      </c>
      <c r="T133" s="6">
        <f t="shared" ca="1" si="89"/>
        <v>-57676.660727668837</v>
      </c>
      <c r="U133" s="7">
        <f t="shared" ca="1" si="89"/>
        <v>0.65403726708074539</v>
      </c>
      <c r="V133" s="7">
        <f t="shared" ca="1" si="89"/>
        <v>0.64173990155923777</v>
      </c>
      <c r="W133" s="7">
        <f t="shared" ca="1" si="89"/>
        <v>-0.33522727272727271</v>
      </c>
      <c r="X133" s="7">
        <f t="shared" ca="1" si="89"/>
        <v>-0.44781052903225804</v>
      </c>
      <c r="Y133" s="7">
        <f t="shared" ca="1" si="89"/>
        <v>-0.40339943342776202</v>
      </c>
      <c r="Z133" s="7">
        <f t="shared" ca="1" si="89"/>
        <v>-0.37532690177469108</v>
      </c>
      <c r="AA133" s="28" t="str">
        <f t="shared" si="83"/>
        <v>HJH</v>
      </c>
      <c r="AB133" s="28"/>
      <c r="AC133" s="12"/>
      <c r="AD133" s="12"/>
    </row>
    <row r="134" spans="1:30" x14ac:dyDescent="0.25">
      <c r="A134" s="5" t="s">
        <v>22</v>
      </c>
      <c r="B134" s="5" t="s">
        <v>53</v>
      </c>
      <c r="C134" s="5" t="s">
        <v>92</v>
      </c>
      <c r="D134" s="6">
        <f t="shared" ca="1" si="74"/>
        <v>54</v>
      </c>
      <c r="E134" s="6">
        <f t="shared" ca="1" si="79"/>
        <v>626.5</v>
      </c>
      <c r="F134" s="6">
        <f t="shared" ca="1" si="85"/>
        <v>33831</v>
      </c>
      <c r="G134" s="6">
        <f t="shared" ca="1" si="85"/>
        <v>53.888888888888893</v>
      </c>
      <c r="H134" s="6">
        <f t="shared" ca="1" si="80"/>
        <v>653.23247422680402</v>
      </c>
      <c r="I134" s="6">
        <f t="shared" ca="1" si="86"/>
        <v>35201.972222222219</v>
      </c>
      <c r="J134" s="6">
        <f t="shared" ca="1" si="86"/>
        <v>61</v>
      </c>
      <c r="K134" s="6">
        <f t="shared" ca="1" si="81"/>
        <v>506.73901639344257</v>
      </c>
      <c r="L134" s="6">
        <f t="shared" ca="1" si="87"/>
        <v>30911.079999999998</v>
      </c>
      <c r="M134" s="6">
        <f t="shared" ca="1" si="87"/>
        <v>58.888888888888893</v>
      </c>
      <c r="N134" s="6">
        <f t="shared" ca="1" si="82"/>
        <v>761.92797872340429</v>
      </c>
      <c r="O134" s="6">
        <f t="shared" ca="1" si="89"/>
        <v>44869.092080378257</v>
      </c>
      <c r="P134" s="6">
        <f t="shared" ca="1" si="89"/>
        <v>2.1111111111111072</v>
      </c>
      <c r="Q134" s="6">
        <f t="shared" ca="1" si="89"/>
        <v>-255.18896232996173</v>
      </c>
      <c r="R134" s="6">
        <f t="shared" ca="1" si="89"/>
        <v>-13958.012080378259</v>
      </c>
      <c r="S134" s="6">
        <f t="shared" ca="1" si="89"/>
        <v>-15566.526702127665</v>
      </c>
      <c r="T134" s="6">
        <f t="shared" ca="1" si="89"/>
        <v>1608.5146217494062</v>
      </c>
      <c r="U134" s="7">
        <f t="shared" ca="1" si="89"/>
        <v>1.0358490566037735</v>
      </c>
      <c r="V134" s="7">
        <f t="shared" ca="1" si="89"/>
        <v>0.68891699311913979</v>
      </c>
      <c r="W134" s="7">
        <f t="shared" ca="1" si="89"/>
        <v>0.12962962962962962</v>
      </c>
      <c r="X134" s="7">
        <f t="shared" ca="1" si="89"/>
        <v>-8.630900653247027E-2</v>
      </c>
      <c r="Y134" s="7">
        <f t="shared" ca="1" si="89"/>
        <v>0.13195876288659786</v>
      </c>
      <c r="Z134" s="7">
        <f t="shared" ca="1" si="89"/>
        <v>-0.12189351764539705</v>
      </c>
      <c r="AA134" s="28" t="str">
        <f t="shared" si="83"/>
        <v>HJH</v>
      </c>
      <c r="AB134" s="28"/>
      <c r="AC134" s="12"/>
      <c r="AD134" s="12"/>
    </row>
    <row r="135" spans="1:30" x14ac:dyDescent="0.25">
      <c r="A135" s="5" t="s">
        <v>22</v>
      </c>
      <c r="B135" s="5" t="s">
        <v>49</v>
      </c>
      <c r="C135" s="5" t="s">
        <v>93</v>
      </c>
      <c r="D135" s="6">
        <f t="shared" ca="1" si="74"/>
        <v>43</v>
      </c>
      <c r="E135" s="6">
        <f t="shared" ca="1" si="79"/>
        <v>924.1395348837209</v>
      </c>
      <c r="F135" s="6">
        <f t="shared" ca="1" si="85"/>
        <v>39738</v>
      </c>
      <c r="G135" s="6">
        <f t="shared" ca="1" si="85"/>
        <v>22.222222222222221</v>
      </c>
      <c r="H135" s="6">
        <f t="shared" ca="1" si="80"/>
        <v>831.79750000000024</v>
      </c>
      <c r="I135" s="6">
        <f t="shared" ca="1" si="86"/>
        <v>18484.388888888894</v>
      </c>
      <c r="J135" s="6">
        <f t="shared" ca="1" si="86"/>
        <v>17</v>
      </c>
      <c r="K135" s="6">
        <f t="shared" ca="1" si="81"/>
        <v>1114.4829411764708</v>
      </c>
      <c r="L135" s="6">
        <f t="shared" ca="1" si="87"/>
        <v>18946.210000000003</v>
      </c>
      <c r="M135" s="6" t="str">
        <f t="shared" ca="1" si="87"/>
        <v>-</v>
      </c>
      <c r="N135" s="6" t="str">
        <f t="shared" ca="1" si="82"/>
        <v>-</v>
      </c>
      <c r="O135" s="6" t="str">
        <f t="shared" ca="1" si="89"/>
        <v>-</v>
      </c>
      <c r="P135" s="6" t="str">
        <f t="shared" ca="1" si="89"/>
        <v>-</v>
      </c>
      <c r="Q135" s="6" t="str">
        <f t="shared" ca="1" si="89"/>
        <v>-</v>
      </c>
      <c r="R135" s="6" t="str">
        <f t="shared" ca="1" si="89"/>
        <v>-</v>
      </c>
      <c r="S135" s="6" t="str">
        <f t="shared" ca="1" si="89"/>
        <v>-</v>
      </c>
      <c r="T135" s="6" t="str">
        <f t="shared" ca="1" si="89"/>
        <v>-</v>
      </c>
      <c r="U135" s="7" t="str">
        <f t="shared" ca="1" si="89"/>
        <v>-</v>
      </c>
      <c r="V135" s="7" t="str">
        <f t="shared" ca="1" si="89"/>
        <v>-</v>
      </c>
      <c r="W135" s="7">
        <f t="shared" ca="1" si="89"/>
        <v>-0.60465116279069764</v>
      </c>
      <c r="X135" s="7">
        <f t="shared" ca="1" si="89"/>
        <v>-0.52322185313805414</v>
      </c>
      <c r="Y135" s="7">
        <f t="shared" ca="1" si="89"/>
        <v>-0.23499999999999999</v>
      </c>
      <c r="Z135" s="7">
        <f t="shared" ca="1" si="89"/>
        <v>2.4984386223810343E-2</v>
      </c>
      <c r="AA135" s="28" t="str">
        <f t="shared" si="83"/>
        <v>HJH</v>
      </c>
      <c r="AB135" s="28"/>
      <c r="AC135" s="12"/>
      <c r="AD135" s="12"/>
    </row>
    <row r="136" spans="1:30" x14ac:dyDescent="0.25">
      <c r="A136" s="5" t="s">
        <v>22</v>
      </c>
      <c r="B136" s="5" t="s">
        <v>49</v>
      </c>
      <c r="C136" s="5" t="s">
        <v>94</v>
      </c>
      <c r="D136" s="6">
        <f t="shared" ca="1" si="74"/>
        <v>10</v>
      </c>
      <c r="E136" s="6">
        <f t="shared" ca="1" si="79"/>
        <v>423.6</v>
      </c>
      <c r="F136" s="6">
        <f t="shared" ref="F136:G155" ca="1" si="90">IFERROR(VLOOKUP($C136,INDIRECT("'"&amp;$AA136&amp;"-"&amp;$C$1&amp;"'!$C:$AH"),F$30,0),0)</f>
        <v>4236</v>
      </c>
      <c r="G136" s="6">
        <f t="shared" ca="1" si="90"/>
        <v>12.222222222222223</v>
      </c>
      <c r="H136" s="6">
        <f t="shared" ca="1" si="80"/>
        <v>439.53727272727275</v>
      </c>
      <c r="I136" s="6">
        <f t="shared" ref="I136:J155" ca="1" si="91">IFERROR(VLOOKUP($C136,INDIRECT("'"&amp;$AA136&amp;"-"&amp;$C$1&amp;"'!$C:$AH"),I$30,0),0)</f>
        <v>5372.1222222222232</v>
      </c>
      <c r="J136" s="6">
        <f t="shared" ca="1" si="91"/>
        <v>17</v>
      </c>
      <c r="K136" s="6">
        <f t="shared" ca="1" si="81"/>
        <v>393.93529411764706</v>
      </c>
      <c r="L136" s="6">
        <f t="shared" ref="L136:M155" ca="1" si="92">IFERROR(VLOOKUP($C136,INDIRECT("'"&amp;$AA136&amp;"-"&amp;$C$1&amp;"'!$C:$AH"),L$30,0),0)</f>
        <v>6696.9</v>
      </c>
      <c r="M136" s="6" t="str">
        <f t="shared" ca="1" si="92"/>
        <v>-</v>
      </c>
      <c r="N136" s="6" t="str">
        <f t="shared" ca="1" si="82"/>
        <v>-</v>
      </c>
      <c r="O136" s="6" t="str">
        <f t="shared" ref="O136:Z145" ca="1" si="93">IFERROR(VLOOKUP($C136,INDIRECT("'"&amp;$AA136&amp;"-"&amp;$C$1&amp;"'!$C:$AH"),O$30,0),0)</f>
        <v>-</v>
      </c>
      <c r="P136" s="6" t="str">
        <f t="shared" ca="1" si="93"/>
        <v>-</v>
      </c>
      <c r="Q136" s="6" t="str">
        <f t="shared" ca="1" si="93"/>
        <v>-</v>
      </c>
      <c r="R136" s="6" t="str">
        <f t="shared" ca="1" si="93"/>
        <v>-</v>
      </c>
      <c r="S136" s="6" t="str">
        <f t="shared" ca="1" si="93"/>
        <v>-</v>
      </c>
      <c r="T136" s="6" t="str">
        <f t="shared" ca="1" si="93"/>
        <v>-</v>
      </c>
      <c r="U136" s="7" t="str">
        <f t="shared" ca="1" si="93"/>
        <v>-</v>
      </c>
      <c r="V136" s="7" t="str">
        <f t="shared" ca="1" si="93"/>
        <v>-</v>
      </c>
      <c r="W136" s="7">
        <f t="shared" ca="1" si="93"/>
        <v>0.7</v>
      </c>
      <c r="X136" s="7">
        <f t="shared" ca="1" si="93"/>
        <v>0.58094900849858344</v>
      </c>
      <c r="Y136" s="7">
        <f t="shared" ca="1" si="93"/>
        <v>0.39090909090909082</v>
      </c>
      <c r="Z136" s="7">
        <f t="shared" ca="1" si="93"/>
        <v>0.2466023152447509</v>
      </c>
      <c r="AA136" s="28" t="str">
        <f t="shared" si="83"/>
        <v>HJH</v>
      </c>
      <c r="AB136" s="28"/>
      <c r="AC136" s="12"/>
      <c r="AD136" s="12"/>
    </row>
    <row r="137" spans="1:30" x14ac:dyDescent="0.25">
      <c r="A137" s="5" t="s">
        <v>22</v>
      </c>
      <c r="B137" s="5" t="s">
        <v>49</v>
      </c>
      <c r="C137" s="5" t="s">
        <v>95</v>
      </c>
      <c r="D137" s="6">
        <f t="shared" ca="1" si="74"/>
        <v>0</v>
      </c>
      <c r="E137" s="6" t="str">
        <f t="shared" ca="1" si="79"/>
        <v>-</v>
      </c>
      <c r="F137" s="6">
        <f t="shared" ca="1" si="90"/>
        <v>0</v>
      </c>
      <c r="G137" s="6">
        <f t="shared" ca="1" si="90"/>
        <v>96.666666666666671</v>
      </c>
      <c r="H137" s="6">
        <f t="shared" ca="1" si="80"/>
        <v>706.30120689655178</v>
      </c>
      <c r="I137" s="6">
        <f t="shared" ca="1" si="91"/>
        <v>68275.78333333334</v>
      </c>
      <c r="J137" s="6">
        <f t="shared" ca="1" si="91"/>
        <v>95</v>
      </c>
      <c r="K137" s="6">
        <f t="shared" ca="1" si="81"/>
        <v>833.37452631578969</v>
      </c>
      <c r="L137" s="6">
        <f t="shared" ca="1" si="92"/>
        <v>79170.580000000016</v>
      </c>
      <c r="M137" s="6" t="str">
        <f t="shared" ca="1" si="92"/>
        <v>-</v>
      </c>
      <c r="N137" s="6" t="str">
        <f t="shared" ca="1" si="82"/>
        <v>-</v>
      </c>
      <c r="O137" s="6" t="str">
        <f t="shared" ca="1" si="93"/>
        <v>-</v>
      </c>
      <c r="P137" s="6" t="str">
        <f t="shared" ca="1" si="93"/>
        <v>-</v>
      </c>
      <c r="Q137" s="6" t="str">
        <f t="shared" ca="1" si="93"/>
        <v>-</v>
      </c>
      <c r="R137" s="6" t="str">
        <f t="shared" ca="1" si="93"/>
        <v>-</v>
      </c>
      <c r="S137" s="6" t="str">
        <f t="shared" ca="1" si="93"/>
        <v>-</v>
      </c>
      <c r="T137" s="6" t="str">
        <f t="shared" ca="1" si="93"/>
        <v>-</v>
      </c>
      <c r="U137" s="7" t="str">
        <f t="shared" ca="1" si="93"/>
        <v>-</v>
      </c>
      <c r="V137" s="7" t="str">
        <f t="shared" ca="1" si="93"/>
        <v>-</v>
      </c>
      <c r="W137" s="7" t="str">
        <f t="shared" ca="1" si="93"/>
        <v>-</v>
      </c>
      <c r="X137" s="7" t="str">
        <f t="shared" ca="1" si="93"/>
        <v>-</v>
      </c>
      <c r="Y137" s="7">
        <f t="shared" ca="1" si="93"/>
        <v>-1.7241379310344876E-2</v>
      </c>
      <c r="Z137" s="7">
        <f t="shared" ca="1" si="93"/>
        <v>0.15957043822516878</v>
      </c>
      <c r="AA137" s="28" t="str">
        <f t="shared" si="83"/>
        <v>HJH</v>
      </c>
      <c r="AB137" s="28"/>
      <c r="AC137" s="12"/>
      <c r="AD137" s="12"/>
    </row>
    <row r="138" spans="1:30" x14ac:dyDescent="0.25">
      <c r="A138" s="5" t="s">
        <v>22</v>
      </c>
      <c r="B138" s="5" t="s">
        <v>49</v>
      </c>
      <c r="C138" s="5" t="s">
        <v>96</v>
      </c>
      <c r="D138" s="6">
        <f t="shared" ca="1" si="74"/>
        <v>5</v>
      </c>
      <c r="E138" s="6">
        <f t="shared" ca="1" si="79"/>
        <v>689.4</v>
      </c>
      <c r="F138" s="6">
        <f t="shared" ca="1" si="90"/>
        <v>3447</v>
      </c>
      <c r="G138" s="6">
        <f t="shared" ca="1" si="90"/>
        <v>12.777777777777779</v>
      </c>
      <c r="H138" s="6">
        <f t="shared" ca="1" si="80"/>
        <v>642.27913043478259</v>
      </c>
      <c r="I138" s="6">
        <f t="shared" ca="1" si="91"/>
        <v>8206.9</v>
      </c>
      <c r="J138" s="6">
        <f t="shared" ca="1" si="91"/>
        <v>15</v>
      </c>
      <c r="K138" s="6">
        <f t="shared" ca="1" si="81"/>
        <v>595.83866666666665</v>
      </c>
      <c r="L138" s="6">
        <f t="shared" ca="1" si="92"/>
        <v>8937.58</v>
      </c>
      <c r="M138" s="6" t="str">
        <f t="shared" ca="1" si="92"/>
        <v>-</v>
      </c>
      <c r="N138" s="6" t="str">
        <f t="shared" ca="1" si="82"/>
        <v>-</v>
      </c>
      <c r="O138" s="6" t="str">
        <f t="shared" ca="1" si="93"/>
        <v>-</v>
      </c>
      <c r="P138" s="6" t="str">
        <f t="shared" ca="1" si="93"/>
        <v>-</v>
      </c>
      <c r="Q138" s="6" t="str">
        <f t="shared" ca="1" si="93"/>
        <v>-</v>
      </c>
      <c r="R138" s="6" t="str">
        <f t="shared" ca="1" si="93"/>
        <v>-</v>
      </c>
      <c r="S138" s="6" t="str">
        <f t="shared" ca="1" si="93"/>
        <v>-</v>
      </c>
      <c r="T138" s="6" t="str">
        <f t="shared" ca="1" si="93"/>
        <v>-</v>
      </c>
      <c r="U138" s="7" t="str">
        <f t="shared" ca="1" si="93"/>
        <v>-</v>
      </c>
      <c r="V138" s="7" t="str">
        <f t="shared" ca="1" si="93"/>
        <v>-</v>
      </c>
      <c r="W138" s="7">
        <f t="shared" ca="1" si="93"/>
        <v>2</v>
      </c>
      <c r="X138" s="7">
        <f t="shared" ca="1" si="93"/>
        <v>1.5928575572961996</v>
      </c>
      <c r="Y138" s="7">
        <f t="shared" ca="1" si="93"/>
        <v>0.17391304347826081</v>
      </c>
      <c r="Z138" s="7">
        <f t="shared" ca="1" si="93"/>
        <v>8.9032399566218709E-2</v>
      </c>
      <c r="AA138" s="28" t="str">
        <f t="shared" si="83"/>
        <v>HJH</v>
      </c>
      <c r="AB138" s="28"/>
      <c r="AC138" s="12"/>
      <c r="AD138" s="12"/>
    </row>
    <row r="139" spans="1:30" x14ac:dyDescent="0.25">
      <c r="A139" s="5" t="s">
        <v>22</v>
      </c>
      <c r="B139" s="5" t="s">
        <v>49</v>
      </c>
      <c r="C139" s="5" t="s">
        <v>97</v>
      </c>
      <c r="D139" s="6">
        <f t="shared" ca="1" si="74"/>
        <v>65</v>
      </c>
      <c r="E139" s="6">
        <f t="shared" ca="1" si="79"/>
        <v>560.70769230769235</v>
      </c>
      <c r="F139" s="6">
        <f t="shared" ca="1" si="90"/>
        <v>36446</v>
      </c>
      <c r="G139" s="6">
        <f t="shared" ca="1" si="90"/>
        <v>71.111111111111114</v>
      </c>
      <c r="H139" s="6">
        <f t="shared" ca="1" si="80"/>
        <v>492.44304687499988</v>
      </c>
      <c r="I139" s="6">
        <f t="shared" ca="1" si="91"/>
        <v>35018.172222222216</v>
      </c>
      <c r="J139" s="6">
        <f t="shared" ca="1" si="91"/>
        <v>48</v>
      </c>
      <c r="K139" s="6">
        <f t="shared" ca="1" si="81"/>
        <v>577.20749999999998</v>
      </c>
      <c r="L139" s="6">
        <f t="shared" ca="1" si="92"/>
        <v>27705.96</v>
      </c>
      <c r="M139" s="6" t="str">
        <f t="shared" ca="1" si="92"/>
        <v>-</v>
      </c>
      <c r="N139" s="6" t="str">
        <f t="shared" ca="1" si="82"/>
        <v>-</v>
      </c>
      <c r="O139" s="6" t="str">
        <f t="shared" ca="1" si="93"/>
        <v>-</v>
      </c>
      <c r="P139" s="6" t="str">
        <f t="shared" ca="1" si="93"/>
        <v>-</v>
      </c>
      <c r="Q139" s="6" t="str">
        <f t="shared" ca="1" si="93"/>
        <v>-</v>
      </c>
      <c r="R139" s="6" t="str">
        <f t="shared" ca="1" si="93"/>
        <v>-</v>
      </c>
      <c r="S139" s="6" t="str">
        <f t="shared" ca="1" si="93"/>
        <v>-</v>
      </c>
      <c r="T139" s="6" t="str">
        <f t="shared" ca="1" si="93"/>
        <v>-</v>
      </c>
      <c r="U139" s="7" t="str">
        <f t="shared" ca="1" si="93"/>
        <v>-</v>
      </c>
      <c r="V139" s="7" t="str">
        <f t="shared" ca="1" si="93"/>
        <v>-</v>
      </c>
      <c r="W139" s="7">
        <f t="shared" ca="1" si="93"/>
        <v>-0.26153846153846155</v>
      </c>
      <c r="X139" s="7">
        <f t="shared" ca="1" si="93"/>
        <v>-0.23980793502716349</v>
      </c>
      <c r="Y139" s="7">
        <f t="shared" ca="1" si="93"/>
        <v>-0.32500000000000001</v>
      </c>
      <c r="Z139" s="7">
        <f t="shared" ca="1" si="93"/>
        <v>-0.20881193272508819</v>
      </c>
      <c r="AA139" s="28" t="str">
        <f t="shared" si="83"/>
        <v>HJH</v>
      </c>
      <c r="AB139" s="28"/>
      <c r="AC139" s="12"/>
      <c r="AD139" s="12"/>
    </row>
    <row r="140" spans="1:30" x14ac:dyDescent="0.25">
      <c r="A140" s="5" t="s">
        <v>22</v>
      </c>
      <c r="B140" s="5" t="s">
        <v>49</v>
      </c>
      <c r="C140" s="5" t="s">
        <v>98</v>
      </c>
      <c r="D140" s="6">
        <f t="shared" ca="1" si="74"/>
        <v>0</v>
      </c>
      <c r="E140" s="6" t="str">
        <f t="shared" ca="1" si="79"/>
        <v>-</v>
      </c>
      <c r="F140" s="6">
        <f t="shared" ca="1" si="90"/>
        <v>0</v>
      </c>
      <c r="G140" s="6">
        <f t="shared" ca="1" si="90"/>
        <v>0</v>
      </c>
      <c r="H140" s="6" t="str">
        <f t="shared" ca="1" si="80"/>
        <v>-</v>
      </c>
      <c r="I140" s="6">
        <f t="shared" ca="1" si="91"/>
        <v>0</v>
      </c>
      <c r="J140" s="6">
        <f t="shared" ca="1" si="91"/>
        <v>4</v>
      </c>
      <c r="K140" s="6">
        <f t="shared" ca="1" si="81"/>
        <v>311.25</v>
      </c>
      <c r="L140" s="6">
        <f t="shared" ca="1" si="92"/>
        <v>1245</v>
      </c>
      <c r="M140" s="6" t="str">
        <f t="shared" ca="1" si="92"/>
        <v>-</v>
      </c>
      <c r="N140" s="6" t="str">
        <f t="shared" ca="1" si="82"/>
        <v>-</v>
      </c>
      <c r="O140" s="6" t="str">
        <f t="shared" ca="1" si="93"/>
        <v>-</v>
      </c>
      <c r="P140" s="6" t="str">
        <f t="shared" ca="1" si="93"/>
        <v>-</v>
      </c>
      <c r="Q140" s="6" t="str">
        <f t="shared" ca="1" si="93"/>
        <v>-</v>
      </c>
      <c r="R140" s="6" t="str">
        <f t="shared" ca="1" si="93"/>
        <v>-</v>
      </c>
      <c r="S140" s="6" t="str">
        <f t="shared" ca="1" si="93"/>
        <v>-</v>
      </c>
      <c r="T140" s="6" t="str">
        <f t="shared" ca="1" si="93"/>
        <v>-</v>
      </c>
      <c r="U140" s="7" t="str">
        <f t="shared" ca="1" si="93"/>
        <v>-</v>
      </c>
      <c r="V140" s="7" t="str">
        <f t="shared" ca="1" si="93"/>
        <v>-</v>
      </c>
      <c r="W140" s="7" t="str">
        <f t="shared" ca="1" si="93"/>
        <v>-</v>
      </c>
      <c r="X140" s="7" t="str">
        <f t="shared" ca="1" si="93"/>
        <v>-</v>
      </c>
      <c r="Y140" s="7" t="str">
        <f t="shared" ca="1" si="93"/>
        <v>-</v>
      </c>
      <c r="Z140" s="7" t="str">
        <f t="shared" ca="1" si="93"/>
        <v>-</v>
      </c>
      <c r="AA140" s="28" t="str">
        <f t="shared" si="83"/>
        <v>HJH</v>
      </c>
      <c r="AB140" s="28"/>
      <c r="AC140" s="12"/>
      <c r="AD140" s="12"/>
    </row>
    <row r="141" spans="1:30" x14ac:dyDescent="0.25">
      <c r="A141" s="5" t="s">
        <v>22</v>
      </c>
      <c r="B141" s="5" t="s">
        <v>49</v>
      </c>
      <c r="C141" s="5" t="s">
        <v>99</v>
      </c>
      <c r="D141" s="6">
        <f t="shared" ca="1" si="74"/>
        <v>0</v>
      </c>
      <c r="E141" s="6" t="str">
        <f t="shared" ca="1" si="79"/>
        <v>-</v>
      </c>
      <c r="F141" s="6">
        <f t="shared" ca="1" si="90"/>
        <v>0</v>
      </c>
      <c r="G141" s="6">
        <f t="shared" ca="1" si="90"/>
        <v>5.5555555555555554</v>
      </c>
      <c r="H141" s="6">
        <f t="shared" ca="1" si="80"/>
        <v>288.61600000000004</v>
      </c>
      <c r="I141" s="6">
        <f t="shared" ca="1" si="91"/>
        <v>1603.4222222222224</v>
      </c>
      <c r="J141" s="6">
        <f t="shared" ca="1" si="91"/>
        <v>2</v>
      </c>
      <c r="K141" s="6">
        <f t="shared" ca="1" si="81"/>
        <v>0</v>
      </c>
      <c r="L141" s="6">
        <f t="shared" ca="1" si="92"/>
        <v>0</v>
      </c>
      <c r="M141" s="6" t="str">
        <f t="shared" ca="1" si="92"/>
        <v>-</v>
      </c>
      <c r="N141" s="6" t="str">
        <f t="shared" ca="1" si="82"/>
        <v>-</v>
      </c>
      <c r="O141" s="6" t="str">
        <f t="shared" ca="1" si="93"/>
        <v>-</v>
      </c>
      <c r="P141" s="6" t="str">
        <f t="shared" ca="1" si="93"/>
        <v>-</v>
      </c>
      <c r="Q141" s="6" t="str">
        <f t="shared" ca="1" si="93"/>
        <v>-</v>
      </c>
      <c r="R141" s="6" t="str">
        <f t="shared" ca="1" si="93"/>
        <v>-</v>
      </c>
      <c r="S141" s="6" t="str">
        <f t="shared" ca="1" si="93"/>
        <v>-</v>
      </c>
      <c r="T141" s="6" t="str">
        <f t="shared" ca="1" si="93"/>
        <v>-</v>
      </c>
      <c r="U141" s="7" t="str">
        <f t="shared" ca="1" si="93"/>
        <v>-</v>
      </c>
      <c r="V141" s="7" t="str">
        <f t="shared" ca="1" si="93"/>
        <v>-</v>
      </c>
      <c r="W141" s="7" t="str">
        <f t="shared" ca="1" si="93"/>
        <v>-</v>
      </c>
      <c r="X141" s="7" t="str">
        <f t="shared" ca="1" si="93"/>
        <v>-</v>
      </c>
      <c r="Y141" s="7">
        <f t="shared" ca="1" si="93"/>
        <v>-0.64</v>
      </c>
      <c r="Z141" s="7">
        <f t="shared" ca="1" si="93"/>
        <v>-1</v>
      </c>
      <c r="AA141" s="28" t="str">
        <f t="shared" si="83"/>
        <v>HJH</v>
      </c>
      <c r="AB141" s="28"/>
      <c r="AC141" s="12"/>
      <c r="AD141" s="12"/>
    </row>
    <row r="142" spans="1:30" x14ac:dyDescent="0.25">
      <c r="A142" s="5" t="s">
        <v>22</v>
      </c>
      <c r="B142" s="5" t="s">
        <v>49</v>
      </c>
      <c r="C142" s="5" t="s">
        <v>100</v>
      </c>
      <c r="D142" s="6">
        <f t="shared" ca="1" si="74"/>
        <v>96</v>
      </c>
      <c r="E142" s="6">
        <f t="shared" ca="1" si="79"/>
        <v>878.17708333333337</v>
      </c>
      <c r="F142" s="6">
        <f t="shared" ca="1" si="90"/>
        <v>84305</v>
      </c>
      <c r="G142" s="6">
        <f t="shared" ca="1" si="90"/>
        <v>91.666666666666671</v>
      </c>
      <c r="H142" s="6">
        <f t="shared" ca="1" si="80"/>
        <v>801.67951515151458</v>
      </c>
      <c r="I142" s="6">
        <f t="shared" ca="1" si="91"/>
        <v>73487.288888888841</v>
      </c>
      <c r="J142" s="6">
        <f t="shared" ca="1" si="91"/>
        <v>102</v>
      </c>
      <c r="K142" s="6">
        <f t="shared" ca="1" si="81"/>
        <v>942.33196078431342</v>
      </c>
      <c r="L142" s="6">
        <f t="shared" ca="1" si="92"/>
        <v>96117.859999999971</v>
      </c>
      <c r="M142" s="6" t="str">
        <f t="shared" ca="1" si="92"/>
        <v>-</v>
      </c>
      <c r="N142" s="6" t="str">
        <f t="shared" ca="1" si="82"/>
        <v>-</v>
      </c>
      <c r="O142" s="6" t="str">
        <f t="shared" ca="1" si="93"/>
        <v>-</v>
      </c>
      <c r="P142" s="6" t="str">
        <f t="shared" ca="1" si="93"/>
        <v>-</v>
      </c>
      <c r="Q142" s="6" t="str">
        <f t="shared" ca="1" si="93"/>
        <v>-</v>
      </c>
      <c r="R142" s="6" t="str">
        <f t="shared" ca="1" si="93"/>
        <v>-</v>
      </c>
      <c r="S142" s="6" t="str">
        <f t="shared" ca="1" si="93"/>
        <v>-</v>
      </c>
      <c r="T142" s="6" t="str">
        <f t="shared" ca="1" si="93"/>
        <v>-</v>
      </c>
      <c r="U142" s="7" t="str">
        <f t="shared" ca="1" si="93"/>
        <v>-</v>
      </c>
      <c r="V142" s="7" t="str">
        <f t="shared" ca="1" si="93"/>
        <v>-</v>
      </c>
      <c r="W142" s="7">
        <f t="shared" ca="1" si="93"/>
        <v>6.25E-2</v>
      </c>
      <c r="X142" s="7">
        <f t="shared" ca="1" si="93"/>
        <v>0.14012051479746127</v>
      </c>
      <c r="Y142" s="7">
        <f t="shared" ca="1" si="93"/>
        <v>0.11272727272727268</v>
      </c>
      <c r="Z142" s="7">
        <f t="shared" ca="1" si="93"/>
        <v>0.30795218402094077</v>
      </c>
      <c r="AA142" s="28" t="str">
        <f t="shared" si="83"/>
        <v>HJH</v>
      </c>
      <c r="AB142" s="28"/>
      <c r="AC142" s="12"/>
      <c r="AD142" s="12"/>
    </row>
    <row r="143" spans="1:30" x14ac:dyDescent="0.25">
      <c r="A143" s="5" t="s">
        <v>22</v>
      </c>
      <c r="B143" s="5" t="s">
        <v>49</v>
      </c>
      <c r="C143" s="5" t="s">
        <v>101</v>
      </c>
      <c r="D143" s="6">
        <f t="shared" ca="1" si="74"/>
        <v>8</v>
      </c>
      <c r="E143" s="6">
        <f t="shared" ca="1" si="79"/>
        <v>2244.75</v>
      </c>
      <c r="F143" s="6">
        <f t="shared" ca="1" si="90"/>
        <v>17958</v>
      </c>
      <c r="G143" s="6">
        <f t="shared" ca="1" si="90"/>
        <v>16.111111111111111</v>
      </c>
      <c r="H143" s="6">
        <f t="shared" ca="1" si="80"/>
        <v>1038.1693103448281</v>
      </c>
      <c r="I143" s="6">
        <f t="shared" ca="1" si="91"/>
        <v>16726.061111111117</v>
      </c>
      <c r="J143" s="6">
        <f t="shared" ca="1" si="91"/>
        <v>5</v>
      </c>
      <c r="K143" s="6">
        <f t="shared" ca="1" si="81"/>
        <v>546.048</v>
      </c>
      <c r="L143" s="6">
        <f t="shared" ca="1" si="92"/>
        <v>2730.24</v>
      </c>
      <c r="M143" s="6" t="str">
        <f t="shared" ca="1" si="92"/>
        <v>-</v>
      </c>
      <c r="N143" s="6" t="str">
        <f t="shared" ca="1" si="82"/>
        <v>-</v>
      </c>
      <c r="O143" s="6" t="str">
        <f t="shared" ca="1" si="93"/>
        <v>-</v>
      </c>
      <c r="P143" s="6" t="str">
        <f t="shared" ca="1" si="93"/>
        <v>-</v>
      </c>
      <c r="Q143" s="6" t="str">
        <f t="shared" ca="1" si="93"/>
        <v>-</v>
      </c>
      <c r="R143" s="6" t="str">
        <f t="shared" ca="1" si="93"/>
        <v>-</v>
      </c>
      <c r="S143" s="6" t="str">
        <f t="shared" ca="1" si="93"/>
        <v>-</v>
      </c>
      <c r="T143" s="6" t="str">
        <f t="shared" ca="1" si="93"/>
        <v>-</v>
      </c>
      <c r="U143" s="7" t="str">
        <f t="shared" ca="1" si="93"/>
        <v>-</v>
      </c>
      <c r="V143" s="7" t="str">
        <f t="shared" ca="1" si="93"/>
        <v>-</v>
      </c>
      <c r="W143" s="7">
        <f t="shared" ca="1" si="93"/>
        <v>-0.375</v>
      </c>
      <c r="X143" s="7">
        <f t="shared" ca="1" si="93"/>
        <v>-0.84796525225526231</v>
      </c>
      <c r="Y143" s="7">
        <f t="shared" ca="1" si="93"/>
        <v>-0.68965517241379315</v>
      </c>
      <c r="Z143" s="7">
        <f t="shared" ca="1" si="93"/>
        <v>-0.83676730690728485</v>
      </c>
      <c r="AA143" s="28" t="str">
        <f t="shared" si="83"/>
        <v>HJH</v>
      </c>
      <c r="AB143" s="28"/>
      <c r="AC143" s="12"/>
      <c r="AD143" s="12"/>
    </row>
    <row r="144" spans="1:30" x14ac:dyDescent="0.25">
      <c r="A144" s="5" t="s">
        <v>22</v>
      </c>
      <c r="B144" s="5" t="s">
        <v>49</v>
      </c>
      <c r="C144" s="5" t="s">
        <v>102</v>
      </c>
      <c r="D144" s="6">
        <f t="shared" ca="1" si="74"/>
        <v>0</v>
      </c>
      <c r="E144" s="6" t="str">
        <f t="shared" ca="1" si="79"/>
        <v>-</v>
      </c>
      <c r="F144" s="6">
        <f t="shared" ca="1" si="90"/>
        <v>63831</v>
      </c>
      <c r="G144" s="6">
        <f t="shared" ca="1" si="90"/>
        <v>0</v>
      </c>
      <c r="H144" s="6" t="str">
        <f t="shared" ca="1" si="80"/>
        <v>-</v>
      </c>
      <c r="I144" s="6">
        <f t="shared" ca="1" si="91"/>
        <v>118597.91666666664</v>
      </c>
      <c r="J144" s="6">
        <f t="shared" ca="1" si="91"/>
        <v>0</v>
      </c>
      <c r="K144" s="6" t="str">
        <f t="shared" ca="1" si="81"/>
        <v>-</v>
      </c>
      <c r="L144" s="6">
        <f t="shared" ca="1" si="92"/>
        <v>77485.899999999994</v>
      </c>
      <c r="M144" s="6" t="str">
        <f t="shared" ca="1" si="92"/>
        <v>-</v>
      </c>
      <c r="N144" s="6" t="str">
        <f t="shared" ca="1" si="82"/>
        <v>-</v>
      </c>
      <c r="O144" s="6" t="str">
        <f t="shared" ca="1" si="93"/>
        <v>-</v>
      </c>
      <c r="P144" s="6" t="str">
        <f t="shared" ca="1" si="93"/>
        <v>-</v>
      </c>
      <c r="Q144" s="6" t="str">
        <f t="shared" ca="1" si="93"/>
        <v>-</v>
      </c>
      <c r="R144" s="6" t="str">
        <f t="shared" ca="1" si="93"/>
        <v>-</v>
      </c>
      <c r="S144" s="6" t="str">
        <f t="shared" ca="1" si="93"/>
        <v>-</v>
      </c>
      <c r="T144" s="6" t="str">
        <f t="shared" ca="1" si="93"/>
        <v>-</v>
      </c>
      <c r="U144" s="7" t="str">
        <f t="shared" ca="1" si="93"/>
        <v>-</v>
      </c>
      <c r="V144" s="7" t="str">
        <f t="shared" ca="1" si="93"/>
        <v>-</v>
      </c>
      <c r="W144" s="7" t="str">
        <f t="shared" ca="1" si="93"/>
        <v>-</v>
      </c>
      <c r="X144" s="7">
        <f t="shared" ca="1" si="93"/>
        <v>0.21392270213532599</v>
      </c>
      <c r="Y144" s="7" t="str">
        <f t="shared" ca="1" si="93"/>
        <v>-</v>
      </c>
      <c r="Z144" s="7">
        <f t="shared" ca="1" si="93"/>
        <v>-0.34665041193106955</v>
      </c>
      <c r="AA144" s="28" t="str">
        <f t="shared" si="83"/>
        <v>HJH</v>
      </c>
      <c r="AB144" s="28"/>
      <c r="AC144" s="12"/>
      <c r="AD144" s="12"/>
    </row>
    <row r="145" spans="1:30" x14ac:dyDescent="0.25">
      <c r="A145" s="5" t="s">
        <v>22</v>
      </c>
      <c r="B145" s="5" t="s">
        <v>49</v>
      </c>
      <c r="C145" s="5" t="s">
        <v>103</v>
      </c>
      <c r="D145" s="6">
        <f t="shared" ca="1" si="74"/>
        <v>0</v>
      </c>
      <c r="E145" s="6" t="str">
        <f t="shared" ca="1" si="79"/>
        <v>-</v>
      </c>
      <c r="F145" s="6">
        <f t="shared" ca="1" si="90"/>
        <v>0</v>
      </c>
      <c r="G145" s="6">
        <f t="shared" ca="1" si="90"/>
        <v>51.666666666666671</v>
      </c>
      <c r="H145" s="6">
        <f t="shared" ca="1" si="80"/>
        <v>623.93623655913984</v>
      </c>
      <c r="I145" s="6">
        <f t="shared" ca="1" si="91"/>
        <v>32236.70555555556</v>
      </c>
      <c r="J145" s="6">
        <f t="shared" ca="1" si="91"/>
        <v>12</v>
      </c>
      <c r="K145" s="6">
        <f t="shared" ca="1" si="81"/>
        <v>915.79666666666662</v>
      </c>
      <c r="L145" s="6">
        <f t="shared" ca="1" si="92"/>
        <v>10989.56</v>
      </c>
      <c r="M145" s="6" t="str">
        <f t="shared" ca="1" si="92"/>
        <v>-</v>
      </c>
      <c r="N145" s="6" t="str">
        <f t="shared" ca="1" si="82"/>
        <v>-</v>
      </c>
      <c r="O145" s="6" t="str">
        <f t="shared" ca="1" si="93"/>
        <v>-</v>
      </c>
      <c r="P145" s="6" t="str">
        <f t="shared" ca="1" si="93"/>
        <v>-</v>
      </c>
      <c r="Q145" s="6" t="str">
        <f t="shared" ca="1" si="93"/>
        <v>-</v>
      </c>
      <c r="R145" s="6" t="str">
        <f t="shared" ca="1" si="93"/>
        <v>-</v>
      </c>
      <c r="S145" s="6" t="str">
        <f t="shared" ca="1" si="93"/>
        <v>-</v>
      </c>
      <c r="T145" s="6" t="str">
        <f t="shared" ca="1" si="93"/>
        <v>-</v>
      </c>
      <c r="U145" s="7" t="str">
        <f t="shared" ca="1" si="93"/>
        <v>-</v>
      </c>
      <c r="V145" s="7" t="str">
        <f t="shared" ca="1" si="93"/>
        <v>-</v>
      </c>
      <c r="W145" s="7" t="str">
        <f t="shared" ca="1" si="93"/>
        <v>-</v>
      </c>
      <c r="X145" s="7" t="str">
        <f t="shared" ca="1" si="93"/>
        <v>-</v>
      </c>
      <c r="Y145" s="7">
        <f t="shared" ca="1" si="93"/>
        <v>-0.76774193548387104</v>
      </c>
      <c r="Z145" s="7">
        <f t="shared" ca="1" si="93"/>
        <v>-0.65909791926284167</v>
      </c>
      <c r="AA145" s="28" t="str">
        <f t="shared" si="83"/>
        <v>HJH</v>
      </c>
      <c r="AB145" s="28"/>
      <c r="AC145" s="12"/>
      <c r="AD145" s="12"/>
    </row>
    <row r="146" spans="1:30" x14ac:dyDescent="0.25">
      <c r="A146" s="5" t="s">
        <v>22</v>
      </c>
      <c r="B146" s="5" t="s">
        <v>49</v>
      </c>
      <c r="C146" s="5" t="s">
        <v>104</v>
      </c>
      <c r="D146" s="6">
        <f t="shared" ca="1" si="74"/>
        <v>126</v>
      </c>
      <c r="E146" s="6">
        <f t="shared" ca="1" si="79"/>
        <v>632.8650793650794</v>
      </c>
      <c r="F146" s="6">
        <f t="shared" ca="1" si="90"/>
        <v>79741</v>
      </c>
      <c r="G146" s="6">
        <f t="shared" ca="1" si="90"/>
        <v>128.33333333333334</v>
      </c>
      <c r="H146" s="6">
        <f t="shared" ca="1" si="80"/>
        <v>613.07506493506469</v>
      </c>
      <c r="I146" s="6">
        <f t="shared" ca="1" si="91"/>
        <v>78677.966666666645</v>
      </c>
      <c r="J146" s="6">
        <f t="shared" ca="1" si="91"/>
        <v>71</v>
      </c>
      <c r="K146" s="6">
        <f t="shared" ca="1" si="81"/>
        <v>555.7152112676057</v>
      </c>
      <c r="L146" s="6">
        <f t="shared" ca="1" si="92"/>
        <v>39455.780000000006</v>
      </c>
      <c r="M146" s="6" t="str">
        <f t="shared" ca="1" si="92"/>
        <v>-</v>
      </c>
      <c r="N146" s="6" t="str">
        <f t="shared" ca="1" si="82"/>
        <v>-</v>
      </c>
      <c r="O146" s="6" t="str">
        <f t="shared" ref="O146:Z155" ca="1" si="94">IFERROR(VLOOKUP($C146,INDIRECT("'"&amp;$AA146&amp;"-"&amp;$C$1&amp;"'!$C:$AH"),O$30,0),0)</f>
        <v>-</v>
      </c>
      <c r="P146" s="6" t="str">
        <f t="shared" ca="1" si="94"/>
        <v>-</v>
      </c>
      <c r="Q146" s="6" t="str">
        <f t="shared" ca="1" si="94"/>
        <v>-</v>
      </c>
      <c r="R146" s="6" t="str">
        <f t="shared" ca="1" si="94"/>
        <v>-</v>
      </c>
      <c r="S146" s="6" t="str">
        <f t="shared" ca="1" si="94"/>
        <v>-</v>
      </c>
      <c r="T146" s="6" t="str">
        <f t="shared" ca="1" si="94"/>
        <v>-</v>
      </c>
      <c r="U146" s="7" t="str">
        <f t="shared" ca="1" si="94"/>
        <v>-</v>
      </c>
      <c r="V146" s="7" t="str">
        <f t="shared" ca="1" si="94"/>
        <v>-</v>
      </c>
      <c r="W146" s="7">
        <f t="shared" ca="1" si="94"/>
        <v>-0.43650793650793651</v>
      </c>
      <c r="X146" s="7">
        <f t="shared" ca="1" si="94"/>
        <v>-0.50520083771209279</v>
      </c>
      <c r="Y146" s="7">
        <f t="shared" ca="1" si="94"/>
        <v>-0.44675324675324679</v>
      </c>
      <c r="Z146" s="7">
        <f t="shared" ca="1" si="94"/>
        <v>-0.49851550984837328</v>
      </c>
      <c r="AA146" s="28" t="str">
        <f t="shared" si="83"/>
        <v>HJH</v>
      </c>
      <c r="AB146" s="28"/>
      <c r="AC146" s="12"/>
      <c r="AD146" s="12"/>
    </row>
    <row r="147" spans="1:30" x14ac:dyDescent="0.25">
      <c r="A147" s="5" t="s">
        <v>22</v>
      </c>
      <c r="B147" s="5" t="s">
        <v>49</v>
      </c>
      <c r="C147" s="5" t="s">
        <v>105</v>
      </c>
      <c r="D147" s="6">
        <f t="shared" ca="1" si="74"/>
        <v>0</v>
      </c>
      <c r="E147" s="6" t="str">
        <f t="shared" ca="1" si="79"/>
        <v>-</v>
      </c>
      <c r="F147" s="6">
        <f t="shared" ca="1" si="90"/>
        <v>0</v>
      </c>
      <c r="G147" s="6">
        <f t="shared" ca="1" si="90"/>
        <v>124.44444444444446</v>
      </c>
      <c r="H147" s="6">
        <f t="shared" ca="1" si="80"/>
        <v>258.94642857142821</v>
      </c>
      <c r="I147" s="6">
        <f t="shared" ca="1" si="91"/>
        <v>32224.444444444405</v>
      </c>
      <c r="J147" s="6">
        <f t="shared" ca="1" si="91"/>
        <v>58</v>
      </c>
      <c r="K147" s="6">
        <f t="shared" ca="1" si="81"/>
        <v>262.06224137931031</v>
      </c>
      <c r="L147" s="6">
        <f t="shared" ca="1" si="92"/>
        <v>15199.609999999999</v>
      </c>
      <c r="M147" s="6" t="str">
        <f t="shared" ca="1" si="92"/>
        <v>-</v>
      </c>
      <c r="N147" s="6" t="str">
        <f t="shared" ca="1" si="82"/>
        <v>-</v>
      </c>
      <c r="O147" s="6" t="str">
        <f t="shared" ca="1" si="94"/>
        <v>-</v>
      </c>
      <c r="P147" s="6" t="str">
        <f t="shared" ca="1" si="94"/>
        <v>-</v>
      </c>
      <c r="Q147" s="6" t="str">
        <f t="shared" ca="1" si="94"/>
        <v>-</v>
      </c>
      <c r="R147" s="6" t="str">
        <f t="shared" ca="1" si="94"/>
        <v>-</v>
      </c>
      <c r="S147" s="6" t="str">
        <f t="shared" ca="1" si="94"/>
        <v>-</v>
      </c>
      <c r="T147" s="6" t="str">
        <f t="shared" ca="1" si="94"/>
        <v>-</v>
      </c>
      <c r="U147" s="7" t="str">
        <f t="shared" ca="1" si="94"/>
        <v>-</v>
      </c>
      <c r="V147" s="7" t="str">
        <f t="shared" ca="1" si="94"/>
        <v>-</v>
      </c>
      <c r="W147" s="7" t="str">
        <f t="shared" ca="1" si="94"/>
        <v>-</v>
      </c>
      <c r="X147" s="7" t="str">
        <f t="shared" ca="1" si="94"/>
        <v>-</v>
      </c>
      <c r="Y147" s="7">
        <f t="shared" ca="1" si="94"/>
        <v>-0.53392857142857153</v>
      </c>
      <c r="Z147" s="7">
        <f t="shared" ca="1" si="94"/>
        <v>-0.52832049513826584</v>
      </c>
      <c r="AA147" s="28" t="str">
        <f t="shared" si="83"/>
        <v>HJH</v>
      </c>
      <c r="AB147" s="28"/>
      <c r="AC147" s="12"/>
      <c r="AD147" s="12"/>
    </row>
    <row r="148" spans="1:30" x14ac:dyDescent="0.25">
      <c r="A148" s="5" t="s">
        <v>22</v>
      </c>
      <c r="B148" s="5" t="s">
        <v>49</v>
      </c>
      <c r="C148" s="5" t="s">
        <v>106</v>
      </c>
      <c r="D148" s="6">
        <f t="shared" ca="1" si="74"/>
        <v>69</v>
      </c>
      <c r="E148" s="6">
        <f t="shared" ca="1" si="79"/>
        <v>469.66666666666669</v>
      </c>
      <c r="F148" s="6">
        <f t="shared" ca="1" si="90"/>
        <v>32407</v>
      </c>
      <c r="G148" s="6">
        <f t="shared" ca="1" si="90"/>
        <v>124.44444444444446</v>
      </c>
      <c r="H148" s="6">
        <f t="shared" ca="1" si="80"/>
        <v>512.40504464285721</v>
      </c>
      <c r="I148" s="6">
        <f t="shared" ca="1" si="91"/>
        <v>63765.961111111123</v>
      </c>
      <c r="J148" s="6">
        <f t="shared" ca="1" si="91"/>
        <v>125</v>
      </c>
      <c r="K148" s="6">
        <f t="shared" ca="1" si="81"/>
        <v>470.98079999999993</v>
      </c>
      <c r="L148" s="6">
        <f t="shared" ca="1" si="92"/>
        <v>58872.599999999991</v>
      </c>
      <c r="M148" s="6" t="str">
        <f t="shared" ca="1" si="92"/>
        <v>-</v>
      </c>
      <c r="N148" s="6" t="str">
        <f t="shared" ca="1" si="82"/>
        <v>-</v>
      </c>
      <c r="O148" s="6" t="str">
        <f t="shared" ca="1" si="94"/>
        <v>-</v>
      </c>
      <c r="P148" s="6" t="str">
        <f t="shared" ca="1" si="94"/>
        <v>-</v>
      </c>
      <c r="Q148" s="6" t="str">
        <f t="shared" ca="1" si="94"/>
        <v>-</v>
      </c>
      <c r="R148" s="6" t="str">
        <f t="shared" ca="1" si="94"/>
        <v>-</v>
      </c>
      <c r="S148" s="6" t="str">
        <f t="shared" ca="1" si="94"/>
        <v>-</v>
      </c>
      <c r="T148" s="6" t="str">
        <f t="shared" ca="1" si="94"/>
        <v>-</v>
      </c>
      <c r="U148" s="7" t="str">
        <f t="shared" ca="1" si="94"/>
        <v>-</v>
      </c>
      <c r="V148" s="7" t="str">
        <f t="shared" ca="1" si="94"/>
        <v>-</v>
      </c>
      <c r="W148" s="7">
        <f t="shared" ca="1" si="94"/>
        <v>0.81159420289855078</v>
      </c>
      <c r="X148" s="7">
        <f t="shared" ca="1" si="94"/>
        <v>0.81666306662140864</v>
      </c>
      <c r="Y148" s="7">
        <f t="shared" ca="1" si="94"/>
        <v>4.4642857142856126E-3</v>
      </c>
      <c r="Z148" s="7">
        <f t="shared" ca="1" si="94"/>
        <v>-7.6739392394392536E-2</v>
      </c>
      <c r="AA148" s="28" t="str">
        <f t="shared" si="83"/>
        <v>HJH</v>
      </c>
      <c r="AB148" s="28"/>
      <c r="AC148" s="12"/>
      <c r="AD148" s="12"/>
    </row>
    <row r="149" spans="1:30" x14ac:dyDescent="0.25">
      <c r="A149" s="5" t="s">
        <v>22</v>
      </c>
      <c r="B149" s="5" t="s">
        <v>49</v>
      </c>
      <c r="C149" s="5" t="s">
        <v>107</v>
      </c>
      <c r="D149" s="6">
        <f t="shared" ca="1" si="74"/>
        <v>0</v>
      </c>
      <c r="E149" s="6" t="str">
        <f t="shared" ca="1" si="79"/>
        <v>-</v>
      </c>
      <c r="F149" s="6">
        <f t="shared" ca="1" si="90"/>
        <v>0</v>
      </c>
      <c r="G149" s="6">
        <f t="shared" ca="1" si="90"/>
        <v>0</v>
      </c>
      <c r="H149" s="6" t="str">
        <f t="shared" ca="1" si="80"/>
        <v>-</v>
      </c>
      <c r="I149" s="6">
        <f t="shared" ca="1" si="91"/>
        <v>0</v>
      </c>
      <c r="J149" s="6">
        <f t="shared" ca="1" si="91"/>
        <v>11</v>
      </c>
      <c r="K149" s="6">
        <f t="shared" ca="1" si="81"/>
        <v>1473.3318181818183</v>
      </c>
      <c r="L149" s="6">
        <f t="shared" ca="1" si="92"/>
        <v>16206.650000000001</v>
      </c>
      <c r="M149" s="6" t="str">
        <f t="shared" ca="1" si="92"/>
        <v>-</v>
      </c>
      <c r="N149" s="6" t="str">
        <f t="shared" ca="1" si="82"/>
        <v>-</v>
      </c>
      <c r="O149" s="6" t="str">
        <f t="shared" ca="1" si="94"/>
        <v>-</v>
      </c>
      <c r="P149" s="6" t="str">
        <f t="shared" ca="1" si="94"/>
        <v>-</v>
      </c>
      <c r="Q149" s="6" t="str">
        <f t="shared" ca="1" si="94"/>
        <v>-</v>
      </c>
      <c r="R149" s="6" t="str">
        <f t="shared" ca="1" si="94"/>
        <v>-</v>
      </c>
      <c r="S149" s="6" t="str">
        <f t="shared" ca="1" si="94"/>
        <v>-</v>
      </c>
      <c r="T149" s="6" t="str">
        <f t="shared" ca="1" si="94"/>
        <v>-</v>
      </c>
      <c r="U149" s="7" t="str">
        <f t="shared" ca="1" si="94"/>
        <v>-</v>
      </c>
      <c r="V149" s="7" t="str">
        <f t="shared" ca="1" si="94"/>
        <v>-</v>
      </c>
      <c r="W149" s="7" t="str">
        <f t="shared" ca="1" si="94"/>
        <v>-</v>
      </c>
      <c r="X149" s="7" t="str">
        <f t="shared" ca="1" si="94"/>
        <v>-</v>
      </c>
      <c r="Y149" s="7" t="str">
        <f t="shared" ca="1" si="94"/>
        <v>-</v>
      </c>
      <c r="Z149" s="7" t="str">
        <f t="shared" ca="1" si="94"/>
        <v>-</v>
      </c>
      <c r="AA149" s="28" t="str">
        <f t="shared" si="83"/>
        <v>HJH</v>
      </c>
      <c r="AB149" s="28"/>
      <c r="AC149" s="12"/>
      <c r="AD149" s="12"/>
    </row>
    <row r="150" spans="1:30" x14ac:dyDescent="0.25">
      <c r="A150" s="5" t="s">
        <v>22</v>
      </c>
      <c r="B150" s="5" t="s">
        <v>49</v>
      </c>
      <c r="C150" s="5" t="s">
        <v>108</v>
      </c>
      <c r="D150" s="6">
        <f t="shared" ca="1" si="74"/>
        <v>0</v>
      </c>
      <c r="E150" s="6" t="str">
        <f t="shared" ca="1" si="79"/>
        <v>-</v>
      </c>
      <c r="F150" s="6">
        <f t="shared" ca="1" si="90"/>
        <v>32065</v>
      </c>
      <c r="G150" s="6">
        <f t="shared" ca="1" si="90"/>
        <v>0</v>
      </c>
      <c r="H150" s="6" t="str">
        <f t="shared" ca="1" si="80"/>
        <v>-</v>
      </c>
      <c r="I150" s="6">
        <f t="shared" ca="1" si="91"/>
        <v>55340.716666666667</v>
      </c>
      <c r="J150" s="6">
        <f t="shared" ca="1" si="91"/>
        <v>0</v>
      </c>
      <c r="K150" s="6" t="str">
        <f t="shared" ca="1" si="81"/>
        <v>-</v>
      </c>
      <c r="L150" s="6">
        <f t="shared" ca="1" si="92"/>
        <v>49728.500000000015</v>
      </c>
      <c r="M150" s="6" t="str">
        <f t="shared" ca="1" si="92"/>
        <v>-</v>
      </c>
      <c r="N150" s="6" t="str">
        <f t="shared" ca="1" si="82"/>
        <v>-</v>
      </c>
      <c r="O150" s="6" t="str">
        <f t="shared" ca="1" si="94"/>
        <v>-</v>
      </c>
      <c r="P150" s="6" t="str">
        <f t="shared" ca="1" si="94"/>
        <v>-</v>
      </c>
      <c r="Q150" s="6" t="str">
        <f t="shared" ca="1" si="94"/>
        <v>-</v>
      </c>
      <c r="R150" s="6" t="str">
        <f t="shared" ca="1" si="94"/>
        <v>-</v>
      </c>
      <c r="S150" s="6" t="str">
        <f t="shared" ca="1" si="94"/>
        <v>-</v>
      </c>
      <c r="T150" s="6" t="str">
        <f t="shared" ca="1" si="94"/>
        <v>-</v>
      </c>
      <c r="U150" s="7" t="str">
        <f t="shared" ca="1" si="94"/>
        <v>-</v>
      </c>
      <c r="V150" s="7" t="str">
        <f t="shared" ca="1" si="94"/>
        <v>-</v>
      </c>
      <c r="W150" s="7" t="str">
        <f t="shared" ca="1" si="94"/>
        <v>-</v>
      </c>
      <c r="X150" s="7">
        <f t="shared" ca="1" si="94"/>
        <v>0.55086542959613327</v>
      </c>
      <c r="Y150" s="7" t="str">
        <f t="shared" ca="1" si="94"/>
        <v>-</v>
      </c>
      <c r="Z150" s="7">
        <f t="shared" ca="1" si="94"/>
        <v>-0.10141207061828772</v>
      </c>
      <c r="AA150" s="28" t="str">
        <f t="shared" si="83"/>
        <v>HJH</v>
      </c>
      <c r="AB150" s="28"/>
      <c r="AC150" s="12"/>
      <c r="AD150" s="12"/>
    </row>
    <row r="151" spans="1:30" x14ac:dyDescent="0.25">
      <c r="A151" s="5" t="s">
        <v>22</v>
      </c>
      <c r="B151" s="5" t="s">
        <v>49</v>
      </c>
      <c r="C151" s="5" t="s">
        <v>109</v>
      </c>
      <c r="D151" s="6">
        <f t="shared" ca="1" si="74"/>
        <v>0</v>
      </c>
      <c r="E151" s="6" t="str">
        <f t="shared" ca="1" si="79"/>
        <v>-</v>
      </c>
      <c r="F151" s="6">
        <f t="shared" ca="1" si="90"/>
        <v>0</v>
      </c>
      <c r="G151" s="6">
        <f t="shared" ca="1" si="90"/>
        <v>66.666666666666671</v>
      </c>
      <c r="H151" s="6">
        <f t="shared" ca="1" si="80"/>
        <v>618.04750000000024</v>
      </c>
      <c r="I151" s="6">
        <f t="shared" ca="1" si="91"/>
        <v>41203.166666666686</v>
      </c>
      <c r="J151" s="6">
        <f t="shared" ca="1" si="91"/>
        <v>71</v>
      </c>
      <c r="K151" s="6">
        <f t="shared" ca="1" si="81"/>
        <v>576.86661971830995</v>
      </c>
      <c r="L151" s="6">
        <f t="shared" ca="1" si="92"/>
        <v>40957.530000000006</v>
      </c>
      <c r="M151" s="6" t="str">
        <f t="shared" ca="1" si="92"/>
        <v>-</v>
      </c>
      <c r="N151" s="6" t="str">
        <f t="shared" ca="1" si="82"/>
        <v>-</v>
      </c>
      <c r="O151" s="6" t="str">
        <f t="shared" ca="1" si="94"/>
        <v>-</v>
      </c>
      <c r="P151" s="6" t="str">
        <f t="shared" ca="1" si="94"/>
        <v>-</v>
      </c>
      <c r="Q151" s="6" t="str">
        <f t="shared" ca="1" si="94"/>
        <v>-</v>
      </c>
      <c r="R151" s="6" t="str">
        <f t="shared" ca="1" si="94"/>
        <v>-</v>
      </c>
      <c r="S151" s="6" t="str">
        <f t="shared" ca="1" si="94"/>
        <v>-</v>
      </c>
      <c r="T151" s="6" t="str">
        <f t="shared" ca="1" si="94"/>
        <v>-</v>
      </c>
      <c r="U151" s="7" t="str">
        <f t="shared" ca="1" si="94"/>
        <v>-</v>
      </c>
      <c r="V151" s="7" t="str">
        <f t="shared" ca="1" si="94"/>
        <v>-</v>
      </c>
      <c r="W151" s="7" t="str">
        <f t="shared" ca="1" si="94"/>
        <v>-</v>
      </c>
      <c r="X151" s="7" t="str">
        <f t="shared" ca="1" si="94"/>
        <v>-</v>
      </c>
      <c r="Y151" s="7">
        <f t="shared" ca="1" si="94"/>
        <v>6.4999999999999919E-2</v>
      </c>
      <c r="Z151" s="7">
        <f t="shared" ca="1" si="94"/>
        <v>-5.9615968028350532E-3</v>
      </c>
      <c r="AA151" s="28" t="str">
        <f t="shared" si="83"/>
        <v>HJH</v>
      </c>
      <c r="AB151" s="28"/>
      <c r="AC151" s="12"/>
      <c r="AD151" s="12"/>
    </row>
    <row r="152" spans="1:30" x14ac:dyDescent="0.25">
      <c r="A152" s="5" t="s">
        <v>22</v>
      </c>
      <c r="B152" s="5" t="s">
        <v>49</v>
      </c>
      <c r="C152" s="5" t="s">
        <v>110</v>
      </c>
      <c r="D152" s="6">
        <f t="shared" ca="1" si="74"/>
        <v>0</v>
      </c>
      <c r="E152" s="6" t="str">
        <f t="shared" ca="1" si="79"/>
        <v>-</v>
      </c>
      <c r="F152" s="6">
        <f t="shared" ca="1" si="90"/>
        <v>3901</v>
      </c>
      <c r="G152" s="6">
        <f t="shared" ca="1" si="90"/>
        <v>0</v>
      </c>
      <c r="H152" s="6" t="str">
        <f t="shared" ca="1" si="80"/>
        <v>-</v>
      </c>
      <c r="I152" s="6">
        <f t="shared" ca="1" si="91"/>
        <v>1576.4666666666667</v>
      </c>
      <c r="J152" s="6">
        <f t="shared" ca="1" si="91"/>
        <v>0</v>
      </c>
      <c r="K152" s="6" t="str">
        <f t="shared" ca="1" si="81"/>
        <v>-</v>
      </c>
      <c r="L152" s="6">
        <f t="shared" ca="1" si="92"/>
        <v>798.63</v>
      </c>
      <c r="M152" s="6" t="str">
        <f t="shared" ca="1" si="92"/>
        <v>-</v>
      </c>
      <c r="N152" s="6" t="str">
        <f t="shared" ca="1" si="82"/>
        <v>-</v>
      </c>
      <c r="O152" s="6" t="str">
        <f t="shared" ca="1" si="94"/>
        <v>-</v>
      </c>
      <c r="P152" s="6" t="str">
        <f t="shared" ca="1" si="94"/>
        <v>-</v>
      </c>
      <c r="Q152" s="6" t="str">
        <f t="shared" ca="1" si="94"/>
        <v>-</v>
      </c>
      <c r="R152" s="6" t="str">
        <f t="shared" ca="1" si="94"/>
        <v>-</v>
      </c>
      <c r="S152" s="6" t="str">
        <f t="shared" ca="1" si="94"/>
        <v>-</v>
      </c>
      <c r="T152" s="6" t="str">
        <f t="shared" ca="1" si="94"/>
        <v>-</v>
      </c>
      <c r="U152" s="7" t="str">
        <f t="shared" ca="1" si="94"/>
        <v>-</v>
      </c>
      <c r="V152" s="7" t="str">
        <f t="shared" ca="1" si="94"/>
        <v>-</v>
      </c>
      <c r="W152" s="7" t="str">
        <f t="shared" ca="1" si="94"/>
        <v>-</v>
      </c>
      <c r="X152" s="7">
        <f t="shared" ca="1" si="94"/>
        <v>-0.79527557036657259</v>
      </c>
      <c r="Y152" s="7" t="str">
        <f t="shared" ca="1" si="94"/>
        <v>-</v>
      </c>
      <c r="Z152" s="7">
        <f t="shared" ca="1" si="94"/>
        <v>-0.49340508309722164</v>
      </c>
      <c r="AA152" s="28" t="str">
        <f t="shared" si="83"/>
        <v>HJH</v>
      </c>
      <c r="AB152" s="28"/>
      <c r="AC152" s="12"/>
      <c r="AD152" s="12"/>
    </row>
    <row r="153" spans="1:30" x14ac:dyDescent="0.25">
      <c r="A153" s="5" t="s">
        <v>22</v>
      </c>
      <c r="B153" s="5" t="s">
        <v>49</v>
      </c>
      <c r="C153" s="5" t="s">
        <v>111</v>
      </c>
      <c r="D153" s="6">
        <f t="shared" ca="1" si="74"/>
        <v>0</v>
      </c>
      <c r="E153" s="6" t="str">
        <f t="shared" ca="1" si="79"/>
        <v>-</v>
      </c>
      <c r="F153" s="6">
        <f t="shared" ca="1" si="90"/>
        <v>0</v>
      </c>
      <c r="G153" s="6">
        <f t="shared" ca="1" si="90"/>
        <v>39.444444444444443</v>
      </c>
      <c r="H153" s="6">
        <f t="shared" ca="1" si="80"/>
        <v>393.85732394366204</v>
      </c>
      <c r="I153" s="6">
        <f t="shared" ca="1" si="91"/>
        <v>15535.483333333335</v>
      </c>
      <c r="J153" s="6">
        <f t="shared" ca="1" si="91"/>
        <v>41</v>
      </c>
      <c r="K153" s="6">
        <f t="shared" ca="1" si="81"/>
        <v>308.30268292682928</v>
      </c>
      <c r="L153" s="6">
        <f t="shared" ca="1" si="92"/>
        <v>12640.41</v>
      </c>
      <c r="M153" s="6" t="str">
        <f t="shared" ca="1" si="92"/>
        <v>-</v>
      </c>
      <c r="N153" s="6" t="str">
        <f t="shared" ca="1" si="82"/>
        <v>-</v>
      </c>
      <c r="O153" s="6" t="str">
        <f t="shared" ca="1" si="94"/>
        <v>-</v>
      </c>
      <c r="P153" s="6" t="str">
        <f t="shared" ca="1" si="94"/>
        <v>-</v>
      </c>
      <c r="Q153" s="6" t="str">
        <f t="shared" ca="1" si="94"/>
        <v>-</v>
      </c>
      <c r="R153" s="6" t="str">
        <f t="shared" ca="1" si="94"/>
        <v>-</v>
      </c>
      <c r="S153" s="6" t="str">
        <f t="shared" ca="1" si="94"/>
        <v>-</v>
      </c>
      <c r="T153" s="6" t="str">
        <f t="shared" ca="1" si="94"/>
        <v>-</v>
      </c>
      <c r="U153" s="7" t="str">
        <f t="shared" ca="1" si="94"/>
        <v>-</v>
      </c>
      <c r="V153" s="7" t="str">
        <f t="shared" ca="1" si="94"/>
        <v>-</v>
      </c>
      <c r="W153" s="7" t="str">
        <f t="shared" ca="1" si="94"/>
        <v>-</v>
      </c>
      <c r="X153" s="7" t="str">
        <f t="shared" ca="1" si="94"/>
        <v>-</v>
      </c>
      <c r="Y153" s="7">
        <f t="shared" ca="1" si="94"/>
        <v>3.9436619718309904E-2</v>
      </c>
      <c r="Z153" s="7">
        <f t="shared" ca="1" si="94"/>
        <v>-0.18635231818771877</v>
      </c>
      <c r="AA153" s="28" t="str">
        <f t="shared" si="83"/>
        <v>HJH</v>
      </c>
      <c r="AB153" s="28"/>
      <c r="AC153" s="12"/>
      <c r="AD153" s="12"/>
    </row>
    <row r="154" spans="1:30" x14ac:dyDescent="0.25">
      <c r="A154" s="5" t="s">
        <v>22</v>
      </c>
      <c r="B154" s="5" t="s">
        <v>49</v>
      </c>
      <c r="C154" s="5" t="s">
        <v>112</v>
      </c>
      <c r="D154" s="6">
        <f t="shared" ca="1" si="74"/>
        <v>0</v>
      </c>
      <c r="E154" s="6" t="str">
        <f t="shared" ca="1" si="79"/>
        <v>-</v>
      </c>
      <c r="F154" s="6">
        <f t="shared" ca="1" si="90"/>
        <v>0</v>
      </c>
      <c r="G154" s="6">
        <f t="shared" ca="1" si="90"/>
        <v>3.8888888888888893</v>
      </c>
      <c r="H154" s="6">
        <f t="shared" ca="1" si="80"/>
        <v>385.59000000000003</v>
      </c>
      <c r="I154" s="6">
        <f t="shared" ca="1" si="91"/>
        <v>1499.5166666666669</v>
      </c>
      <c r="J154" s="6">
        <f t="shared" ca="1" si="91"/>
        <v>5</v>
      </c>
      <c r="K154" s="6">
        <f t="shared" ca="1" si="81"/>
        <v>96.783999999999992</v>
      </c>
      <c r="L154" s="6">
        <f t="shared" ca="1" si="92"/>
        <v>483.91999999999996</v>
      </c>
      <c r="M154" s="6" t="str">
        <f t="shared" ca="1" si="92"/>
        <v>-</v>
      </c>
      <c r="N154" s="6" t="str">
        <f t="shared" ca="1" si="82"/>
        <v>-</v>
      </c>
      <c r="O154" s="6" t="str">
        <f t="shared" ca="1" si="94"/>
        <v>-</v>
      </c>
      <c r="P154" s="6" t="str">
        <f t="shared" ca="1" si="94"/>
        <v>-</v>
      </c>
      <c r="Q154" s="6" t="str">
        <f t="shared" ca="1" si="94"/>
        <v>-</v>
      </c>
      <c r="R154" s="6" t="str">
        <f t="shared" ca="1" si="94"/>
        <v>-</v>
      </c>
      <c r="S154" s="6" t="str">
        <f t="shared" ca="1" si="94"/>
        <v>-</v>
      </c>
      <c r="T154" s="6" t="str">
        <f t="shared" ca="1" si="94"/>
        <v>-</v>
      </c>
      <c r="U154" s="7" t="str">
        <f t="shared" ca="1" si="94"/>
        <v>-</v>
      </c>
      <c r="V154" s="7" t="str">
        <f t="shared" ca="1" si="94"/>
        <v>-</v>
      </c>
      <c r="W154" s="7" t="str">
        <f t="shared" ca="1" si="94"/>
        <v>-</v>
      </c>
      <c r="X154" s="7" t="str">
        <f t="shared" ca="1" si="94"/>
        <v>-</v>
      </c>
      <c r="Y154" s="7">
        <f t="shared" ca="1" si="94"/>
        <v>0.28571428571428559</v>
      </c>
      <c r="Z154" s="7">
        <f t="shared" ca="1" si="94"/>
        <v>-0.67728267997465852</v>
      </c>
      <c r="AA154" s="28" t="str">
        <f t="shared" si="83"/>
        <v>HJH</v>
      </c>
      <c r="AB154" s="28"/>
      <c r="AC154" s="12"/>
      <c r="AD154" s="12"/>
    </row>
    <row r="155" spans="1:30" x14ac:dyDescent="0.25">
      <c r="A155" s="5" t="s">
        <v>22</v>
      </c>
      <c r="B155" s="5" t="s">
        <v>49</v>
      </c>
      <c r="C155" s="5" t="s">
        <v>113</v>
      </c>
      <c r="D155" s="6">
        <f t="shared" ca="1" si="74"/>
        <v>39</v>
      </c>
      <c r="E155" s="6">
        <f t="shared" ca="1" si="79"/>
        <v>1164.7948717948718</v>
      </c>
      <c r="F155" s="6">
        <f t="shared" ca="1" si="90"/>
        <v>45427</v>
      </c>
      <c r="G155" s="6">
        <f t="shared" ca="1" si="90"/>
        <v>34.444444444444443</v>
      </c>
      <c r="H155" s="6">
        <f t="shared" ca="1" si="80"/>
        <v>796.28596774193534</v>
      </c>
      <c r="I155" s="6">
        <f t="shared" ca="1" si="91"/>
        <v>27427.627777777772</v>
      </c>
      <c r="J155" s="6">
        <f t="shared" ca="1" si="91"/>
        <v>16</v>
      </c>
      <c r="K155" s="6">
        <f t="shared" ca="1" si="81"/>
        <v>586.03437500000018</v>
      </c>
      <c r="L155" s="6">
        <f t="shared" ca="1" si="92"/>
        <v>9376.5500000000029</v>
      </c>
      <c r="M155" s="6" t="str">
        <f t="shared" ca="1" si="92"/>
        <v>-</v>
      </c>
      <c r="N155" s="6" t="str">
        <f t="shared" ca="1" si="82"/>
        <v>-</v>
      </c>
      <c r="O155" s="6" t="str">
        <f t="shared" ca="1" si="94"/>
        <v>-</v>
      </c>
      <c r="P155" s="6" t="str">
        <f t="shared" ca="1" si="94"/>
        <v>-</v>
      </c>
      <c r="Q155" s="6" t="str">
        <f t="shared" ca="1" si="94"/>
        <v>-</v>
      </c>
      <c r="R155" s="6" t="str">
        <f t="shared" ca="1" si="94"/>
        <v>-</v>
      </c>
      <c r="S155" s="6" t="str">
        <f t="shared" ca="1" si="94"/>
        <v>-</v>
      </c>
      <c r="T155" s="6" t="str">
        <f t="shared" ca="1" si="94"/>
        <v>-</v>
      </c>
      <c r="U155" s="7" t="str">
        <f t="shared" ca="1" si="94"/>
        <v>-</v>
      </c>
      <c r="V155" s="7" t="str">
        <f t="shared" ca="1" si="94"/>
        <v>-</v>
      </c>
      <c r="W155" s="7">
        <f t="shared" ca="1" si="94"/>
        <v>-0.58974358974358976</v>
      </c>
      <c r="X155" s="7">
        <f t="shared" ca="1" si="94"/>
        <v>-0.79359081603451687</v>
      </c>
      <c r="Y155" s="7">
        <f t="shared" ca="1" si="94"/>
        <v>-0.53548387096774186</v>
      </c>
      <c r="Z155" s="7">
        <f t="shared" ca="1" si="94"/>
        <v>-0.65813485307697639</v>
      </c>
      <c r="AA155" s="28" t="str">
        <f t="shared" si="83"/>
        <v>HJH</v>
      </c>
      <c r="AB155" s="28"/>
      <c r="AC155" s="12"/>
      <c r="AD155" s="12"/>
    </row>
    <row r="156" spans="1:30" x14ac:dyDescent="0.25">
      <c r="A156" s="5" t="s">
        <v>22</v>
      </c>
      <c r="B156" s="5" t="s">
        <v>49</v>
      </c>
      <c r="C156" s="5" t="s">
        <v>114</v>
      </c>
      <c r="D156" s="6">
        <f t="shared" ca="1" si="74"/>
        <v>129</v>
      </c>
      <c r="E156" s="6">
        <f t="shared" ca="1" si="79"/>
        <v>239.59689922480621</v>
      </c>
      <c r="F156" s="6">
        <f t="shared" ref="F156:G175" ca="1" si="95">IFERROR(VLOOKUP($C156,INDIRECT("'"&amp;$AA156&amp;"-"&amp;$C$1&amp;"'!$C:$AH"),F$30,0),0)</f>
        <v>30908</v>
      </c>
      <c r="G156" s="6">
        <f t="shared" ca="1" si="95"/>
        <v>131.11111111111111</v>
      </c>
      <c r="H156" s="6">
        <f t="shared" ca="1" si="80"/>
        <v>229.48165254237279</v>
      </c>
      <c r="I156" s="6">
        <f t="shared" ref="I156:J175" ca="1" si="96">IFERROR(VLOOKUP($C156,INDIRECT("'"&amp;$AA156&amp;"-"&amp;$C$1&amp;"'!$C:$AH"),I$30,0),0)</f>
        <v>30087.594444444432</v>
      </c>
      <c r="J156" s="6">
        <f t="shared" ca="1" si="96"/>
        <v>119</v>
      </c>
      <c r="K156" s="6">
        <f t="shared" ca="1" si="81"/>
        <v>249.34134453781508</v>
      </c>
      <c r="L156" s="6">
        <f t="shared" ref="L156:M175" ca="1" si="97">IFERROR(VLOOKUP($C156,INDIRECT("'"&amp;$AA156&amp;"-"&amp;$C$1&amp;"'!$C:$AH"),L$30,0),0)</f>
        <v>29671.619999999995</v>
      </c>
      <c r="M156" s="6" t="str">
        <f t="shared" ca="1" si="97"/>
        <v>-</v>
      </c>
      <c r="N156" s="6" t="str">
        <f t="shared" ca="1" si="82"/>
        <v>-</v>
      </c>
      <c r="O156" s="6" t="str">
        <f t="shared" ref="O156:Z165" ca="1" si="98">IFERROR(VLOOKUP($C156,INDIRECT("'"&amp;$AA156&amp;"-"&amp;$C$1&amp;"'!$C:$AH"),O$30,0),0)</f>
        <v>-</v>
      </c>
      <c r="P156" s="6" t="str">
        <f t="shared" ca="1" si="98"/>
        <v>-</v>
      </c>
      <c r="Q156" s="6" t="str">
        <f t="shared" ca="1" si="98"/>
        <v>-</v>
      </c>
      <c r="R156" s="6" t="str">
        <f t="shared" ca="1" si="98"/>
        <v>-</v>
      </c>
      <c r="S156" s="6" t="str">
        <f t="shared" ca="1" si="98"/>
        <v>-</v>
      </c>
      <c r="T156" s="6" t="str">
        <f t="shared" ca="1" si="98"/>
        <v>-</v>
      </c>
      <c r="U156" s="7" t="str">
        <f t="shared" ca="1" si="98"/>
        <v>-</v>
      </c>
      <c r="V156" s="7" t="str">
        <f t="shared" ca="1" si="98"/>
        <v>-</v>
      </c>
      <c r="W156" s="7">
        <f t="shared" ca="1" si="98"/>
        <v>-7.7519379844961239E-2</v>
      </c>
      <c r="X156" s="7">
        <f t="shared" ca="1" si="98"/>
        <v>-4.0001941244985267E-2</v>
      </c>
      <c r="Y156" s="7">
        <f t="shared" ca="1" si="98"/>
        <v>-9.2372881355932232E-2</v>
      </c>
      <c r="Z156" s="7">
        <f t="shared" ca="1" si="98"/>
        <v>-1.3825447069639195E-2</v>
      </c>
      <c r="AA156" s="28" t="str">
        <f t="shared" si="83"/>
        <v>HJH</v>
      </c>
      <c r="AB156" s="28"/>
      <c r="AC156" s="12"/>
      <c r="AD156" s="12"/>
    </row>
    <row r="157" spans="1:30" x14ac:dyDescent="0.25">
      <c r="A157" s="5" t="s">
        <v>22</v>
      </c>
      <c r="B157" s="5" t="s">
        <v>49</v>
      </c>
      <c r="C157" s="5" t="s">
        <v>115</v>
      </c>
      <c r="D157" s="6">
        <f t="shared" ca="1" si="74"/>
        <v>77</v>
      </c>
      <c r="E157" s="6">
        <f t="shared" ca="1" si="79"/>
        <v>665.92207792207796</v>
      </c>
      <c r="F157" s="6">
        <f t="shared" ca="1" si="95"/>
        <v>51276</v>
      </c>
      <c r="G157" s="6">
        <f t="shared" ca="1" si="95"/>
        <v>108.8888888888889</v>
      </c>
      <c r="H157" s="6">
        <f t="shared" ca="1" si="80"/>
        <v>660.86836734693895</v>
      </c>
      <c r="I157" s="6">
        <f t="shared" ca="1" si="96"/>
        <v>71961.222222222248</v>
      </c>
      <c r="J157" s="6">
        <f t="shared" ca="1" si="96"/>
        <v>66</v>
      </c>
      <c r="K157" s="6">
        <f t="shared" ca="1" si="81"/>
        <v>775.95378787878781</v>
      </c>
      <c r="L157" s="6">
        <f t="shared" ca="1" si="97"/>
        <v>51212.95</v>
      </c>
      <c r="M157" s="6" t="str">
        <f t="shared" ca="1" si="97"/>
        <v>-</v>
      </c>
      <c r="N157" s="6" t="str">
        <f t="shared" ca="1" si="82"/>
        <v>-</v>
      </c>
      <c r="O157" s="6" t="str">
        <f t="shared" ca="1" si="98"/>
        <v>-</v>
      </c>
      <c r="P157" s="6" t="str">
        <f t="shared" ca="1" si="98"/>
        <v>-</v>
      </c>
      <c r="Q157" s="6" t="str">
        <f t="shared" ca="1" si="98"/>
        <v>-</v>
      </c>
      <c r="R157" s="6" t="str">
        <f t="shared" ca="1" si="98"/>
        <v>-</v>
      </c>
      <c r="S157" s="6" t="str">
        <f t="shared" ca="1" si="98"/>
        <v>-</v>
      </c>
      <c r="T157" s="6" t="str">
        <f t="shared" ca="1" si="98"/>
        <v>-</v>
      </c>
      <c r="U157" s="7" t="str">
        <f t="shared" ca="1" si="98"/>
        <v>-</v>
      </c>
      <c r="V157" s="7" t="str">
        <f t="shared" ca="1" si="98"/>
        <v>-</v>
      </c>
      <c r="W157" s="7">
        <f t="shared" ca="1" si="98"/>
        <v>-0.14285714285714285</v>
      </c>
      <c r="X157" s="7">
        <f t="shared" ca="1" si="98"/>
        <v>-1.2296200951712869E-3</v>
      </c>
      <c r="Y157" s="7">
        <f t="shared" ca="1" si="98"/>
        <v>-0.39387755102040822</v>
      </c>
      <c r="Z157" s="7">
        <f t="shared" ca="1" si="98"/>
        <v>-0.28832573407591466</v>
      </c>
      <c r="AA157" s="28" t="str">
        <f t="shared" si="83"/>
        <v>HJH</v>
      </c>
      <c r="AB157" s="28"/>
      <c r="AC157" s="12"/>
      <c r="AD157" s="12"/>
    </row>
    <row r="158" spans="1:30" x14ac:dyDescent="0.25">
      <c r="A158" s="5" t="s">
        <v>22</v>
      </c>
      <c r="B158" s="5" t="s">
        <v>49</v>
      </c>
      <c r="C158" s="5" t="s">
        <v>116</v>
      </c>
      <c r="D158" s="6">
        <f t="shared" ca="1" si="74"/>
        <v>79</v>
      </c>
      <c r="E158" s="6">
        <f t="shared" ca="1" si="79"/>
        <v>395.1012658227848</v>
      </c>
      <c r="F158" s="6">
        <f t="shared" ca="1" si="95"/>
        <v>31213</v>
      </c>
      <c r="G158" s="6">
        <f t="shared" ca="1" si="95"/>
        <v>110</v>
      </c>
      <c r="H158" s="6">
        <f t="shared" ca="1" si="80"/>
        <v>455.8660606060605</v>
      </c>
      <c r="I158" s="6">
        <f t="shared" ca="1" si="96"/>
        <v>50145.266666666656</v>
      </c>
      <c r="J158" s="6">
        <f t="shared" ca="1" si="96"/>
        <v>62</v>
      </c>
      <c r="K158" s="6">
        <f t="shared" ca="1" si="81"/>
        <v>286.78225806451616</v>
      </c>
      <c r="L158" s="6">
        <f t="shared" ca="1" si="97"/>
        <v>17780.5</v>
      </c>
      <c r="M158" s="6" t="str">
        <f t="shared" ca="1" si="97"/>
        <v>-</v>
      </c>
      <c r="N158" s="6" t="str">
        <f t="shared" ca="1" si="82"/>
        <v>-</v>
      </c>
      <c r="O158" s="6" t="str">
        <f t="shared" ca="1" si="98"/>
        <v>-</v>
      </c>
      <c r="P158" s="6" t="str">
        <f t="shared" ca="1" si="98"/>
        <v>-</v>
      </c>
      <c r="Q158" s="6" t="str">
        <f t="shared" ca="1" si="98"/>
        <v>-</v>
      </c>
      <c r="R158" s="6" t="str">
        <f t="shared" ca="1" si="98"/>
        <v>-</v>
      </c>
      <c r="S158" s="6" t="str">
        <f t="shared" ca="1" si="98"/>
        <v>-</v>
      </c>
      <c r="T158" s="6" t="str">
        <f t="shared" ca="1" si="98"/>
        <v>-</v>
      </c>
      <c r="U158" s="7" t="str">
        <f t="shared" ca="1" si="98"/>
        <v>-</v>
      </c>
      <c r="V158" s="7" t="str">
        <f t="shared" ca="1" si="98"/>
        <v>-</v>
      </c>
      <c r="W158" s="7">
        <f t="shared" ca="1" si="98"/>
        <v>-0.21518987341772153</v>
      </c>
      <c r="X158" s="7">
        <f t="shared" ca="1" si="98"/>
        <v>-0.43034953384807612</v>
      </c>
      <c r="Y158" s="7">
        <f t="shared" ca="1" si="98"/>
        <v>-0.43636363636363634</v>
      </c>
      <c r="Z158" s="7">
        <f t="shared" ca="1" si="98"/>
        <v>-0.64542017259189621</v>
      </c>
      <c r="AA158" s="28" t="str">
        <f t="shared" si="83"/>
        <v>HJH</v>
      </c>
      <c r="AB158" s="28"/>
      <c r="AC158" s="12"/>
      <c r="AD158" s="12"/>
    </row>
    <row r="159" spans="1:30" x14ac:dyDescent="0.25">
      <c r="A159" s="5" t="s">
        <v>22</v>
      </c>
      <c r="B159" s="5" t="s">
        <v>49</v>
      </c>
      <c r="C159" s="5" t="s">
        <v>117</v>
      </c>
      <c r="D159" s="6">
        <f t="shared" ca="1" si="74"/>
        <v>241</v>
      </c>
      <c r="E159" s="6">
        <f t="shared" ca="1" si="79"/>
        <v>430.90871369294604</v>
      </c>
      <c r="F159" s="6">
        <f t="shared" ca="1" si="95"/>
        <v>103849</v>
      </c>
      <c r="G159" s="6">
        <f t="shared" ca="1" si="95"/>
        <v>198.33333333333334</v>
      </c>
      <c r="H159" s="6">
        <f t="shared" ca="1" si="80"/>
        <v>336.38215686274515</v>
      </c>
      <c r="I159" s="6">
        <f t="shared" ca="1" si="96"/>
        <v>66715.794444444458</v>
      </c>
      <c r="J159" s="6">
        <f t="shared" ca="1" si="96"/>
        <v>195</v>
      </c>
      <c r="K159" s="6">
        <f t="shared" ca="1" si="81"/>
        <v>343.26789743589751</v>
      </c>
      <c r="L159" s="6">
        <f t="shared" ca="1" si="97"/>
        <v>66937.24000000002</v>
      </c>
      <c r="M159" s="6" t="str">
        <f t="shared" ca="1" si="97"/>
        <v>-</v>
      </c>
      <c r="N159" s="6" t="str">
        <f t="shared" ca="1" si="82"/>
        <v>-</v>
      </c>
      <c r="O159" s="6" t="str">
        <f t="shared" ca="1" si="98"/>
        <v>-</v>
      </c>
      <c r="P159" s="6" t="str">
        <f t="shared" ca="1" si="98"/>
        <v>-</v>
      </c>
      <c r="Q159" s="6" t="str">
        <f t="shared" ca="1" si="98"/>
        <v>-</v>
      </c>
      <c r="R159" s="6" t="str">
        <f t="shared" ca="1" si="98"/>
        <v>-</v>
      </c>
      <c r="S159" s="6" t="str">
        <f t="shared" ca="1" si="98"/>
        <v>-</v>
      </c>
      <c r="T159" s="6" t="str">
        <f t="shared" ca="1" si="98"/>
        <v>-</v>
      </c>
      <c r="U159" s="7" t="str">
        <f t="shared" ca="1" si="98"/>
        <v>-</v>
      </c>
      <c r="V159" s="7" t="str">
        <f t="shared" ca="1" si="98"/>
        <v>-</v>
      </c>
      <c r="W159" s="7">
        <f t="shared" ca="1" si="98"/>
        <v>-0.1908713692946058</v>
      </c>
      <c r="X159" s="7">
        <f t="shared" ca="1" si="98"/>
        <v>-0.3554368361756009</v>
      </c>
      <c r="Y159" s="7">
        <f t="shared" ca="1" si="98"/>
        <v>-1.6806722689075678E-2</v>
      </c>
      <c r="Z159" s="7">
        <f t="shared" ca="1" si="98"/>
        <v>3.3192373320228312E-3</v>
      </c>
      <c r="AA159" s="28" t="str">
        <f t="shared" si="83"/>
        <v>HJH</v>
      </c>
      <c r="AB159" s="28"/>
      <c r="AC159" s="12"/>
      <c r="AD159" s="12"/>
    </row>
    <row r="160" spans="1:30" x14ac:dyDescent="0.25">
      <c r="A160" s="5" t="s">
        <v>22</v>
      </c>
      <c r="B160" s="5" t="s">
        <v>49</v>
      </c>
      <c r="C160" s="5" t="s">
        <v>118</v>
      </c>
      <c r="D160" s="6">
        <f t="shared" ref="D160:D223" ca="1" si="99">IFERROR(VLOOKUP($C160,INDIRECT("'"&amp;$AA160&amp;"-"&amp;$C$1&amp;"'!$C:$AH"),D$30,0),0)</f>
        <v>177</v>
      </c>
      <c r="E160" s="6">
        <f t="shared" ca="1" si="79"/>
        <v>366.87005649717514</v>
      </c>
      <c r="F160" s="6">
        <f t="shared" ca="1" si="95"/>
        <v>64936</v>
      </c>
      <c r="G160" s="6">
        <f t="shared" ca="1" si="95"/>
        <v>263.88888888888891</v>
      </c>
      <c r="H160" s="6">
        <f t="shared" ca="1" si="80"/>
        <v>337.78873684210606</v>
      </c>
      <c r="I160" s="6">
        <f t="shared" ca="1" si="96"/>
        <v>89138.694444444656</v>
      </c>
      <c r="J160" s="6">
        <f t="shared" ca="1" si="96"/>
        <v>237</v>
      </c>
      <c r="K160" s="6">
        <f t="shared" ca="1" si="81"/>
        <v>328.80421940928267</v>
      </c>
      <c r="L160" s="6">
        <f t="shared" ca="1" si="97"/>
        <v>77926.599999999991</v>
      </c>
      <c r="M160" s="6" t="str">
        <f t="shared" ca="1" si="97"/>
        <v>-</v>
      </c>
      <c r="N160" s="6" t="str">
        <f t="shared" ca="1" si="82"/>
        <v>-</v>
      </c>
      <c r="O160" s="6" t="str">
        <f t="shared" ca="1" si="98"/>
        <v>-</v>
      </c>
      <c r="P160" s="6" t="str">
        <f t="shared" ca="1" si="98"/>
        <v>-</v>
      </c>
      <c r="Q160" s="6" t="str">
        <f t="shared" ca="1" si="98"/>
        <v>-</v>
      </c>
      <c r="R160" s="6" t="str">
        <f t="shared" ca="1" si="98"/>
        <v>-</v>
      </c>
      <c r="S160" s="6" t="str">
        <f t="shared" ca="1" si="98"/>
        <v>-</v>
      </c>
      <c r="T160" s="6" t="str">
        <f t="shared" ca="1" si="98"/>
        <v>-</v>
      </c>
      <c r="U160" s="7" t="str">
        <f t="shared" ca="1" si="98"/>
        <v>-</v>
      </c>
      <c r="V160" s="7" t="str">
        <f t="shared" ca="1" si="98"/>
        <v>-</v>
      </c>
      <c r="W160" s="7">
        <f t="shared" ca="1" si="98"/>
        <v>0.33898305084745761</v>
      </c>
      <c r="X160" s="7">
        <f t="shared" ca="1" si="98"/>
        <v>0.20005235924602671</v>
      </c>
      <c r="Y160" s="7">
        <f t="shared" ca="1" si="98"/>
        <v>-0.10189473684210534</v>
      </c>
      <c r="Z160" s="7">
        <f t="shared" ca="1" si="98"/>
        <v>-0.1257825741595594</v>
      </c>
      <c r="AA160" s="28" t="str">
        <f t="shared" si="83"/>
        <v>HJH</v>
      </c>
      <c r="AB160" s="28"/>
      <c r="AC160" s="12"/>
      <c r="AD160" s="12"/>
    </row>
    <row r="161" spans="1:30" x14ac:dyDescent="0.25">
      <c r="A161" s="5" t="s">
        <v>22</v>
      </c>
      <c r="B161" s="5" t="s">
        <v>49</v>
      </c>
      <c r="C161" s="5" t="s">
        <v>119</v>
      </c>
      <c r="D161" s="6">
        <f t="shared" ca="1" si="99"/>
        <v>23</v>
      </c>
      <c r="E161" s="6">
        <f t="shared" ref="E161:E224" ca="1" si="100">IFERROR(F161/D161,"-")</f>
        <v>1257.7391304347825</v>
      </c>
      <c r="F161" s="6">
        <f t="shared" ca="1" si="95"/>
        <v>28928</v>
      </c>
      <c r="G161" s="6">
        <f t="shared" ca="1" si="95"/>
        <v>40</v>
      </c>
      <c r="H161" s="6">
        <f t="shared" ref="H161:H224" ca="1" si="101">IFERROR(I161/G161,"-")</f>
        <v>1400.8473611111112</v>
      </c>
      <c r="I161" s="6">
        <f t="shared" ca="1" si="96"/>
        <v>56033.89444444445</v>
      </c>
      <c r="J161" s="6">
        <f t="shared" ca="1" si="96"/>
        <v>29</v>
      </c>
      <c r="K161" s="6">
        <f t="shared" ref="K161:K224" ca="1" si="102">IFERROR(L161/J161,"-")</f>
        <v>2294.5479310344826</v>
      </c>
      <c r="L161" s="6">
        <f t="shared" ca="1" si="97"/>
        <v>66541.89</v>
      </c>
      <c r="M161" s="6" t="str">
        <f t="shared" ca="1" si="97"/>
        <v>-</v>
      </c>
      <c r="N161" s="6" t="str">
        <f t="shared" ref="N161:N224" ca="1" si="103">IFERROR(O161/M161,"-")</f>
        <v>-</v>
      </c>
      <c r="O161" s="6" t="str">
        <f t="shared" ca="1" si="98"/>
        <v>-</v>
      </c>
      <c r="P161" s="6" t="str">
        <f t="shared" ca="1" si="98"/>
        <v>-</v>
      </c>
      <c r="Q161" s="6" t="str">
        <f t="shared" ca="1" si="98"/>
        <v>-</v>
      </c>
      <c r="R161" s="6" t="str">
        <f t="shared" ca="1" si="98"/>
        <v>-</v>
      </c>
      <c r="S161" s="6" t="str">
        <f t="shared" ca="1" si="98"/>
        <v>-</v>
      </c>
      <c r="T161" s="6" t="str">
        <f t="shared" ca="1" si="98"/>
        <v>-</v>
      </c>
      <c r="U161" s="7" t="str">
        <f t="shared" ca="1" si="98"/>
        <v>-</v>
      </c>
      <c r="V161" s="7" t="str">
        <f t="shared" ca="1" si="98"/>
        <v>-</v>
      </c>
      <c r="W161" s="7">
        <f t="shared" ca="1" si="98"/>
        <v>0.2608695652173913</v>
      </c>
      <c r="X161" s="7">
        <f t="shared" ca="1" si="98"/>
        <v>1.3002589186946902</v>
      </c>
      <c r="Y161" s="7">
        <f t="shared" ca="1" si="98"/>
        <v>-0.27500000000000002</v>
      </c>
      <c r="Z161" s="7">
        <f t="shared" ca="1" si="98"/>
        <v>0.1875292741962428</v>
      </c>
      <c r="AA161" s="28" t="str">
        <f t="shared" ref="AA161:AA224" si="104">VLOOKUP(A161,$AC$96:$AD$104,2,0)</f>
        <v>HJH</v>
      </c>
      <c r="AB161" s="28"/>
      <c r="AC161" s="12"/>
      <c r="AD161" s="12"/>
    </row>
    <row r="162" spans="1:30" x14ac:dyDescent="0.25">
      <c r="A162" s="5" t="s">
        <v>22</v>
      </c>
      <c r="B162" s="5" t="s">
        <v>49</v>
      </c>
      <c r="C162" s="5" t="s">
        <v>120</v>
      </c>
      <c r="D162" s="6">
        <f t="shared" ca="1" si="99"/>
        <v>0</v>
      </c>
      <c r="E162" s="6" t="str">
        <f t="shared" ca="1" si="100"/>
        <v>-</v>
      </c>
      <c r="F162" s="6">
        <f t="shared" ca="1" si="95"/>
        <v>0</v>
      </c>
      <c r="G162" s="6">
        <f t="shared" ca="1" si="95"/>
        <v>0</v>
      </c>
      <c r="H162" s="6" t="str">
        <f t="shared" ca="1" si="101"/>
        <v>-</v>
      </c>
      <c r="I162" s="6">
        <f t="shared" ca="1" si="96"/>
        <v>112.5</v>
      </c>
      <c r="J162" s="6">
        <f t="shared" ca="1" si="96"/>
        <v>0</v>
      </c>
      <c r="K162" s="6" t="str">
        <f t="shared" ca="1" si="102"/>
        <v>-</v>
      </c>
      <c r="L162" s="6">
        <f t="shared" ca="1" si="97"/>
        <v>955</v>
      </c>
      <c r="M162" s="6" t="str">
        <f t="shared" ca="1" si="97"/>
        <v>-</v>
      </c>
      <c r="N162" s="6" t="str">
        <f t="shared" ca="1" si="103"/>
        <v>-</v>
      </c>
      <c r="O162" s="6" t="str">
        <f t="shared" ca="1" si="98"/>
        <v>-</v>
      </c>
      <c r="P162" s="6" t="str">
        <f t="shared" ca="1" si="98"/>
        <v>-</v>
      </c>
      <c r="Q162" s="6" t="str">
        <f t="shared" ca="1" si="98"/>
        <v>-</v>
      </c>
      <c r="R162" s="6" t="str">
        <f t="shared" ca="1" si="98"/>
        <v>-</v>
      </c>
      <c r="S162" s="6" t="str">
        <f t="shared" ca="1" si="98"/>
        <v>-</v>
      </c>
      <c r="T162" s="6" t="str">
        <f t="shared" ca="1" si="98"/>
        <v>-</v>
      </c>
      <c r="U162" s="7" t="str">
        <f t="shared" ca="1" si="98"/>
        <v>-</v>
      </c>
      <c r="V162" s="7" t="str">
        <f t="shared" ca="1" si="98"/>
        <v>-</v>
      </c>
      <c r="W162" s="7" t="str">
        <f t="shared" ca="1" si="98"/>
        <v>-</v>
      </c>
      <c r="X162" s="7" t="str">
        <f t="shared" ca="1" si="98"/>
        <v>-</v>
      </c>
      <c r="Y162" s="7" t="str">
        <f t="shared" ca="1" si="98"/>
        <v>-</v>
      </c>
      <c r="Z162" s="7">
        <f t="shared" ca="1" si="98"/>
        <v>7.4888888888888889</v>
      </c>
      <c r="AA162" s="28" t="str">
        <f t="shared" si="104"/>
        <v>HJH</v>
      </c>
      <c r="AB162" s="28"/>
      <c r="AC162" s="12"/>
      <c r="AD162" s="12"/>
    </row>
    <row r="163" spans="1:30" x14ac:dyDescent="0.25">
      <c r="A163" s="5" t="s">
        <v>22</v>
      </c>
      <c r="B163" s="5" t="s">
        <v>49</v>
      </c>
      <c r="C163" s="5" t="s">
        <v>121</v>
      </c>
      <c r="D163" s="6">
        <f t="shared" ca="1" si="99"/>
        <v>0</v>
      </c>
      <c r="E163" s="6" t="str">
        <f t="shared" ca="1" si="100"/>
        <v>-</v>
      </c>
      <c r="F163" s="6">
        <f t="shared" ca="1" si="95"/>
        <v>0</v>
      </c>
      <c r="G163" s="6">
        <f t="shared" ca="1" si="95"/>
        <v>1.1111111111111112</v>
      </c>
      <c r="H163" s="6">
        <f t="shared" ca="1" si="101"/>
        <v>3140.2299999999996</v>
      </c>
      <c r="I163" s="6">
        <f t="shared" ca="1" si="96"/>
        <v>3489.1444444444442</v>
      </c>
      <c r="J163" s="6">
        <f t="shared" ca="1" si="96"/>
        <v>2</v>
      </c>
      <c r="K163" s="6">
        <f t="shared" ca="1" si="102"/>
        <v>1488.2399999999998</v>
      </c>
      <c r="L163" s="6">
        <f t="shared" ca="1" si="97"/>
        <v>2976.4799999999996</v>
      </c>
      <c r="M163" s="6" t="str">
        <f t="shared" ca="1" si="97"/>
        <v>-</v>
      </c>
      <c r="N163" s="6" t="str">
        <f t="shared" ca="1" si="103"/>
        <v>-</v>
      </c>
      <c r="O163" s="6" t="str">
        <f t="shared" ca="1" si="98"/>
        <v>-</v>
      </c>
      <c r="P163" s="6" t="str">
        <f t="shared" ca="1" si="98"/>
        <v>-</v>
      </c>
      <c r="Q163" s="6" t="str">
        <f t="shared" ca="1" si="98"/>
        <v>-</v>
      </c>
      <c r="R163" s="6" t="str">
        <f t="shared" ca="1" si="98"/>
        <v>-</v>
      </c>
      <c r="S163" s="6" t="str">
        <f t="shared" ca="1" si="98"/>
        <v>-</v>
      </c>
      <c r="T163" s="6" t="str">
        <f t="shared" ca="1" si="98"/>
        <v>-</v>
      </c>
      <c r="U163" s="7" t="str">
        <f t="shared" ca="1" si="98"/>
        <v>-</v>
      </c>
      <c r="V163" s="7" t="str">
        <f t="shared" ca="1" si="98"/>
        <v>-</v>
      </c>
      <c r="W163" s="7" t="str">
        <f t="shared" ca="1" si="98"/>
        <v>-</v>
      </c>
      <c r="X163" s="7" t="str">
        <f t="shared" ca="1" si="98"/>
        <v>-</v>
      </c>
      <c r="Y163" s="7">
        <f t="shared" ca="1" si="98"/>
        <v>0.79999999999999993</v>
      </c>
      <c r="Z163" s="7">
        <f t="shared" ca="1" si="98"/>
        <v>-0.14693127573458001</v>
      </c>
      <c r="AA163" s="28" t="str">
        <f t="shared" si="104"/>
        <v>HJH</v>
      </c>
      <c r="AB163" s="28"/>
      <c r="AC163" s="12"/>
      <c r="AD163" s="12"/>
    </row>
    <row r="164" spans="1:30" x14ac:dyDescent="0.25">
      <c r="A164" s="5" t="s">
        <v>22</v>
      </c>
      <c r="B164" s="5" t="s">
        <v>49</v>
      </c>
      <c r="C164" s="5" t="s">
        <v>122</v>
      </c>
      <c r="D164" s="6">
        <f t="shared" ca="1" si="99"/>
        <v>0</v>
      </c>
      <c r="E164" s="6" t="str">
        <f t="shared" ca="1" si="100"/>
        <v>-</v>
      </c>
      <c r="F164" s="6">
        <f t="shared" ca="1" si="95"/>
        <v>0</v>
      </c>
      <c r="G164" s="6">
        <f t="shared" ca="1" si="95"/>
        <v>0</v>
      </c>
      <c r="H164" s="6" t="str">
        <f t="shared" ca="1" si="101"/>
        <v>-</v>
      </c>
      <c r="I164" s="6">
        <f t="shared" ca="1" si="96"/>
        <v>0</v>
      </c>
      <c r="J164" s="6">
        <f t="shared" ca="1" si="96"/>
        <v>0</v>
      </c>
      <c r="K164" s="6" t="str">
        <f t="shared" ca="1" si="102"/>
        <v>-</v>
      </c>
      <c r="L164" s="6">
        <f t="shared" ca="1" si="97"/>
        <v>217.45</v>
      </c>
      <c r="M164" s="6" t="str">
        <f t="shared" ca="1" si="97"/>
        <v>-</v>
      </c>
      <c r="N164" s="6" t="str">
        <f t="shared" ca="1" si="103"/>
        <v>-</v>
      </c>
      <c r="O164" s="6" t="str">
        <f t="shared" ca="1" si="98"/>
        <v>-</v>
      </c>
      <c r="P164" s="6" t="str">
        <f t="shared" ca="1" si="98"/>
        <v>-</v>
      </c>
      <c r="Q164" s="6" t="str">
        <f t="shared" ca="1" si="98"/>
        <v>-</v>
      </c>
      <c r="R164" s="6" t="str">
        <f t="shared" ca="1" si="98"/>
        <v>-</v>
      </c>
      <c r="S164" s="6" t="str">
        <f t="shared" ca="1" si="98"/>
        <v>-</v>
      </c>
      <c r="T164" s="6" t="str">
        <f t="shared" ca="1" si="98"/>
        <v>-</v>
      </c>
      <c r="U164" s="7" t="str">
        <f t="shared" ca="1" si="98"/>
        <v>-</v>
      </c>
      <c r="V164" s="7" t="str">
        <f t="shared" ca="1" si="98"/>
        <v>-</v>
      </c>
      <c r="W164" s="7" t="str">
        <f t="shared" ca="1" si="98"/>
        <v>-</v>
      </c>
      <c r="X164" s="7" t="str">
        <f t="shared" ca="1" si="98"/>
        <v>-</v>
      </c>
      <c r="Y164" s="7" t="str">
        <f t="shared" ca="1" si="98"/>
        <v>-</v>
      </c>
      <c r="Z164" s="7" t="str">
        <f t="shared" ca="1" si="98"/>
        <v>-</v>
      </c>
      <c r="AA164" s="28" t="str">
        <f t="shared" si="104"/>
        <v>HJH</v>
      </c>
      <c r="AB164" s="28"/>
      <c r="AC164" s="12"/>
      <c r="AD164" s="12"/>
    </row>
    <row r="165" spans="1:30" x14ac:dyDescent="0.25">
      <c r="A165" s="5" t="s">
        <v>22</v>
      </c>
      <c r="B165" s="5" t="s">
        <v>49</v>
      </c>
      <c r="C165" s="5" t="s">
        <v>123</v>
      </c>
      <c r="D165" s="6">
        <f t="shared" ca="1" si="99"/>
        <v>3</v>
      </c>
      <c r="E165" s="6">
        <f t="shared" ca="1" si="100"/>
        <v>1656</v>
      </c>
      <c r="F165" s="6">
        <f t="shared" ca="1" si="95"/>
        <v>4968</v>
      </c>
      <c r="G165" s="6">
        <f t="shared" ca="1" si="95"/>
        <v>0.55555555555555558</v>
      </c>
      <c r="H165" s="6">
        <f t="shared" ca="1" si="101"/>
        <v>831.69999999999993</v>
      </c>
      <c r="I165" s="6">
        <f t="shared" ca="1" si="96"/>
        <v>462.05555555555554</v>
      </c>
      <c r="J165" s="6">
        <f t="shared" ca="1" si="96"/>
        <v>7</v>
      </c>
      <c r="K165" s="6">
        <f t="shared" ca="1" si="102"/>
        <v>865.04857142857145</v>
      </c>
      <c r="L165" s="6">
        <f t="shared" ca="1" si="97"/>
        <v>6055.34</v>
      </c>
      <c r="M165" s="6" t="str">
        <f t="shared" ca="1" si="97"/>
        <v>-</v>
      </c>
      <c r="N165" s="6" t="str">
        <f t="shared" ca="1" si="103"/>
        <v>-</v>
      </c>
      <c r="O165" s="6" t="str">
        <f t="shared" ca="1" si="98"/>
        <v>-</v>
      </c>
      <c r="P165" s="6" t="str">
        <f t="shared" ca="1" si="98"/>
        <v>-</v>
      </c>
      <c r="Q165" s="6" t="str">
        <f t="shared" ca="1" si="98"/>
        <v>-</v>
      </c>
      <c r="R165" s="6" t="str">
        <f t="shared" ca="1" si="98"/>
        <v>-</v>
      </c>
      <c r="S165" s="6" t="str">
        <f t="shared" ca="1" si="98"/>
        <v>-</v>
      </c>
      <c r="T165" s="6" t="str">
        <f t="shared" ca="1" si="98"/>
        <v>-</v>
      </c>
      <c r="U165" s="7" t="str">
        <f t="shared" ca="1" si="98"/>
        <v>-</v>
      </c>
      <c r="V165" s="7" t="str">
        <f t="shared" ca="1" si="98"/>
        <v>-</v>
      </c>
      <c r="W165" s="7">
        <f t="shared" ca="1" si="98"/>
        <v>1.3333333333333333</v>
      </c>
      <c r="X165" s="7">
        <f t="shared" ca="1" si="98"/>
        <v>0.21886876006441228</v>
      </c>
      <c r="Y165" s="7">
        <f t="shared" ca="1" si="98"/>
        <v>11.6</v>
      </c>
      <c r="Z165" s="7">
        <f t="shared" ca="1" si="98"/>
        <v>12.105220632439583</v>
      </c>
      <c r="AA165" s="28" t="str">
        <f t="shared" si="104"/>
        <v>HJH</v>
      </c>
      <c r="AB165" s="28"/>
      <c r="AC165" s="12"/>
      <c r="AD165" s="12"/>
    </row>
    <row r="166" spans="1:30" x14ac:dyDescent="0.25">
      <c r="A166" s="5" t="s">
        <v>22</v>
      </c>
      <c r="B166" s="5" t="s">
        <v>49</v>
      </c>
      <c r="C166" s="5" t="s">
        <v>124</v>
      </c>
      <c r="D166" s="6">
        <f t="shared" ca="1" si="99"/>
        <v>26</v>
      </c>
      <c r="E166" s="6">
        <f t="shared" ca="1" si="100"/>
        <v>2760.8076923076924</v>
      </c>
      <c r="F166" s="6">
        <f t="shared" ca="1" si="95"/>
        <v>71781</v>
      </c>
      <c r="G166" s="6">
        <f t="shared" ca="1" si="95"/>
        <v>33.333333333333336</v>
      </c>
      <c r="H166" s="6">
        <f t="shared" ca="1" si="101"/>
        <v>2099.75</v>
      </c>
      <c r="I166" s="6">
        <f t="shared" ca="1" si="96"/>
        <v>69991.666666666672</v>
      </c>
      <c r="J166" s="6">
        <f t="shared" ca="1" si="96"/>
        <v>18</v>
      </c>
      <c r="K166" s="6">
        <f t="shared" ca="1" si="102"/>
        <v>846.66666666666663</v>
      </c>
      <c r="L166" s="6">
        <f t="shared" ca="1" si="97"/>
        <v>15240</v>
      </c>
      <c r="M166" s="6" t="str">
        <f t="shared" ca="1" si="97"/>
        <v>-</v>
      </c>
      <c r="N166" s="6" t="str">
        <f t="shared" ca="1" si="103"/>
        <v>-</v>
      </c>
      <c r="O166" s="6" t="str">
        <f t="shared" ref="O166:Z175" ca="1" si="105">IFERROR(VLOOKUP($C166,INDIRECT("'"&amp;$AA166&amp;"-"&amp;$C$1&amp;"'!$C:$AH"),O$30,0),0)</f>
        <v>-</v>
      </c>
      <c r="P166" s="6" t="str">
        <f t="shared" ca="1" si="105"/>
        <v>-</v>
      </c>
      <c r="Q166" s="6" t="str">
        <f t="shared" ca="1" si="105"/>
        <v>-</v>
      </c>
      <c r="R166" s="6" t="str">
        <f t="shared" ca="1" si="105"/>
        <v>-</v>
      </c>
      <c r="S166" s="6" t="str">
        <f t="shared" ca="1" si="105"/>
        <v>-</v>
      </c>
      <c r="T166" s="6" t="str">
        <f t="shared" ca="1" si="105"/>
        <v>-</v>
      </c>
      <c r="U166" s="7" t="str">
        <f t="shared" ca="1" si="105"/>
        <v>-</v>
      </c>
      <c r="V166" s="7" t="str">
        <f t="shared" ca="1" si="105"/>
        <v>-</v>
      </c>
      <c r="W166" s="7">
        <f t="shared" ca="1" si="105"/>
        <v>-0.30769230769230771</v>
      </c>
      <c r="X166" s="7">
        <f t="shared" ca="1" si="105"/>
        <v>-0.78768754963012499</v>
      </c>
      <c r="Y166" s="7">
        <f t="shared" ca="1" si="105"/>
        <v>-0.46</v>
      </c>
      <c r="Z166" s="7">
        <f t="shared" ca="1" si="105"/>
        <v>-0.78225979283248004</v>
      </c>
      <c r="AA166" s="28" t="str">
        <f t="shared" si="104"/>
        <v>HJH</v>
      </c>
      <c r="AB166" s="28"/>
      <c r="AC166" s="12"/>
      <c r="AD166" s="12"/>
    </row>
    <row r="167" spans="1:30" x14ac:dyDescent="0.25">
      <c r="A167" s="5" t="s">
        <v>22</v>
      </c>
      <c r="B167" s="5" t="s">
        <v>49</v>
      </c>
      <c r="C167" s="5" t="s">
        <v>125</v>
      </c>
      <c r="D167" s="6">
        <f t="shared" ca="1" si="99"/>
        <v>20</v>
      </c>
      <c r="E167" s="6">
        <f t="shared" ca="1" si="100"/>
        <v>563.65</v>
      </c>
      <c r="F167" s="6">
        <f t="shared" ca="1" si="95"/>
        <v>11273</v>
      </c>
      <c r="G167" s="6">
        <f t="shared" ca="1" si="95"/>
        <v>9.4444444444444446</v>
      </c>
      <c r="H167" s="6">
        <f t="shared" ca="1" si="101"/>
        <v>769.08764705882345</v>
      </c>
      <c r="I167" s="6">
        <f t="shared" ca="1" si="96"/>
        <v>7263.6055555555549</v>
      </c>
      <c r="J167" s="6">
        <f t="shared" ca="1" si="96"/>
        <v>23</v>
      </c>
      <c r="K167" s="6">
        <f t="shared" ca="1" si="102"/>
        <v>326.04043478260871</v>
      </c>
      <c r="L167" s="6">
        <f t="shared" ca="1" si="97"/>
        <v>7498.93</v>
      </c>
      <c r="M167" s="6" t="str">
        <f t="shared" ca="1" si="97"/>
        <v>-</v>
      </c>
      <c r="N167" s="6" t="str">
        <f t="shared" ca="1" si="103"/>
        <v>-</v>
      </c>
      <c r="O167" s="6" t="str">
        <f t="shared" ca="1" si="105"/>
        <v>-</v>
      </c>
      <c r="P167" s="6" t="str">
        <f t="shared" ca="1" si="105"/>
        <v>-</v>
      </c>
      <c r="Q167" s="6" t="str">
        <f t="shared" ca="1" si="105"/>
        <v>-</v>
      </c>
      <c r="R167" s="6" t="str">
        <f t="shared" ca="1" si="105"/>
        <v>-</v>
      </c>
      <c r="S167" s="6" t="str">
        <f t="shared" ca="1" si="105"/>
        <v>-</v>
      </c>
      <c r="T167" s="6" t="str">
        <f t="shared" ca="1" si="105"/>
        <v>-</v>
      </c>
      <c r="U167" s="7" t="str">
        <f t="shared" ca="1" si="105"/>
        <v>-</v>
      </c>
      <c r="V167" s="7" t="str">
        <f t="shared" ca="1" si="105"/>
        <v>-</v>
      </c>
      <c r="W167" s="7">
        <f t="shared" ca="1" si="105"/>
        <v>0.15</v>
      </c>
      <c r="X167" s="7">
        <f t="shared" ca="1" si="105"/>
        <v>-0.33478843253792245</v>
      </c>
      <c r="Y167" s="7">
        <f t="shared" ca="1" si="105"/>
        <v>1.4352941176470588</v>
      </c>
      <c r="Z167" s="7">
        <f t="shared" ca="1" si="105"/>
        <v>3.239774553347792E-2</v>
      </c>
      <c r="AA167" s="28" t="str">
        <f t="shared" si="104"/>
        <v>HJH</v>
      </c>
      <c r="AB167" s="28"/>
      <c r="AC167" s="12"/>
      <c r="AD167" s="12"/>
    </row>
    <row r="168" spans="1:30" x14ac:dyDescent="0.25">
      <c r="A168" s="5" t="s">
        <v>22</v>
      </c>
      <c r="B168" s="5" t="s">
        <v>49</v>
      </c>
      <c r="C168" s="5" t="s">
        <v>126</v>
      </c>
      <c r="D168" s="6">
        <f t="shared" ca="1" si="99"/>
        <v>0</v>
      </c>
      <c r="E168" s="6" t="str">
        <f t="shared" ca="1" si="100"/>
        <v>-</v>
      </c>
      <c r="F168" s="6">
        <f t="shared" ca="1" si="95"/>
        <v>0</v>
      </c>
      <c r="G168" s="6">
        <f t="shared" ca="1" si="95"/>
        <v>25.555555555555557</v>
      </c>
      <c r="H168" s="6">
        <f t="shared" ca="1" si="101"/>
        <v>421.4204347826086</v>
      </c>
      <c r="I168" s="6">
        <f t="shared" ca="1" si="96"/>
        <v>10769.633333333331</v>
      </c>
      <c r="J168" s="6">
        <f t="shared" ca="1" si="96"/>
        <v>36</v>
      </c>
      <c r="K168" s="6">
        <f t="shared" ca="1" si="102"/>
        <v>373.61444444444453</v>
      </c>
      <c r="L168" s="6">
        <f t="shared" ca="1" si="97"/>
        <v>13450.120000000003</v>
      </c>
      <c r="M168" s="6" t="str">
        <f t="shared" ca="1" si="97"/>
        <v>-</v>
      </c>
      <c r="N168" s="6" t="str">
        <f t="shared" ca="1" si="103"/>
        <v>-</v>
      </c>
      <c r="O168" s="6" t="str">
        <f t="shared" ca="1" si="105"/>
        <v>-</v>
      </c>
      <c r="P168" s="6" t="str">
        <f t="shared" ca="1" si="105"/>
        <v>-</v>
      </c>
      <c r="Q168" s="6" t="str">
        <f t="shared" ca="1" si="105"/>
        <v>-</v>
      </c>
      <c r="R168" s="6" t="str">
        <f t="shared" ca="1" si="105"/>
        <v>-</v>
      </c>
      <c r="S168" s="6" t="str">
        <f t="shared" ca="1" si="105"/>
        <v>-</v>
      </c>
      <c r="T168" s="6" t="str">
        <f t="shared" ca="1" si="105"/>
        <v>-</v>
      </c>
      <c r="U168" s="7" t="str">
        <f t="shared" ca="1" si="105"/>
        <v>-</v>
      </c>
      <c r="V168" s="7" t="str">
        <f t="shared" ca="1" si="105"/>
        <v>-</v>
      </c>
      <c r="W168" s="7" t="str">
        <f t="shared" ca="1" si="105"/>
        <v>-</v>
      </c>
      <c r="X168" s="7" t="str">
        <f t="shared" ca="1" si="105"/>
        <v>-</v>
      </c>
      <c r="Y168" s="7">
        <f t="shared" ca="1" si="105"/>
        <v>0.40869565217391296</v>
      </c>
      <c r="Z168" s="7">
        <f t="shared" ca="1" si="105"/>
        <v>0.24889302947485106</v>
      </c>
      <c r="AA168" s="28" t="str">
        <f t="shared" si="104"/>
        <v>HJH</v>
      </c>
      <c r="AB168" s="28"/>
      <c r="AC168" s="12"/>
      <c r="AD168" s="12"/>
    </row>
    <row r="169" spans="1:30" x14ac:dyDescent="0.25">
      <c r="A169" s="5" t="s">
        <v>22</v>
      </c>
      <c r="B169" s="5" t="s">
        <v>49</v>
      </c>
      <c r="C169" s="5" t="s">
        <v>127</v>
      </c>
      <c r="D169" s="6">
        <f t="shared" ca="1" si="99"/>
        <v>0</v>
      </c>
      <c r="E169" s="6" t="str">
        <f t="shared" ca="1" si="100"/>
        <v>-</v>
      </c>
      <c r="F169" s="6">
        <f t="shared" ca="1" si="95"/>
        <v>0</v>
      </c>
      <c r="G169" s="6">
        <f t="shared" ca="1" si="95"/>
        <v>27.777777777777779</v>
      </c>
      <c r="H169" s="6">
        <f t="shared" ca="1" si="101"/>
        <v>342.7808</v>
      </c>
      <c r="I169" s="6">
        <f t="shared" ca="1" si="96"/>
        <v>9521.6888888888898</v>
      </c>
      <c r="J169" s="6">
        <f t="shared" ca="1" si="96"/>
        <v>8</v>
      </c>
      <c r="K169" s="6">
        <f t="shared" ca="1" si="102"/>
        <v>681.68500000000017</v>
      </c>
      <c r="L169" s="6">
        <f t="shared" ca="1" si="97"/>
        <v>5453.4800000000014</v>
      </c>
      <c r="M169" s="6" t="str">
        <f t="shared" ca="1" si="97"/>
        <v>-</v>
      </c>
      <c r="N169" s="6" t="str">
        <f t="shared" ca="1" si="103"/>
        <v>-</v>
      </c>
      <c r="O169" s="6" t="str">
        <f t="shared" ca="1" si="105"/>
        <v>-</v>
      </c>
      <c r="P169" s="6" t="str">
        <f t="shared" ca="1" si="105"/>
        <v>-</v>
      </c>
      <c r="Q169" s="6" t="str">
        <f t="shared" ca="1" si="105"/>
        <v>-</v>
      </c>
      <c r="R169" s="6" t="str">
        <f t="shared" ca="1" si="105"/>
        <v>-</v>
      </c>
      <c r="S169" s="6" t="str">
        <f t="shared" ca="1" si="105"/>
        <v>-</v>
      </c>
      <c r="T169" s="6" t="str">
        <f t="shared" ca="1" si="105"/>
        <v>-</v>
      </c>
      <c r="U169" s="7" t="str">
        <f t="shared" ca="1" si="105"/>
        <v>-</v>
      </c>
      <c r="V169" s="7" t="str">
        <f t="shared" ca="1" si="105"/>
        <v>-</v>
      </c>
      <c r="W169" s="7" t="str">
        <f t="shared" ca="1" si="105"/>
        <v>-</v>
      </c>
      <c r="X169" s="7" t="str">
        <f t="shared" ca="1" si="105"/>
        <v>-</v>
      </c>
      <c r="Y169" s="7">
        <f t="shared" ca="1" si="105"/>
        <v>-0.71199999999999997</v>
      </c>
      <c r="Z169" s="7">
        <f t="shared" ca="1" si="105"/>
        <v>-0.42725706924075085</v>
      </c>
      <c r="AA169" s="28" t="str">
        <f t="shared" si="104"/>
        <v>HJH</v>
      </c>
      <c r="AB169" s="28"/>
      <c r="AC169" s="12"/>
      <c r="AD169" s="12"/>
    </row>
    <row r="170" spans="1:30" x14ac:dyDescent="0.25">
      <c r="A170" s="5" t="s">
        <v>22</v>
      </c>
      <c r="B170" s="5" t="s">
        <v>49</v>
      </c>
      <c r="C170" s="5" t="s">
        <v>128</v>
      </c>
      <c r="D170" s="6">
        <f t="shared" ca="1" si="99"/>
        <v>22</v>
      </c>
      <c r="E170" s="6">
        <f t="shared" ca="1" si="100"/>
        <v>366.59090909090907</v>
      </c>
      <c r="F170" s="6">
        <f t="shared" ca="1" si="95"/>
        <v>8065</v>
      </c>
      <c r="G170" s="6">
        <f t="shared" ca="1" si="95"/>
        <v>25</v>
      </c>
      <c r="H170" s="6">
        <f t="shared" ca="1" si="101"/>
        <v>372.83488888888894</v>
      </c>
      <c r="I170" s="6">
        <f t="shared" ca="1" si="96"/>
        <v>9320.8722222222241</v>
      </c>
      <c r="J170" s="6">
        <f t="shared" ca="1" si="96"/>
        <v>33</v>
      </c>
      <c r="K170" s="6">
        <f t="shared" ca="1" si="102"/>
        <v>470.64575757575767</v>
      </c>
      <c r="L170" s="6">
        <f t="shared" ca="1" si="97"/>
        <v>15531.310000000003</v>
      </c>
      <c r="M170" s="6" t="str">
        <f t="shared" ca="1" si="97"/>
        <v>-</v>
      </c>
      <c r="N170" s="6" t="str">
        <f t="shared" ca="1" si="103"/>
        <v>-</v>
      </c>
      <c r="O170" s="6" t="str">
        <f t="shared" ca="1" si="105"/>
        <v>-</v>
      </c>
      <c r="P170" s="6" t="str">
        <f t="shared" ca="1" si="105"/>
        <v>-</v>
      </c>
      <c r="Q170" s="6" t="str">
        <f t="shared" ca="1" si="105"/>
        <v>-</v>
      </c>
      <c r="R170" s="6" t="str">
        <f t="shared" ca="1" si="105"/>
        <v>-</v>
      </c>
      <c r="S170" s="6" t="str">
        <f t="shared" ca="1" si="105"/>
        <v>-</v>
      </c>
      <c r="T170" s="6" t="str">
        <f t="shared" ca="1" si="105"/>
        <v>-</v>
      </c>
      <c r="U170" s="7" t="str">
        <f t="shared" ca="1" si="105"/>
        <v>-</v>
      </c>
      <c r="V170" s="7" t="str">
        <f t="shared" ca="1" si="105"/>
        <v>-</v>
      </c>
      <c r="W170" s="7">
        <f t="shared" ca="1" si="105"/>
        <v>0.5</v>
      </c>
      <c r="X170" s="7">
        <f t="shared" ca="1" si="105"/>
        <v>0.92576689398636125</v>
      </c>
      <c r="Y170" s="7">
        <f t="shared" ca="1" si="105"/>
        <v>0.32</v>
      </c>
      <c r="Z170" s="7">
        <f t="shared" ca="1" si="105"/>
        <v>0.66629362893434507</v>
      </c>
      <c r="AA170" s="28" t="str">
        <f t="shared" si="104"/>
        <v>HJH</v>
      </c>
      <c r="AB170" s="28"/>
      <c r="AC170" s="12"/>
      <c r="AD170" s="12"/>
    </row>
    <row r="171" spans="1:30" x14ac:dyDescent="0.25">
      <c r="A171" s="5" t="s">
        <v>22</v>
      </c>
      <c r="B171" s="5" t="s">
        <v>49</v>
      </c>
      <c r="C171" s="5" t="s">
        <v>129</v>
      </c>
      <c r="D171" s="6">
        <f t="shared" ca="1" si="99"/>
        <v>0</v>
      </c>
      <c r="E171" s="6" t="str">
        <f t="shared" ca="1" si="100"/>
        <v>-</v>
      </c>
      <c r="F171" s="6">
        <f t="shared" ca="1" si="95"/>
        <v>0</v>
      </c>
      <c r="G171" s="6">
        <f t="shared" ca="1" si="95"/>
        <v>171.11111111111111</v>
      </c>
      <c r="H171" s="6">
        <f t="shared" ca="1" si="101"/>
        <v>74.428409090909042</v>
      </c>
      <c r="I171" s="6">
        <f t="shared" ca="1" si="96"/>
        <v>12735.52777777777</v>
      </c>
      <c r="J171" s="6">
        <f t="shared" ca="1" si="96"/>
        <v>94</v>
      </c>
      <c r="K171" s="6">
        <f t="shared" ca="1" si="102"/>
        <v>63.24414893617022</v>
      </c>
      <c r="L171" s="6">
        <f t="shared" ca="1" si="97"/>
        <v>5944.9500000000007</v>
      </c>
      <c r="M171" s="6" t="str">
        <f t="shared" ca="1" si="97"/>
        <v>-</v>
      </c>
      <c r="N171" s="6" t="str">
        <f t="shared" ca="1" si="103"/>
        <v>-</v>
      </c>
      <c r="O171" s="6" t="str">
        <f t="shared" ca="1" si="105"/>
        <v>-</v>
      </c>
      <c r="P171" s="6" t="str">
        <f t="shared" ca="1" si="105"/>
        <v>-</v>
      </c>
      <c r="Q171" s="6" t="str">
        <f t="shared" ca="1" si="105"/>
        <v>-</v>
      </c>
      <c r="R171" s="6" t="str">
        <f t="shared" ca="1" si="105"/>
        <v>-</v>
      </c>
      <c r="S171" s="6" t="str">
        <f t="shared" ca="1" si="105"/>
        <v>-</v>
      </c>
      <c r="T171" s="6" t="str">
        <f t="shared" ca="1" si="105"/>
        <v>-</v>
      </c>
      <c r="U171" s="7" t="str">
        <f t="shared" ca="1" si="105"/>
        <v>-</v>
      </c>
      <c r="V171" s="7" t="str">
        <f t="shared" ca="1" si="105"/>
        <v>-</v>
      </c>
      <c r="W171" s="7" t="str">
        <f t="shared" ca="1" si="105"/>
        <v>-</v>
      </c>
      <c r="X171" s="7" t="str">
        <f t="shared" ca="1" si="105"/>
        <v>-</v>
      </c>
      <c r="Y171" s="7">
        <f t="shared" ca="1" si="105"/>
        <v>-0.45064935064935063</v>
      </c>
      <c r="Z171" s="7">
        <f t="shared" ca="1" si="105"/>
        <v>-0.53319955766785354</v>
      </c>
      <c r="AA171" s="28" t="str">
        <f t="shared" si="104"/>
        <v>HJH</v>
      </c>
      <c r="AB171" s="28"/>
      <c r="AC171" s="12"/>
      <c r="AD171" s="12"/>
    </row>
    <row r="172" spans="1:30" x14ac:dyDescent="0.25">
      <c r="A172" s="5" t="s">
        <v>22</v>
      </c>
      <c r="B172" s="5" t="s">
        <v>49</v>
      </c>
      <c r="C172" s="5" t="s">
        <v>130</v>
      </c>
      <c r="D172" s="6">
        <f t="shared" ca="1" si="99"/>
        <v>10</v>
      </c>
      <c r="E172" s="6">
        <f t="shared" ca="1" si="100"/>
        <v>558.6</v>
      </c>
      <c r="F172" s="6">
        <f t="shared" ca="1" si="95"/>
        <v>5586</v>
      </c>
      <c r="G172" s="6">
        <f t="shared" ca="1" si="95"/>
        <v>65.555555555555557</v>
      </c>
      <c r="H172" s="6">
        <f t="shared" ca="1" si="101"/>
        <v>558.55338983050865</v>
      </c>
      <c r="I172" s="6">
        <f t="shared" ca="1" si="96"/>
        <v>36616.277777777788</v>
      </c>
      <c r="J172" s="6">
        <f t="shared" ca="1" si="96"/>
        <v>33</v>
      </c>
      <c r="K172" s="6">
        <f t="shared" ca="1" si="102"/>
        <v>355.49303030303031</v>
      </c>
      <c r="L172" s="6">
        <f t="shared" ca="1" si="97"/>
        <v>11731.27</v>
      </c>
      <c r="M172" s="6" t="str">
        <f t="shared" ca="1" si="97"/>
        <v>-</v>
      </c>
      <c r="N172" s="6" t="str">
        <f t="shared" ca="1" si="103"/>
        <v>-</v>
      </c>
      <c r="O172" s="6" t="str">
        <f t="shared" ca="1" si="105"/>
        <v>-</v>
      </c>
      <c r="P172" s="6" t="str">
        <f t="shared" ca="1" si="105"/>
        <v>-</v>
      </c>
      <c r="Q172" s="6" t="str">
        <f t="shared" ca="1" si="105"/>
        <v>-</v>
      </c>
      <c r="R172" s="6" t="str">
        <f t="shared" ca="1" si="105"/>
        <v>-</v>
      </c>
      <c r="S172" s="6" t="str">
        <f t="shared" ca="1" si="105"/>
        <v>-</v>
      </c>
      <c r="T172" s="6" t="str">
        <f t="shared" ca="1" si="105"/>
        <v>-</v>
      </c>
      <c r="U172" s="7" t="str">
        <f t="shared" ca="1" si="105"/>
        <v>-</v>
      </c>
      <c r="V172" s="7" t="str">
        <f t="shared" ca="1" si="105"/>
        <v>-</v>
      </c>
      <c r="W172" s="7">
        <f t="shared" ca="1" si="105"/>
        <v>2.2999999999999998</v>
      </c>
      <c r="X172" s="7">
        <f t="shared" ca="1" si="105"/>
        <v>1.1001199427139277</v>
      </c>
      <c r="Y172" s="7">
        <f t="shared" ca="1" si="105"/>
        <v>-0.49661016949152542</v>
      </c>
      <c r="Z172" s="7">
        <f t="shared" ca="1" si="105"/>
        <v>-0.6796159874251434</v>
      </c>
      <c r="AA172" s="28" t="str">
        <f t="shared" si="104"/>
        <v>HJH</v>
      </c>
      <c r="AB172" s="28"/>
      <c r="AC172" s="12"/>
      <c r="AD172" s="12"/>
    </row>
    <row r="173" spans="1:30" x14ac:dyDescent="0.25">
      <c r="A173" s="5" t="s">
        <v>22</v>
      </c>
      <c r="B173" s="5" t="s">
        <v>49</v>
      </c>
      <c r="C173" s="5" t="s">
        <v>131</v>
      </c>
      <c r="D173" s="6">
        <f t="shared" ca="1" si="99"/>
        <v>3</v>
      </c>
      <c r="E173" s="6">
        <f t="shared" ca="1" si="100"/>
        <v>311.66666666666669</v>
      </c>
      <c r="F173" s="6">
        <f t="shared" ca="1" si="95"/>
        <v>935</v>
      </c>
      <c r="G173" s="6">
        <f t="shared" ca="1" si="95"/>
        <v>2.7777777777777777</v>
      </c>
      <c r="H173" s="6">
        <f t="shared" ca="1" si="101"/>
        <v>449.92</v>
      </c>
      <c r="I173" s="6">
        <f t="shared" ca="1" si="96"/>
        <v>1249.7777777777778</v>
      </c>
      <c r="J173" s="6">
        <f t="shared" ca="1" si="96"/>
        <v>8</v>
      </c>
      <c r="K173" s="6">
        <f t="shared" ca="1" si="102"/>
        <v>280.69875000000002</v>
      </c>
      <c r="L173" s="6">
        <f t="shared" ca="1" si="97"/>
        <v>2245.59</v>
      </c>
      <c r="M173" s="6" t="str">
        <f t="shared" ca="1" si="97"/>
        <v>-</v>
      </c>
      <c r="N173" s="6" t="str">
        <f t="shared" ca="1" si="103"/>
        <v>-</v>
      </c>
      <c r="O173" s="6" t="str">
        <f t="shared" ca="1" si="105"/>
        <v>-</v>
      </c>
      <c r="P173" s="6" t="str">
        <f t="shared" ca="1" si="105"/>
        <v>-</v>
      </c>
      <c r="Q173" s="6" t="str">
        <f t="shared" ca="1" si="105"/>
        <v>-</v>
      </c>
      <c r="R173" s="6" t="str">
        <f t="shared" ca="1" si="105"/>
        <v>-</v>
      </c>
      <c r="S173" s="6" t="str">
        <f t="shared" ca="1" si="105"/>
        <v>-</v>
      </c>
      <c r="T173" s="6" t="str">
        <f t="shared" ca="1" si="105"/>
        <v>-</v>
      </c>
      <c r="U173" s="7" t="str">
        <f t="shared" ca="1" si="105"/>
        <v>-</v>
      </c>
      <c r="V173" s="7" t="str">
        <f t="shared" ca="1" si="105"/>
        <v>-</v>
      </c>
      <c r="W173" s="7">
        <f t="shared" ca="1" si="105"/>
        <v>1.6666666666666667</v>
      </c>
      <c r="X173" s="7">
        <f t="shared" ca="1" si="105"/>
        <v>1.4017005347593585</v>
      </c>
      <c r="Y173" s="7">
        <f t="shared" ca="1" si="105"/>
        <v>1.8800000000000001</v>
      </c>
      <c r="Z173" s="7">
        <f t="shared" ca="1" si="105"/>
        <v>0.79679142958748228</v>
      </c>
      <c r="AA173" s="28" t="str">
        <f t="shared" si="104"/>
        <v>HJH</v>
      </c>
      <c r="AB173" s="28"/>
      <c r="AC173" s="12"/>
      <c r="AD173" s="12"/>
    </row>
    <row r="174" spans="1:30" x14ac:dyDescent="0.25">
      <c r="A174" s="5" t="s">
        <v>22</v>
      </c>
      <c r="B174" s="5" t="s">
        <v>49</v>
      </c>
      <c r="C174" s="5" t="s">
        <v>132</v>
      </c>
      <c r="D174" s="6">
        <f t="shared" ca="1" si="99"/>
        <v>5</v>
      </c>
      <c r="E174" s="6">
        <f t="shared" ca="1" si="100"/>
        <v>458.6</v>
      </c>
      <c r="F174" s="6">
        <f t="shared" ca="1" si="95"/>
        <v>2293</v>
      </c>
      <c r="G174" s="6">
        <f t="shared" ca="1" si="95"/>
        <v>3.3333333333333335</v>
      </c>
      <c r="H174" s="6">
        <f t="shared" ca="1" si="101"/>
        <v>478.98166666666674</v>
      </c>
      <c r="I174" s="6">
        <f t="shared" ca="1" si="96"/>
        <v>1596.6055555555558</v>
      </c>
      <c r="J174" s="6">
        <f t="shared" ca="1" si="96"/>
        <v>8</v>
      </c>
      <c r="K174" s="6">
        <f t="shared" ca="1" si="102"/>
        <v>447.33875</v>
      </c>
      <c r="L174" s="6">
        <f t="shared" ca="1" si="97"/>
        <v>3578.71</v>
      </c>
      <c r="M174" s="6" t="str">
        <f t="shared" ca="1" si="97"/>
        <v>-</v>
      </c>
      <c r="N174" s="6" t="str">
        <f t="shared" ca="1" si="103"/>
        <v>-</v>
      </c>
      <c r="O174" s="6" t="str">
        <f t="shared" ca="1" si="105"/>
        <v>-</v>
      </c>
      <c r="P174" s="6" t="str">
        <f t="shared" ca="1" si="105"/>
        <v>-</v>
      </c>
      <c r="Q174" s="6" t="str">
        <f t="shared" ca="1" si="105"/>
        <v>-</v>
      </c>
      <c r="R174" s="6" t="str">
        <f t="shared" ca="1" si="105"/>
        <v>-</v>
      </c>
      <c r="S174" s="6" t="str">
        <f t="shared" ca="1" si="105"/>
        <v>-</v>
      </c>
      <c r="T174" s="6" t="str">
        <f t="shared" ca="1" si="105"/>
        <v>-</v>
      </c>
      <c r="U174" s="7" t="str">
        <f t="shared" ca="1" si="105"/>
        <v>-</v>
      </c>
      <c r="V174" s="7" t="str">
        <f t="shared" ca="1" si="105"/>
        <v>-</v>
      </c>
      <c r="W174" s="7">
        <f t="shared" ca="1" si="105"/>
        <v>0.6</v>
      </c>
      <c r="X174" s="7">
        <f t="shared" ca="1" si="105"/>
        <v>0.56071085913650243</v>
      </c>
      <c r="Y174" s="7">
        <f t="shared" ca="1" si="105"/>
        <v>1.3999999999999997</v>
      </c>
      <c r="Z174" s="7">
        <f t="shared" ca="1" si="105"/>
        <v>1.2414490464144414</v>
      </c>
      <c r="AA174" s="28" t="str">
        <f t="shared" si="104"/>
        <v>HJH</v>
      </c>
      <c r="AB174" s="28"/>
      <c r="AC174" s="12"/>
      <c r="AD174" s="12"/>
    </row>
    <row r="175" spans="1:30" x14ac:dyDescent="0.25">
      <c r="A175" s="5" t="s">
        <v>22</v>
      </c>
      <c r="B175" s="5" t="s">
        <v>49</v>
      </c>
      <c r="C175" s="5" t="s">
        <v>133</v>
      </c>
      <c r="D175" s="6">
        <f t="shared" ca="1" si="99"/>
        <v>6</v>
      </c>
      <c r="E175" s="6">
        <f t="shared" ca="1" si="100"/>
        <v>346.16666666666669</v>
      </c>
      <c r="F175" s="6">
        <f t="shared" ca="1" si="95"/>
        <v>2077</v>
      </c>
      <c r="G175" s="6">
        <f t="shared" ca="1" si="95"/>
        <v>8.3333333333333339</v>
      </c>
      <c r="H175" s="6">
        <f t="shared" ca="1" si="101"/>
        <v>461.81200000000001</v>
      </c>
      <c r="I175" s="6">
        <f t="shared" ca="1" si="96"/>
        <v>3848.4333333333338</v>
      </c>
      <c r="J175" s="6">
        <f t="shared" ca="1" si="96"/>
        <v>13</v>
      </c>
      <c r="K175" s="6">
        <f t="shared" ca="1" si="102"/>
        <v>288.88538461538462</v>
      </c>
      <c r="L175" s="6">
        <f t="shared" ca="1" si="97"/>
        <v>3755.5099999999998</v>
      </c>
      <c r="M175" s="6" t="str">
        <f t="shared" ca="1" si="97"/>
        <v>-</v>
      </c>
      <c r="N175" s="6" t="str">
        <f t="shared" ca="1" si="103"/>
        <v>-</v>
      </c>
      <c r="O175" s="6" t="str">
        <f t="shared" ca="1" si="105"/>
        <v>-</v>
      </c>
      <c r="P175" s="6" t="str">
        <f t="shared" ca="1" si="105"/>
        <v>-</v>
      </c>
      <c r="Q175" s="6" t="str">
        <f t="shared" ca="1" si="105"/>
        <v>-</v>
      </c>
      <c r="R175" s="6" t="str">
        <f t="shared" ca="1" si="105"/>
        <v>-</v>
      </c>
      <c r="S175" s="6" t="str">
        <f t="shared" ca="1" si="105"/>
        <v>-</v>
      </c>
      <c r="T175" s="6" t="str">
        <f t="shared" ca="1" si="105"/>
        <v>-</v>
      </c>
      <c r="U175" s="7" t="str">
        <f t="shared" ca="1" si="105"/>
        <v>-</v>
      </c>
      <c r="V175" s="7" t="str">
        <f t="shared" ca="1" si="105"/>
        <v>-</v>
      </c>
      <c r="W175" s="7">
        <f t="shared" ca="1" si="105"/>
        <v>1.1666666666666667</v>
      </c>
      <c r="X175" s="7">
        <f t="shared" ca="1" si="105"/>
        <v>0.80814155031295121</v>
      </c>
      <c r="Y175" s="7">
        <f t="shared" ca="1" si="105"/>
        <v>0.55999999999999994</v>
      </c>
      <c r="Z175" s="7">
        <f t="shared" ca="1" si="105"/>
        <v>-2.4145756281777193E-2</v>
      </c>
      <c r="AA175" s="28" t="str">
        <f t="shared" si="104"/>
        <v>HJH</v>
      </c>
      <c r="AB175" s="28"/>
      <c r="AC175" s="12"/>
      <c r="AD175" s="12"/>
    </row>
    <row r="176" spans="1:30" x14ac:dyDescent="0.25">
      <c r="A176" s="5" t="s">
        <v>22</v>
      </c>
      <c r="B176" s="5" t="s">
        <v>49</v>
      </c>
      <c r="C176" s="5" t="s">
        <v>134</v>
      </c>
      <c r="D176" s="6">
        <f t="shared" ca="1" si="99"/>
        <v>16</v>
      </c>
      <c r="E176" s="6">
        <f t="shared" ca="1" si="100"/>
        <v>677.75</v>
      </c>
      <c r="F176" s="6">
        <f t="shared" ref="F176:G195" ca="1" si="106">IFERROR(VLOOKUP($C176,INDIRECT("'"&amp;$AA176&amp;"-"&amp;$C$1&amp;"'!$C:$AH"),F$30,0),0)</f>
        <v>10844</v>
      </c>
      <c r="G176" s="6">
        <f t="shared" ca="1" si="106"/>
        <v>15</v>
      </c>
      <c r="H176" s="6">
        <f t="shared" ca="1" si="101"/>
        <v>787.04814814814813</v>
      </c>
      <c r="I176" s="6">
        <f t="shared" ref="I176:J195" ca="1" si="107">IFERROR(VLOOKUP($C176,INDIRECT("'"&amp;$AA176&amp;"-"&amp;$C$1&amp;"'!$C:$AH"),I$30,0),0)</f>
        <v>11805.722222222223</v>
      </c>
      <c r="J176" s="6">
        <f t="shared" ca="1" si="107"/>
        <v>10</v>
      </c>
      <c r="K176" s="6">
        <f t="shared" ca="1" si="102"/>
        <v>507.97500000000002</v>
      </c>
      <c r="L176" s="6">
        <f t="shared" ref="L176:M195" ca="1" si="108">IFERROR(VLOOKUP($C176,INDIRECT("'"&amp;$AA176&amp;"-"&amp;$C$1&amp;"'!$C:$AH"),L$30,0),0)</f>
        <v>5079.75</v>
      </c>
      <c r="M176" s="6" t="str">
        <f t="shared" ca="1" si="108"/>
        <v>-</v>
      </c>
      <c r="N176" s="6" t="str">
        <f t="shared" ca="1" si="103"/>
        <v>-</v>
      </c>
      <c r="O176" s="6" t="str">
        <f t="shared" ref="O176:Z185" ca="1" si="109">IFERROR(VLOOKUP($C176,INDIRECT("'"&amp;$AA176&amp;"-"&amp;$C$1&amp;"'!$C:$AH"),O$30,0),0)</f>
        <v>-</v>
      </c>
      <c r="P176" s="6" t="str">
        <f t="shared" ca="1" si="109"/>
        <v>-</v>
      </c>
      <c r="Q176" s="6" t="str">
        <f t="shared" ca="1" si="109"/>
        <v>-</v>
      </c>
      <c r="R176" s="6" t="str">
        <f t="shared" ca="1" si="109"/>
        <v>-</v>
      </c>
      <c r="S176" s="6" t="str">
        <f t="shared" ca="1" si="109"/>
        <v>-</v>
      </c>
      <c r="T176" s="6" t="str">
        <f t="shared" ca="1" si="109"/>
        <v>-</v>
      </c>
      <c r="U176" s="7" t="str">
        <f t="shared" ca="1" si="109"/>
        <v>-</v>
      </c>
      <c r="V176" s="7" t="str">
        <f t="shared" ca="1" si="109"/>
        <v>-</v>
      </c>
      <c r="W176" s="7">
        <f t="shared" ca="1" si="109"/>
        <v>-0.375</v>
      </c>
      <c r="X176" s="7">
        <f t="shared" ca="1" si="109"/>
        <v>-0.53156123201770566</v>
      </c>
      <c r="Y176" s="7">
        <f t="shared" ca="1" si="109"/>
        <v>-0.33333333333333331</v>
      </c>
      <c r="Z176" s="7">
        <f t="shared" ca="1" si="109"/>
        <v>-0.56972136863950162</v>
      </c>
      <c r="AA176" s="28" t="str">
        <f t="shared" si="104"/>
        <v>HJH</v>
      </c>
      <c r="AB176" s="28"/>
      <c r="AC176" s="12"/>
      <c r="AD176" s="12"/>
    </row>
    <row r="177" spans="1:30" x14ac:dyDescent="0.25">
      <c r="A177" s="5" t="s">
        <v>22</v>
      </c>
      <c r="B177" s="5" t="s">
        <v>49</v>
      </c>
      <c r="C177" s="5" t="s">
        <v>135</v>
      </c>
      <c r="D177" s="6">
        <f t="shared" ca="1" si="99"/>
        <v>43</v>
      </c>
      <c r="E177" s="6">
        <f t="shared" ca="1" si="100"/>
        <v>281.25581395348837</v>
      </c>
      <c r="F177" s="6">
        <f t="shared" ca="1" si="106"/>
        <v>12094</v>
      </c>
      <c r="G177" s="6">
        <f t="shared" ca="1" si="106"/>
        <v>2.2222222222222223</v>
      </c>
      <c r="H177" s="6">
        <f t="shared" ca="1" si="101"/>
        <v>213.745</v>
      </c>
      <c r="I177" s="6">
        <f t="shared" ca="1" si="107"/>
        <v>474.98888888888894</v>
      </c>
      <c r="J177" s="6">
        <f t="shared" ca="1" si="107"/>
        <v>80</v>
      </c>
      <c r="K177" s="6">
        <f t="shared" ca="1" si="102"/>
        <v>377.93962499999998</v>
      </c>
      <c r="L177" s="6">
        <f t="shared" ca="1" si="108"/>
        <v>30235.17</v>
      </c>
      <c r="M177" s="6" t="str">
        <f t="shared" ca="1" si="108"/>
        <v>-</v>
      </c>
      <c r="N177" s="6" t="str">
        <f t="shared" ca="1" si="103"/>
        <v>-</v>
      </c>
      <c r="O177" s="6" t="str">
        <f t="shared" ca="1" si="109"/>
        <v>-</v>
      </c>
      <c r="P177" s="6" t="str">
        <f t="shared" ca="1" si="109"/>
        <v>-</v>
      </c>
      <c r="Q177" s="6" t="str">
        <f t="shared" ca="1" si="109"/>
        <v>-</v>
      </c>
      <c r="R177" s="6" t="str">
        <f t="shared" ca="1" si="109"/>
        <v>-</v>
      </c>
      <c r="S177" s="6" t="str">
        <f t="shared" ca="1" si="109"/>
        <v>-</v>
      </c>
      <c r="T177" s="6" t="str">
        <f t="shared" ca="1" si="109"/>
        <v>-</v>
      </c>
      <c r="U177" s="7" t="str">
        <f t="shared" ca="1" si="109"/>
        <v>-</v>
      </c>
      <c r="V177" s="7" t="str">
        <f t="shared" ca="1" si="109"/>
        <v>-</v>
      </c>
      <c r="W177" s="7">
        <f t="shared" ca="1" si="109"/>
        <v>0.86046511627906974</v>
      </c>
      <c r="X177" s="7">
        <f t="shared" ca="1" si="109"/>
        <v>1.5000140565569702</v>
      </c>
      <c r="Y177" s="7">
        <f t="shared" ca="1" si="109"/>
        <v>34.999999999999993</v>
      </c>
      <c r="Z177" s="7">
        <f t="shared" ca="1" si="109"/>
        <v>62.654478467332559</v>
      </c>
      <c r="AA177" s="28" t="str">
        <f t="shared" si="104"/>
        <v>HJH</v>
      </c>
      <c r="AB177" s="28"/>
      <c r="AC177" s="12"/>
      <c r="AD177" s="12"/>
    </row>
    <row r="178" spans="1:30" x14ac:dyDescent="0.25">
      <c r="A178" s="5" t="s">
        <v>22</v>
      </c>
      <c r="B178" s="5" t="s">
        <v>49</v>
      </c>
      <c r="C178" s="5" t="s">
        <v>136</v>
      </c>
      <c r="D178" s="6">
        <f t="shared" ca="1" si="99"/>
        <v>0</v>
      </c>
      <c r="E178" s="6" t="str">
        <f t="shared" ca="1" si="100"/>
        <v>-</v>
      </c>
      <c r="F178" s="6">
        <f t="shared" ca="1" si="106"/>
        <v>0</v>
      </c>
      <c r="G178" s="6">
        <f t="shared" ca="1" si="106"/>
        <v>26.666666666666668</v>
      </c>
      <c r="H178" s="6">
        <f t="shared" ca="1" si="101"/>
        <v>332.49104166666672</v>
      </c>
      <c r="I178" s="6">
        <f t="shared" ca="1" si="107"/>
        <v>8866.4277777777788</v>
      </c>
      <c r="J178" s="6">
        <f t="shared" ca="1" si="107"/>
        <v>71</v>
      </c>
      <c r="K178" s="6">
        <f t="shared" ca="1" si="102"/>
        <v>349.5761971830986</v>
      </c>
      <c r="L178" s="6">
        <f t="shared" ca="1" si="108"/>
        <v>24819.91</v>
      </c>
      <c r="M178" s="6" t="str">
        <f t="shared" ca="1" si="108"/>
        <v>-</v>
      </c>
      <c r="N178" s="6" t="str">
        <f t="shared" ca="1" si="103"/>
        <v>-</v>
      </c>
      <c r="O178" s="6" t="str">
        <f t="shared" ca="1" si="109"/>
        <v>-</v>
      </c>
      <c r="P178" s="6" t="str">
        <f t="shared" ca="1" si="109"/>
        <v>-</v>
      </c>
      <c r="Q178" s="6" t="str">
        <f t="shared" ca="1" si="109"/>
        <v>-</v>
      </c>
      <c r="R178" s="6" t="str">
        <f t="shared" ca="1" si="109"/>
        <v>-</v>
      </c>
      <c r="S178" s="6" t="str">
        <f t="shared" ca="1" si="109"/>
        <v>-</v>
      </c>
      <c r="T178" s="6" t="str">
        <f t="shared" ca="1" si="109"/>
        <v>-</v>
      </c>
      <c r="U178" s="7" t="str">
        <f t="shared" ca="1" si="109"/>
        <v>-</v>
      </c>
      <c r="V178" s="7" t="str">
        <f t="shared" ca="1" si="109"/>
        <v>-</v>
      </c>
      <c r="W178" s="7" t="str">
        <f t="shared" ca="1" si="109"/>
        <v>-</v>
      </c>
      <c r="X178" s="7" t="str">
        <f t="shared" ca="1" si="109"/>
        <v>-</v>
      </c>
      <c r="Y178" s="7">
        <f t="shared" ca="1" si="109"/>
        <v>1.6624999999999996</v>
      </c>
      <c r="Z178" s="7">
        <f t="shared" ca="1" si="109"/>
        <v>1.7993133900224125</v>
      </c>
      <c r="AA178" s="28" t="str">
        <f t="shared" si="104"/>
        <v>HJH</v>
      </c>
      <c r="AB178" s="28"/>
      <c r="AC178" s="12"/>
      <c r="AD178" s="12"/>
    </row>
    <row r="179" spans="1:30" x14ac:dyDescent="0.25">
      <c r="A179" s="5" t="s">
        <v>22</v>
      </c>
      <c r="B179" s="5" t="s">
        <v>49</v>
      </c>
      <c r="C179" s="5" t="s">
        <v>137</v>
      </c>
      <c r="D179" s="6">
        <f t="shared" ca="1" si="99"/>
        <v>35</v>
      </c>
      <c r="E179" s="6">
        <f t="shared" ca="1" si="100"/>
        <v>341.31428571428569</v>
      </c>
      <c r="F179" s="6">
        <f t="shared" ca="1" si="106"/>
        <v>11946</v>
      </c>
      <c r="G179" s="6">
        <f t="shared" ca="1" si="106"/>
        <v>26.666666666666668</v>
      </c>
      <c r="H179" s="6">
        <f t="shared" ca="1" si="101"/>
        <v>286.74604166666666</v>
      </c>
      <c r="I179" s="6">
        <f t="shared" ca="1" si="107"/>
        <v>7646.5611111111111</v>
      </c>
      <c r="J179" s="6">
        <f t="shared" ca="1" si="107"/>
        <v>74</v>
      </c>
      <c r="K179" s="6">
        <f t="shared" ca="1" si="102"/>
        <v>341.35567567567563</v>
      </c>
      <c r="L179" s="6">
        <f t="shared" ca="1" si="108"/>
        <v>25260.319999999996</v>
      </c>
      <c r="M179" s="6" t="str">
        <f t="shared" ca="1" si="108"/>
        <v>-</v>
      </c>
      <c r="N179" s="6" t="str">
        <f t="shared" ca="1" si="103"/>
        <v>-</v>
      </c>
      <c r="O179" s="6" t="str">
        <f t="shared" ca="1" si="109"/>
        <v>-</v>
      </c>
      <c r="P179" s="6" t="str">
        <f t="shared" ca="1" si="109"/>
        <v>-</v>
      </c>
      <c r="Q179" s="6" t="str">
        <f t="shared" ca="1" si="109"/>
        <v>-</v>
      </c>
      <c r="R179" s="6" t="str">
        <f t="shared" ca="1" si="109"/>
        <v>-</v>
      </c>
      <c r="S179" s="6" t="str">
        <f t="shared" ca="1" si="109"/>
        <v>-</v>
      </c>
      <c r="T179" s="6" t="str">
        <f t="shared" ca="1" si="109"/>
        <v>-</v>
      </c>
      <c r="U179" s="7" t="str">
        <f t="shared" ca="1" si="109"/>
        <v>-</v>
      </c>
      <c r="V179" s="7" t="str">
        <f t="shared" ca="1" si="109"/>
        <v>-</v>
      </c>
      <c r="W179" s="7">
        <f t="shared" ca="1" si="109"/>
        <v>1.1142857142857143</v>
      </c>
      <c r="X179" s="7">
        <f t="shared" ca="1" si="109"/>
        <v>1.1145421061443157</v>
      </c>
      <c r="Y179" s="7">
        <f t="shared" ca="1" si="109"/>
        <v>1.7749999999999997</v>
      </c>
      <c r="Z179" s="7">
        <f t="shared" ca="1" si="109"/>
        <v>2.3034876244295726</v>
      </c>
      <c r="AA179" s="28" t="str">
        <f t="shared" si="104"/>
        <v>HJH</v>
      </c>
      <c r="AB179" s="28"/>
      <c r="AC179" s="12"/>
      <c r="AD179" s="12"/>
    </row>
    <row r="180" spans="1:30" x14ac:dyDescent="0.25">
      <c r="A180" s="5" t="s">
        <v>22</v>
      </c>
      <c r="B180" s="5" t="s">
        <v>49</v>
      </c>
      <c r="C180" s="5" t="s">
        <v>138</v>
      </c>
      <c r="D180" s="6">
        <f t="shared" ca="1" si="99"/>
        <v>7</v>
      </c>
      <c r="E180" s="6">
        <f t="shared" ca="1" si="100"/>
        <v>383.28571428571428</v>
      </c>
      <c r="F180" s="6">
        <f t="shared" ca="1" si="106"/>
        <v>2683</v>
      </c>
      <c r="G180" s="6">
        <f t="shared" ca="1" si="106"/>
        <v>26.111111111111111</v>
      </c>
      <c r="H180" s="6">
        <f t="shared" ca="1" si="101"/>
        <v>401.30127659574487</v>
      </c>
      <c r="I180" s="6">
        <f t="shared" ca="1" si="107"/>
        <v>10478.422222222227</v>
      </c>
      <c r="J180" s="6">
        <f t="shared" ca="1" si="107"/>
        <v>43</v>
      </c>
      <c r="K180" s="6">
        <f t="shared" ca="1" si="102"/>
        <v>423.95627906976739</v>
      </c>
      <c r="L180" s="6">
        <f t="shared" ca="1" si="108"/>
        <v>18230.12</v>
      </c>
      <c r="M180" s="6" t="str">
        <f t="shared" ca="1" si="108"/>
        <v>-</v>
      </c>
      <c r="N180" s="6" t="str">
        <f t="shared" ca="1" si="103"/>
        <v>-</v>
      </c>
      <c r="O180" s="6" t="str">
        <f t="shared" ca="1" si="109"/>
        <v>-</v>
      </c>
      <c r="P180" s="6" t="str">
        <f t="shared" ca="1" si="109"/>
        <v>-</v>
      </c>
      <c r="Q180" s="6" t="str">
        <f t="shared" ca="1" si="109"/>
        <v>-</v>
      </c>
      <c r="R180" s="6" t="str">
        <f t="shared" ca="1" si="109"/>
        <v>-</v>
      </c>
      <c r="S180" s="6" t="str">
        <f t="shared" ca="1" si="109"/>
        <v>-</v>
      </c>
      <c r="T180" s="6" t="str">
        <f t="shared" ca="1" si="109"/>
        <v>-</v>
      </c>
      <c r="U180" s="7" t="str">
        <f t="shared" ca="1" si="109"/>
        <v>-</v>
      </c>
      <c r="V180" s="7" t="str">
        <f t="shared" ca="1" si="109"/>
        <v>-</v>
      </c>
      <c r="W180" s="7">
        <f t="shared" ca="1" si="109"/>
        <v>5.1428571428571432</v>
      </c>
      <c r="X180" s="7">
        <f t="shared" ca="1" si="109"/>
        <v>5.7946775997018261</v>
      </c>
      <c r="Y180" s="7">
        <f t="shared" ca="1" si="109"/>
        <v>0.64680851063829792</v>
      </c>
      <c r="Z180" s="7">
        <f t="shared" ca="1" si="109"/>
        <v>0.73977719291920452</v>
      </c>
      <c r="AA180" s="28" t="str">
        <f t="shared" si="104"/>
        <v>HJH</v>
      </c>
      <c r="AB180" s="28"/>
      <c r="AC180" s="12"/>
      <c r="AD180" s="12"/>
    </row>
    <row r="181" spans="1:30" x14ac:dyDescent="0.25">
      <c r="A181" s="5" t="s">
        <v>22</v>
      </c>
      <c r="B181" s="5" t="s">
        <v>49</v>
      </c>
      <c r="C181" s="5" t="s">
        <v>139</v>
      </c>
      <c r="D181" s="6">
        <f t="shared" ca="1" si="99"/>
        <v>0</v>
      </c>
      <c r="E181" s="6" t="str">
        <f t="shared" ca="1" si="100"/>
        <v>-</v>
      </c>
      <c r="F181" s="6">
        <f t="shared" ca="1" si="106"/>
        <v>12432</v>
      </c>
      <c r="G181" s="6">
        <f t="shared" ca="1" si="106"/>
        <v>0</v>
      </c>
      <c r="H181" s="6" t="str">
        <f t="shared" ca="1" si="101"/>
        <v>-</v>
      </c>
      <c r="I181" s="6">
        <f t="shared" ca="1" si="107"/>
        <v>2924.6388888888891</v>
      </c>
      <c r="J181" s="6">
        <f t="shared" ca="1" si="107"/>
        <v>0</v>
      </c>
      <c r="K181" s="6" t="str">
        <f t="shared" ca="1" si="102"/>
        <v>-</v>
      </c>
      <c r="L181" s="6">
        <f t="shared" ca="1" si="108"/>
        <v>9938.65</v>
      </c>
      <c r="M181" s="6" t="str">
        <f t="shared" ca="1" si="108"/>
        <v>-</v>
      </c>
      <c r="N181" s="6" t="str">
        <f t="shared" ca="1" si="103"/>
        <v>-</v>
      </c>
      <c r="O181" s="6" t="str">
        <f t="shared" ca="1" si="109"/>
        <v>-</v>
      </c>
      <c r="P181" s="6" t="str">
        <f t="shared" ca="1" si="109"/>
        <v>-</v>
      </c>
      <c r="Q181" s="6" t="str">
        <f t="shared" ca="1" si="109"/>
        <v>-</v>
      </c>
      <c r="R181" s="6" t="str">
        <f t="shared" ca="1" si="109"/>
        <v>-</v>
      </c>
      <c r="S181" s="6" t="str">
        <f t="shared" ca="1" si="109"/>
        <v>-</v>
      </c>
      <c r="T181" s="6" t="str">
        <f t="shared" ca="1" si="109"/>
        <v>-</v>
      </c>
      <c r="U181" s="7" t="str">
        <f t="shared" ca="1" si="109"/>
        <v>-</v>
      </c>
      <c r="V181" s="7" t="str">
        <f t="shared" ca="1" si="109"/>
        <v>-</v>
      </c>
      <c r="W181" s="7" t="str">
        <f t="shared" ca="1" si="109"/>
        <v>-</v>
      </c>
      <c r="X181" s="7">
        <f t="shared" ca="1" si="109"/>
        <v>-0.20055904118404122</v>
      </c>
      <c r="Y181" s="7" t="str">
        <f t="shared" ca="1" si="109"/>
        <v>-</v>
      </c>
      <c r="Z181" s="7">
        <f t="shared" ca="1" si="109"/>
        <v>2.3982485966928486</v>
      </c>
      <c r="AA181" s="28" t="str">
        <f t="shared" si="104"/>
        <v>HJH</v>
      </c>
      <c r="AB181" s="28"/>
      <c r="AC181" s="12"/>
      <c r="AD181" s="12"/>
    </row>
    <row r="182" spans="1:30" x14ac:dyDescent="0.25">
      <c r="A182" s="5" t="s">
        <v>22</v>
      </c>
      <c r="B182" s="5" t="s">
        <v>49</v>
      </c>
      <c r="C182" s="5" t="s">
        <v>140</v>
      </c>
      <c r="D182" s="6">
        <f t="shared" ca="1" si="99"/>
        <v>0</v>
      </c>
      <c r="E182" s="6" t="str">
        <f t="shared" ca="1" si="100"/>
        <v>-</v>
      </c>
      <c r="F182" s="6">
        <f t="shared" ca="1" si="106"/>
        <v>0</v>
      </c>
      <c r="G182" s="6">
        <f t="shared" ca="1" si="106"/>
        <v>0</v>
      </c>
      <c r="H182" s="6" t="str">
        <f t="shared" ca="1" si="101"/>
        <v>-</v>
      </c>
      <c r="I182" s="6">
        <f t="shared" ca="1" si="107"/>
        <v>0</v>
      </c>
      <c r="J182" s="6">
        <f t="shared" ca="1" si="107"/>
        <v>27</v>
      </c>
      <c r="K182" s="6">
        <f t="shared" ca="1" si="102"/>
        <v>588.58703703703702</v>
      </c>
      <c r="L182" s="6">
        <f t="shared" ca="1" si="108"/>
        <v>15891.849999999999</v>
      </c>
      <c r="M182" s="6" t="str">
        <f t="shared" ca="1" si="108"/>
        <v>-</v>
      </c>
      <c r="N182" s="6" t="str">
        <f t="shared" ca="1" si="103"/>
        <v>-</v>
      </c>
      <c r="O182" s="6" t="str">
        <f t="shared" ca="1" si="109"/>
        <v>-</v>
      </c>
      <c r="P182" s="6" t="str">
        <f t="shared" ca="1" si="109"/>
        <v>-</v>
      </c>
      <c r="Q182" s="6" t="str">
        <f t="shared" ca="1" si="109"/>
        <v>-</v>
      </c>
      <c r="R182" s="6" t="str">
        <f t="shared" ca="1" si="109"/>
        <v>-</v>
      </c>
      <c r="S182" s="6" t="str">
        <f t="shared" ca="1" si="109"/>
        <v>-</v>
      </c>
      <c r="T182" s="6" t="str">
        <f t="shared" ca="1" si="109"/>
        <v>-</v>
      </c>
      <c r="U182" s="7" t="str">
        <f t="shared" ca="1" si="109"/>
        <v>-</v>
      </c>
      <c r="V182" s="7" t="str">
        <f t="shared" ca="1" si="109"/>
        <v>-</v>
      </c>
      <c r="W182" s="7" t="str">
        <f t="shared" ca="1" si="109"/>
        <v>-</v>
      </c>
      <c r="X182" s="7" t="str">
        <f t="shared" ca="1" si="109"/>
        <v>-</v>
      </c>
      <c r="Y182" s="7" t="str">
        <f t="shared" ca="1" si="109"/>
        <v>-</v>
      </c>
      <c r="Z182" s="7" t="str">
        <f t="shared" ca="1" si="109"/>
        <v>-</v>
      </c>
      <c r="AA182" s="28" t="str">
        <f t="shared" si="104"/>
        <v>HJH</v>
      </c>
      <c r="AB182" s="28"/>
      <c r="AC182" s="12"/>
      <c r="AD182" s="12"/>
    </row>
    <row r="183" spans="1:30" x14ac:dyDescent="0.25">
      <c r="A183" s="5" t="s">
        <v>22</v>
      </c>
      <c r="B183" s="5" t="s">
        <v>49</v>
      </c>
      <c r="C183" s="5" t="s">
        <v>141</v>
      </c>
      <c r="D183" s="6">
        <f t="shared" ca="1" si="99"/>
        <v>13</v>
      </c>
      <c r="E183" s="6">
        <f t="shared" ca="1" si="100"/>
        <v>827.23076923076928</v>
      </c>
      <c r="F183" s="6">
        <f t="shared" ca="1" si="106"/>
        <v>10754</v>
      </c>
      <c r="G183" s="6">
        <f t="shared" ca="1" si="106"/>
        <v>18.333333333333336</v>
      </c>
      <c r="H183" s="6">
        <f t="shared" ca="1" si="101"/>
        <v>1186.0790909090908</v>
      </c>
      <c r="I183" s="6">
        <f t="shared" ca="1" si="107"/>
        <v>21744.783333333333</v>
      </c>
      <c r="J183" s="6">
        <f t="shared" ca="1" si="107"/>
        <v>23</v>
      </c>
      <c r="K183" s="6">
        <f t="shared" ca="1" si="102"/>
        <v>1750.5769565217392</v>
      </c>
      <c r="L183" s="6">
        <f t="shared" ca="1" si="108"/>
        <v>40263.270000000004</v>
      </c>
      <c r="M183" s="6" t="str">
        <f t="shared" ca="1" si="108"/>
        <v>-</v>
      </c>
      <c r="N183" s="6" t="str">
        <f t="shared" ca="1" si="103"/>
        <v>-</v>
      </c>
      <c r="O183" s="6" t="str">
        <f t="shared" ca="1" si="109"/>
        <v>-</v>
      </c>
      <c r="P183" s="6" t="str">
        <f t="shared" ca="1" si="109"/>
        <v>-</v>
      </c>
      <c r="Q183" s="6" t="str">
        <f t="shared" ca="1" si="109"/>
        <v>-</v>
      </c>
      <c r="R183" s="6" t="str">
        <f t="shared" ca="1" si="109"/>
        <v>-</v>
      </c>
      <c r="S183" s="6" t="str">
        <f t="shared" ca="1" si="109"/>
        <v>-</v>
      </c>
      <c r="T183" s="6" t="str">
        <f t="shared" ca="1" si="109"/>
        <v>-</v>
      </c>
      <c r="U183" s="7" t="str">
        <f t="shared" ca="1" si="109"/>
        <v>-</v>
      </c>
      <c r="V183" s="7" t="str">
        <f t="shared" ca="1" si="109"/>
        <v>-</v>
      </c>
      <c r="W183" s="7">
        <f t="shared" ca="1" si="109"/>
        <v>0.76923076923076927</v>
      </c>
      <c r="X183" s="7">
        <f t="shared" ca="1" si="109"/>
        <v>2.7440273386646834</v>
      </c>
      <c r="Y183" s="7">
        <f t="shared" ca="1" si="109"/>
        <v>0.25454545454545441</v>
      </c>
      <c r="Z183" s="7">
        <f t="shared" ca="1" si="109"/>
        <v>0.85162893475599921</v>
      </c>
      <c r="AA183" s="28" t="str">
        <f t="shared" si="104"/>
        <v>HJH</v>
      </c>
      <c r="AB183" s="28"/>
      <c r="AC183" s="12"/>
      <c r="AD183" s="12"/>
    </row>
    <row r="184" spans="1:30" x14ac:dyDescent="0.25">
      <c r="A184" s="5" t="s">
        <v>22</v>
      </c>
      <c r="B184" s="5" t="s">
        <v>49</v>
      </c>
      <c r="C184" s="5" t="s">
        <v>142</v>
      </c>
      <c r="D184" s="6">
        <f t="shared" ca="1" si="99"/>
        <v>9</v>
      </c>
      <c r="E184" s="6">
        <f t="shared" ca="1" si="100"/>
        <v>799.33333333333337</v>
      </c>
      <c r="F184" s="6">
        <f t="shared" ca="1" si="106"/>
        <v>7194</v>
      </c>
      <c r="G184" s="6">
        <f t="shared" ca="1" si="106"/>
        <v>17.222222222222221</v>
      </c>
      <c r="H184" s="6">
        <f t="shared" ca="1" si="101"/>
        <v>922.00419354838721</v>
      </c>
      <c r="I184" s="6">
        <f t="shared" ca="1" si="107"/>
        <v>15878.961111111112</v>
      </c>
      <c r="J184" s="6">
        <f t="shared" ca="1" si="107"/>
        <v>15</v>
      </c>
      <c r="K184" s="6">
        <f t="shared" ca="1" si="102"/>
        <v>905.13666666666677</v>
      </c>
      <c r="L184" s="6">
        <f t="shared" ca="1" si="108"/>
        <v>13577.050000000001</v>
      </c>
      <c r="M184" s="6" t="str">
        <f t="shared" ca="1" si="108"/>
        <v>-</v>
      </c>
      <c r="N184" s="6" t="str">
        <f t="shared" ca="1" si="103"/>
        <v>-</v>
      </c>
      <c r="O184" s="6" t="str">
        <f t="shared" ca="1" si="109"/>
        <v>-</v>
      </c>
      <c r="P184" s="6" t="str">
        <f t="shared" ca="1" si="109"/>
        <v>-</v>
      </c>
      <c r="Q184" s="6" t="str">
        <f t="shared" ca="1" si="109"/>
        <v>-</v>
      </c>
      <c r="R184" s="6" t="str">
        <f t="shared" ca="1" si="109"/>
        <v>-</v>
      </c>
      <c r="S184" s="6" t="str">
        <f t="shared" ca="1" si="109"/>
        <v>-</v>
      </c>
      <c r="T184" s="6" t="str">
        <f t="shared" ca="1" si="109"/>
        <v>-</v>
      </c>
      <c r="U184" s="7" t="str">
        <f t="shared" ca="1" si="109"/>
        <v>-</v>
      </c>
      <c r="V184" s="7" t="str">
        <f t="shared" ca="1" si="109"/>
        <v>-</v>
      </c>
      <c r="W184" s="7">
        <f t="shared" ca="1" si="109"/>
        <v>0.66666666666666663</v>
      </c>
      <c r="X184" s="7">
        <f t="shared" ca="1" si="109"/>
        <v>0.88727411731998906</v>
      </c>
      <c r="Y184" s="7">
        <f t="shared" ca="1" si="109"/>
        <v>-0.1290322580645161</v>
      </c>
      <c r="Z184" s="7">
        <f t="shared" ca="1" si="109"/>
        <v>-0.14496610294614148</v>
      </c>
      <c r="AA184" s="28" t="str">
        <f t="shared" si="104"/>
        <v>HJH</v>
      </c>
      <c r="AB184" s="28"/>
      <c r="AC184" s="12"/>
      <c r="AD184" s="12"/>
    </row>
    <row r="185" spans="1:30" x14ac:dyDescent="0.25">
      <c r="A185" s="5" t="s">
        <v>22</v>
      </c>
      <c r="B185" s="5" t="s">
        <v>49</v>
      </c>
      <c r="C185" s="5" t="s">
        <v>143</v>
      </c>
      <c r="D185" s="6">
        <f t="shared" ca="1" si="99"/>
        <v>0</v>
      </c>
      <c r="E185" s="6" t="str">
        <f t="shared" ca="1" si="100"/>
        <v>-</v>
      </c>
      <c r="F185" s="6">
        <f t="shared" ca="1" si="106"/>
        <v>29705</v>
      </c>
      <c r="G185" s="6">
        <f t="shared" ca="1" si="106"/>
        <v>0</v>
      </c>
      <c r="H185" s="6" t="str">
        <f t="shared" ca="1" si="101"/>
        <v>-</v>
      </c>
      <c r="I185" s="6">
        <f t="shared" ca="1" si="107"/>
        <v>63889.572222222181</v>
      </c>
      <c r="J185" s="6">
        <f t="shared" ca="1" si="107"/>
        <v>0</v>
      </c>
      <c r="K185" s="6" t="str">
        <f t="shared" ca="1" si="102"/>
        <v>-</v>
      </c>
      <c r="L185" s="6">
        <f t="shared" ca="1" si="108"/>
        <v>5003.6499999999996</v>
      </c>
      <c r="M185" s="6" t="str">
        <f t="shared" ca="1" si="108"/>
        <v>-</v>
      </c>
      <c r="N185" s="6" t="str">
        <f t="shared" ca="1" si="103"/>
        <v>-</v>
      </c>
      <c r="O185" s="6" t="str">
        <f t="shared" ca="1" si="109"/>
        <v>-</v>
      </c>
      <c r="P185" s="6" t="str">
        <f t="shared" ca="1" si="109"/>
        <v>-</v>
      </c>
      <c r="Q185" s="6" t="str">
        <f t="shared" ca="1" si="109"/>
        <v>-</v>
      </c>
      <c r="R185" s="6" t="str">
        <f t="shared" ca="1" si="109"/>
        <v>-</v>
      </c>
      <c r="S185" s="6" t="str">
        <f t="shared" ca="1" si="109"/>
        <v>-</v>
      </c>
      <c r="T185" s="6" t="str">
        <f t="shared" ca="1" si="109"/>
        <v>-</v>
      </c>
      <c r="U185" s="7" t="str">
        <f t="shared" ca="1" si="109"/>
        <v>-</v>
      </c>
      <c r="V185" s="7" t="str">
        <f t="shared" ca="1" si="109"/>
        <v>-</v>
      </c>
      <c r="W185" s="7" t="str">
        <f t="shared" ca="1" si="109"/>
        <v>-</v>
      </c>
      <c r="X185" s="7">
        <f t="shared" ca="1" si="109"/>
        <v>-0.83155529372159565</v>
      </c>
      <c r="Y185" s="7" t="str">
        <f t="shared" ca="1" si="109"/>
        <v>-</v>
      </c>
      <c r="Z185" s="7">
        <f t="shared" ca="1" si="109"/>
        <v>-0.92168283765312764</v>
      </c>
      <c r="AA185" s="28" t="str">
        <f t="shared" si="104"/>
        <v>HJH</v>
      </c>
      <c r="AB185" s="28"/>
      <c r="AC185" s="12"/>
      <c r="AD185" s="12"/>
    </row>
    <row r="186" spans="1:30" x14ac:dyDescent="0.25">
      <c r="A186" s="5" t="s">
        <v>22</v>
      </c>
      <c r="B186" s="5" t="s">
        <v>49</v>
      </c>
      <c r="C186" s="5" t="s">
        <v>341</v>
      </c>
      <c r="D186" s="6">
        <f t="shared" ca="1" si="99"/>
        <v>0</v>
      </c>
      <c r="E186" s="6" t="str">
        <f t="shared" ca="1" si="100"/>
        <v>-</v>
      </c>
      <c r="F186" s="6">
        <f t="shared" ca="1" si="106"/>
        <v>0</v>
      </c>
      <c r="G186" s="6">
        <f t="shared" ca="1" si="106"/>
        <v>0</v>
      </c>
      <c r="H186" s="6" t="str">
        <f t="shared" ca="1" si="101"/>
        <v>-</v>
      </c>
      <c r="I186" s="6">
        <f t="shared" ca="1" si="107"/>
        <v>0</v>
      </c>
      <c r="J186" s="6">
        <f t="shared" ca="1" si="107"/>
        <v>9</v>
      </c>
      <c r="K186" s="6">
        <f t="shared" ca="1" si="102"/>
        <v>182.53777777777779</v>
      </c>
      <c r="L186" s="6">
        <f t="shared" ca="1" si="108"/>
        <v>1642.8400000000001</v>
      </c>
      <c r="M186" s="6" t="str">
        <f t="shared" ca="1" si="108"/>
        <v>-</v>
      </c>
      <c r="N186" s="6" t="str">
        <f t="shared" ca="1" si="103"/>
        <v>-</v>
      </c>
      <c r="O186" s="6" t="str">
        <f t="shared" ref="O186:Z195" ca="1" si="110">IFERROR(VLOOKUP($C186,INDIRECT("'"&amp;$AA186&amp;"-"&amp;$C$1&amp;"'!$C:$AH"),O$30,0),0)</f>
        <v>-</v>
      </c>
      <c r="P186" s="6" t="str">
        <f t="shared" ca="1" si="110"/>
        <v>-</v>
      </c>
      <c r="Q186" s="6" t="str">
        <f t="shared" ca="1" si="110"/>
        <v>-</v>
      </c>
      <c r="R186" s="6" t="str">
        <f t="shared" ca="1" si="110"/>
        <v>-</v>
      </c>
      <c r="S186" s="6" t="str">
        <f t="shared" ca="1" si="110"/>
        <v>-</v>
      </c>
      <c r="T186" s="6" t="str">
        <f t="shared" ca="1" si="110"/>
        <v>-</v>
      </c>
      <c r="U186" s="7" t="str">
        <f t="shared" ca="1" si="110"/>
        <v>-</v>
      </c>
      <c r="V186" s="7" t="str">
        <f t="shared" ca="1" si="110"/>
        <v>-</v>
      </c>
      <c r="W186" s="7" t="str">
        <f t="shared" ca="1" si="110"/>
        <v>-</v>
      </c>
      <c r="X186" s="7" t="str">
        <f t="shared" ca="1" si="110"/>
        <v>-</v>
      </c>
      <c r="Y186" s="7" t="str">
        <f t="shared" ca="1" si="110"/>
        <v>-</v>
      </c>
      <c r="Z186" s="7" t="str">
        <f t="shared" ca="1" si="110"/>
        <v>-</v>
      </c>
      <c r="AA186" s="28" t="str">
        <f t="shared" si="104"/>
        <v>HJH</v>
      </c>
      <c r="AB186" s="28"/>
      <c r="AC186" s="12"/>
      <c r="AD186" s="12"/>
    </row>
    <row r="187" spans="1:30" x14ac:dyDescent="0.25">
      <c r="A187" s="5" t="s">
        <v>22</v>
      </c>
      <c r="B187" s="5" t="s">
        <v>49</v>
      </c>
      <c r="C187" s="5" t="s">
        <v>588</v>
      </c>
      <c r="D187" s="6">
        <f t="shared" ca="1" si="99"/>
        <v>0</v>
      </c>
      <c r="E187" s="6" t="str">
        <f t="shared" ca="1" si="100"/>
        <v>-</v>
      </c>
      <c r="F187" s="6">
        <f t="shared" ca="1" si="106"/>
        <v>0</v>
      </c>
      <c r="G187" s="6">
        <f t="shared" ca="1" si="106"/>
        <v>0</v>
      </c>
      <c r="H187" s="6" t="str">
        <f t="shared" ca="1" si="101"/>
        <v>-</v>
      </c>
      <c r="I187" s="6">
        <f t="shared" ca="1" si="107"/>
        <v>0</v>
      </c>
      <c r="J187" s="6">
        <f t="shared" ca="1" si="107"/>
        <v>17</v>
      </c>
      <c r="K187" s="6">
        <f t="shared" ca="1" si="102"/>
        <v>69.341176470588238</v>
      </c>
      <c r="L187" s="6">
        <f t="shared" ca="1" si="108"/>
        <v>1178.8</v>
      </c>
      <c r="M187" s="6" t="str">
        <f t="shared" ca="1" si="108"/>
        <v>-</v>
      </c>
      <c r="N187" s="6" t="str">
        <f t="shared" ca="1" si="103"/>
        <v>-</v>
      </c>
      <c r="O187" s="6" t="str">
        <f t="shared" ca="1" si="110"/>
        <v>-</v>
      </c>
      <c r="P187" s="6" t="str">
        <f t="shared" ca="1" si="110"/>
        <v>-</v>
      </c>
      <c r="Q187" s="6" t="str">
        <f t="shared" ca="1" si="110"/>
        <v>-</v>
      </c>
      <c r="R187" s="6" t="str">
        <f t="shared" ca="1" si="110"/>
        <v>-</v>
      </c>
      <c r="S187" s="6" t="str">
        <f t="shared" ca="1" si="110"/>
        <v>-</v>
      </c>
      <c r="T187" s="6" t="str">
        <f t="shared" ca="1" si="110"/>
        <v>-</v>
      </c>
      <c r="U187" s="7" t="str">
        <f t="shared" ca="1" si="110"/>
        <v>-</v>
      </c>
      <c r="V187" s="7" t="str">
        <f t="shared" ca="1" si="110"/>
        <v>-</v>
      </c>
      <c r="W187" s="7" t="str">
        <f t="shared" ca="1" si="110"/>
        <v>-</v>
      </c>
      <c r="X187" s="7" t="str">
        <f t="shared" ca="1" si="110"/>
        <v>-</v>
      </c>
      <c r="Y187" s="7" t="str">
        <f t="shared" ca="1" si="110"/>
        <v>-</v>
      </c>
      <c r="Z187" s="7" t="str">
        <f t="shared" ca="1" si="110"/>
        <v>-</v>
      </c>
      <c r="AA187" s="28" t="str">
        <f t="shared" si="104"/>
        <v>HJH</v>
      </c>
      <c r="AB187" s="28"/>
      <c r="AC187" s="12"/>
      <c r="AD187" s="12"/>
    </row>
    <row r="188" spans="1:30" x14ac:dyDescent="0.25">
      <c r="A188" s="5" t="s">
        <v>22</v>
      </c>
      <c r="B188" s="5" t="s">
        <v>49</v>
      </c>
      <c r="C188" s="5" t="s">
        <v>591</v>
      </c>
      <c r="D188" s="6">
        <f t="shared" ca="1" si="99"/>
        <v>18</v>
      </c>
      <c r="E188" s="6">
        <f t="shared" ca="1" si="100"/>
        <v>562.16666666666663</v>
      </c>
      <c r="F188" s="6">
        <f t="shared" ca="1" si="106"/>
        <v>10119</v>
      </c>
      <c r="G188" s="6">
        <f t="shared" ca="1" si="106"/>
        <v>29.444444444444446</v>
      </c>
      <c r="H188" s="6">
        <f t="shared" ca="1" si="101"/>
        <v>580.21301886792435</v>
      </c>
      <c r="I188" s="6">
        <f t="shared" ca="1" si="107"/>
        <v>17084.049999999996</v>
      </c>
      <c r="J188" s="6">
        <f t="shared" ca="1" si="107"/>
        <v>9</v>
      </c>
      <c r="K188" s="6">
        <f t="shared" ca="1" si="102"/>
        <v>424.75</v>
      </c>
      <c r="L188" s="6">
        <f t="shared" ca="1" si="108"/>
        <v>3822.75</v>
      </c>
      <c r="M188" s="6" t="str">
        <f t="shared" ca="1" si="108"/>
        <v>-</v>
      </c>
      <c r="N188" s="6" t="str">
        <f t="shared" ca="1" si="103"/>
        <v>-</v>
      </c>
      <c r="O188" s="6" t="str">
        <f t="shared" ca="1" si="110"/>
        <v>-</v>
      </c>
      <c r="P188" s="6" t="str">
        <f t="shared" ca="1" si="110"/>
        <v>-</v>
      </c>
      <c r="Q188" s="6" t="str">
        <f t="shared" ca="1" si="110"/>
        <v>-</v>
      </c>
      <c r="R188" s="6" t="str">
        <f t="shared" ca="1" si="110"/>
        <v>-</v>
      </c>
      <c r="S188" s="6" t="str">
        <f t="shared" ca="1" si="110"/>
        <v>-</v>
      </c>
      <c r="T188" s="6" t="str">
        <f t="shared" ca="1" si="110"/>
        <v>-</v>
      </c>
      <c r="U188" s="7" t="str">
        <f t="shared" ca="1" si="110"/>
        <v>-</v>
      </c>
      <c r="V188" s="7" t="str">
        <f t="shared" ca="1" si="110"/>
        <v>-</v>
      </c>
      <c r="W188" s="7">
        <f t="shared" ca="1" si="110"/>
        <v>-0.5</v>
      </c>
      <c r="X188" s="7">
        <f t="shared" ca="1" si="110"/>
        <v>-0.62222057515564777</v>
      </c>
      <c r="Y188" s="7">
        <f t="shared" ca="1" si="110"/>
        <v>-0.6943396226415095</v>
      </c>
      <c r="Z188" s="7">
        <f t="shared" ca="1" si="110"/>
        <v>-0.77623865535397041</v>
      </c>
      <c r="AA188" s="28" t="str">
        <f t="shared" si="104"/>
        <v>HJH</v>
      </c>
      <c r="AB188" s="28"/>
      <c r="AC188" s="12"/>
      <c r="AD188" s="12"/>
    </row>
    <row r="189" spans="1:30" x14ac:dyDescent="0.25">
      <c r="A189" s="5" t="s">
        <v>22</v>
      </c>
      <c r="B189" s="5" t="s">
        <v>49</v>
      </c>
      <c r="C189" s="5" t="s">
        <v>594</v>
      </c>
      <c r="D189" s="6">
        <f t="shared" ca="1" si="99"/>
        <v>33</v>
      </c>
      <c r="E189" s="6">
        <f t="shared" ca="1" si="100"/>
        <v>353.06060606060606</v>
      </c>
      <c r="F189" s="6">
        <f t="shared" ca="1" si="106"/>
        <v>11651</v>
      </c>
      <c r="G189" s="6">
        <f t="shared" ca="1" si="106"/>
        <v>17.222222222222221</v>
      </c>
      <c r="H189" s="6">
        <f t="shared" ca="1" si="101"/>
        <v>396.82322580645177</v>
      </c>
      <c r="I189" s="6">
        <f t="shared" ca="1" si="107"/>
        <v>6834.1777777777806</v>
      </c>
      <c r="J189" s="6">
        <f t="shared" ca="1" si="107"/>
        <v>14</v>
      </c>
      <c r="K189" s="6">
        <f t="shared" ca="1" si="102"/>
        <v>286.95571428571429</v>
      </c>
      <c r="L189" s="6">
        <f t="shared" ca="1" si="108"/>
        <v>4017.38</v>
      </c>
      <c r="M189" s="6" t="str">
        <f t="shared" ca="1" si="108"/>
        <v>-</v>
      </c>
      <c r="N189" s="6" t="str">
        <f t="shared" ca="1" si="103"/>
        <v>-</v>
      </c>
      <c r="O189" s="6" t="str">
        <f t="shared" ca="1" si="110"/>
        <v>-</v>
      </c>
      <c r="P189" s="6" t="str">
        <f t="shared" ca="1" si="110"/>
        <v>-</v>
      </c>
      <c r="Q189" s="6" t="str">
        <f t="shared" ca="1" si="110"/>
        <v>-</v>
      </c>
      <c r="R189" s="6" t="str">
        <f t="shared" ca="1" si="110"/>
        <v>-</v>
      </c>
      <c r="S189" s="6" t="str">
        <f t="shared" ca="1" si="110"/>
        <v>-</v>
      </c>
      <c r="T189" s="6" t="str">
        <f t="shared" ca="1" si="110"/>
        <v>-</v>
      </c>
      <c r="U189" s="7" t="str">
        <f t="shared" ca="1" si="110"/>
        <v>-</v>
      </c>
      <c r="V189" s="7" t="str">
        <f t="shared" ca="1" si="110"/>
        <v>-</v>
      </c>
      <c r="W189" s="7">
        <f t="shared" ca="1" si="110"/>
        <v>-0.5757575757575758</v>
      </c>
      <c r="X189" s="7">
        <f t="shared" ca="1" si="110"/>
        <v>-0.65519011243670067</v>
      </c>
      <c r="Y189" s="7">
        <f t="shared" ca="1" si="110"/>
        <v>-0.18709677419354834</v>
      </c>
      <c r="Z189" s="7">
        <f t="shared" ca="1" si="110"/>
        <v>-0.41216337493252891</v>
      </c>
      <c r="AA189" s="28" t="str">
        <f t="shared" si="104"/>
        <v>HJH</v>
      </c>
      <c r="AB189" s="28"/>
      <c r="AC189" s="12"/>
      <c r="AD189" s="12"/>
    </row>
    <row r="190" spans="1:30" x14ac:dyDescent="0.25">
      <c r="A190" s="5" t="s">
        <v>22</v>
      </c>
      <c r="B190" s="5" t="s">
        <v>49</v>
      </c>
      <c r="C190" s="5" t="s">
        <v>722</v>
      </c>
      <c r="D190" s="6">
        <f t="shared" ca="1" si="99"/>
        <v>0</v>
      </c>
      <c r="E190" s="6" t="str">
        <f t="shared" ca="1" si="100"/>
        <v>-</v>
      </c>
      <c r="F190" s="6">
        <f t="shared" ca="1" si="106"/>
        <v>0</v>
      </c>
      <c r="G190" s="6">
        <f t="shared" ca="1" si="106"/>
        <v>42.222222222222221</v>
      </c>
      <c r="H190" s="6">
        <f t="shared" ca="1" si="101"/>
        <v>370.12592105263161</v>
      </c>
      <c r="I190" s="6">
        <f t="shared" ca="1" si="107"/>
        <v>15627.53888888889</v>
      </c>
      <c r="J190" s="6">
        <f t="shared" ca="1" si="107"/>
        <v>2</v>
      </c>
      <c r="K190" s="6">
        <f t="shared" ca="1" si="102"/>
        <v>202.41499999999999</v>
      </c>
      <c r="L190" s="6">
        <f t="shared" ca="1" si="108"/>
        <v>404.83</v>
      </c>
      <c r="M190" s="6" t="str">
        <f t="shared" ca="1" si="108"/>
        <v>-</v>
      </c>
      <c r="N190" s="6" t="str">
        <f t="shared" ca="1" si="103"/>
        <v>-</v>
      </c>
      <c r="O190" s="6" t="str">
        <f t="shared" ca="1" si="110"/>
        <v>-</v>
      </c>
      <c r="P190" s="6" t="str">
        <f t="shared" ca="1" si="110"/>
        <v>-</v>
      </c>
      <c r="Q190" s="6" t="str">
        <f t="shared" ca="1" si="110"/>
        <v>-</v>
      </c>
      <c r="R190" s="6" t="str">
        <f t="shared" ca="1" si="110"/>
        <v>-</v>
      </c>
      <c r="S190" s="6" t="str">
        <f t="shared" ca="1" si="110"/>
        <v>-</v>
      </c>
      <c r="T190" s="6" t="str">
        <f t="shared" ca="1" si="110"/>
        <v>-</v>
      </c>
      <c r="U190" s="7" t="str">
        <f t="shared" ca="1" si="110"/>
        <v>-</v>
      </c>
      <c r="V190" s="7" t="str">
        <f t="shared" ca="1" si="110"/>
        <v>-</v>
      </c>
      <c r="W190" s="7" t="str">
        <f t="shared" ca="1" si="110"/>
        <v>-</v>
      </c>
      <c r="X190" s="7" t="str">
        <f t="shared" ca="1" si="110"/>
        <v>-</v>
      </c>
      <c r="Y190" s="7">
        <f t="shared" ca="1" si="110"/>
        <v>-0.95263157894736838</v>
      </c>
      <c r="Z190" s="7">
        <f t="shared" ca="1" si="110"/>
        <v>-0.97409508926016286</v>
      </c>
      <c r="AA190" s="28" t="str">
        <f t="shared" si="104"/>
        <v>HJH</v>
      </c>
      <c r="AB190" s="28"/>
      <c r="AC190" s="12"/>
      <c r="AD190" s="12"/>
    </row>
    <row r="191" spans="1:30" x14ac:dyDescent="0.25">
      <c r="A191" s="5" t="s">
        <v>145</v>
      </c>
      <c r="B191" s="5" t="s">
        <v>146</v>
      </c>
      <c r="C191" s="5" t="s">
        <v>155</v>
      </c>
      <c r="D191" s="6">
        <f t="shared" ca="1" si="99"/>
        <v>22.956521739130437</v>
      </c>
      <c r="E191" s="6">
        <f t="shared" ca="1" si="100"/>
        <v>43.832291666666663</v>
      </c>
      <c r="F191" s="6">
        <f t="shared" ca="1" si="106"/>
        <v>1006.2369565217391</v>
      </c>
      <c r="G191" s="6">
        <f t="shared" ca="1" si="106"/>
        <v>95.652173913043484</v>
      </c>
      <c r="H191" s="6">
        <f t="shared" ca="1" si="101"/>
        <v>1037.3176000000001</v>
      </c>
      <c r="I191" s="6">
        <f t="shared" ca="1" si="107"/>
        <v>99221.683478260878</v>
      </c>
      <c r="J191" s="6">
        <f t="shared" ca="1" si="107"/>
        <v>45</v>
      </c>
      <c r="K191" s="6">
        <f t="shared" ca="1" si="102"/>
        <v>1313.5486666666666</v>
      </c>
      <c r="L191" s="6">
        <f t="shared" ca="1" si="108"/>
        <v>59109.689999999995</v>
      </c>
      <c r="M191" s="6">
        <f t="shared" ca="1" si="108"/>
        <v>88</v>
      </c>
      <c r="N191" s="6">
        <f t="shared" ca="1" si="103"/>
        <v>1002</v>
      </c>
      <c r="O191" s="6">
        <f t="shared" ca="1" si="110"/>
        <v>88176</v>
      </c>
      <c r="P191" s="6">
        <f t="shared" ca="1" si="110"/>
        <v>-43</v>
      </c>
      <c r="Q191" s="6">
        <f t="shared" ca="1" si="110"/>
        <v>311.54866666666658</v>
      </c>
      <c r="R191" s="6">
        <f t="shared" ca="1" si="110"/>
        <v>-29066.310000000005</v>
      </c>
      <c r="S191" s="6">
        <f t="shared" ca="1" si="110"/>
        <v>14019.689999999995</v>
      </c>
      <c r="T191" s="6">
        <f t="shared" ca="1" si="110"/>
        <v>-43086</v>
      </c>
      <c r="U191" s="7">
        <f t="shared" ca="1" si="110"/>
        <v>0.51136363636363635</v>
      </c>
      <c r="V191" s="7">
        <f t="shared" ca="1" si="110"/>
        <v>0.96022727272727249</v>
      </c>
      <c r="W191" s="7">
        <f t="shared" ca="1" si="110"/>
        <v>57.74331052630442</v>
      </c>
      <c r="X191" s="7">
        <f t="shared" ca="1" si="110"/>
        <v>-0.52954545454545454</v>
      </c>
      <c r="Y191" s="7">
        <f t="shared" ca="1" si="110"/>
        <v>-0.40426640702028888</v>
      </c>
      <c r="Z191" s="7">
        <f t="shared" ca="1" si="110"/>
        <v>0</v>
      </c>
      <c r="AA191" s="28" t="str">
        <f t="shared" si="104"/>
        <v>ADC</v>
      </c>
      <c r="AB191" s="28"/>
      <c r="AC191" s="12"/>
      <c r="AD191" s="12"/>
    </row>
    <row r="192" spans="1:30" x14ac:dyDescent="0.25">
      <c r="A192" s="5" t="s">
        <v>145</v>
      </c>
      <c r="B192" s="5" t="s">
        <v>147</v>
      </c>
      <c r="C192" s="5" t="s">
        <v>156</v>
      </c>
      <c r="D192" s="6">
        <f t="shared" ca="1" si="99"/>
        <v>44</v>
      </c>
      <c r="E192" s="6">
        <f t="shared" ca="1" si="100"/>
        <v>289.57869565217396</v>
      </c>
      <c r="F192" s="6">
        <f t="shared" ca="1" si="106"/>
        <v>12741.462608695654</v>
      </c>
      <c r="G192" s="6">
        <f t="shared" ca="1" si="106"/>
        <v>117.17391304347827</v>
      </c>
      <c r="H192" s="6">
        <f t="shared" ca="1" si="101"/>
        <v>1053.1571428571424</v>
      </c>
      <c r="I192" s="6">
        <f t="shared" ca="1" si="107"/>
        <v>123402.54347826082</v>
      </c>
      <c r="J192" s="6">
        <f t="shared" ca="1" si="107"/>
        <v>68</v>
      </c>
      <c r="K192" s="6">
        <f t="shared" ca="1" si="102"/>
        <v>191.91073529411764</v>
      </c>
      <c r="L192" s="6">
        <f t="shared" ca="1" si="108"/>
        <v>13049.93</v>
      </c>
      <c r="M192" s="6">
        <f t="shared" ca="1" si="108"/>
        <v>49.739130434782609</v>
      </c>
      <c r="N192" s="6">
        <f t="shared" ca="1" si="103"/>
        <v>984</v>
      </c>
      <c r="O192" s="6">
        <f t="shared" ca="1" si="110"/>
        <v>48943.304347826088</v>
      </c>
      <c r="P192" s="6">
        <f t="shared" ca="1" si="110"/>
        <v>18.260869565217391</v>
      </c>
      <c r="Q192" s="6">
        <f t="shared" ca="1" si="110"/>
        <v>-792.08926470588233</v>
      </c>
      <c r="R192" s="6">
        <f t="shared" ca="1" si="110"/>
        <v>-35893.374347826088</v>
      </c>
      <c r="S192" s="6">
        <f t="shared" ca="1" si="110"/>
        <v>-53862.07</v>
      </c>
      <c r="T192" s="6">
        <f t="shared" ca="1" si="110"/>
        <v>17968.695652173912</v>
      </c>
      <c r="U192" s="7">
        <f t="shared" ca="1" si="110"/>
        <v>1.3671328671328671</v>
      </c>
      <c r="V192" s="7">
        <f t="shared" ca="1" si="110"/>
        <v>0.54545454545454541</v>
      </c>
      <c r="W192" s="7">
        <f t="shared" ca="1" si="110"/>
        <v>2.4209731706454699E-2</v>
      </c>
      <c r="X192" s="7">
        <f t="shared" ca="1" si="110"/>
        <v>-0.41966604823747683</v>
      </c>
      <c r="Y192" s="7">
        <f t="shared" ca="1" si="110"/>
        <v>-0.89424910028455817</v>
      </c>
      <c r="Z192" s="7">
        <f t="shared" ca="1" si="110"/>
        <v>0</v>
      </c>
      <c r="AA192" s="28" t="str">
        <f t="shared" si="104"/>
        <v>ADC</v>
      </c>
      <c r="AB192" s="28"/>
      <c r="AC192" s="12"/>
      <c r="AD192" s="12"/>
    </row>
    <row r="193" spans="1:30" x14ac:dyDescent="0.25">
      <c r="A193" s="5" t="s">
        <v>145</v>
      </c>
      <c r="B193" s="5" t="s">
        <v>148</v>
      </c>
      <c r="C193" s="5" t="s">
        <v>157</v>
      </c>
      <c r="D193" s="6">
        <f t="shared" ca="1" si="99"/>
        <v>55.478260869565219</v>
      </c>
      <c r="E193" s="6">
        <f t="shared" ca="1" si="100"/>
        <v>711.29741379310349</v>
      </c>
      <c r="F193" s="6">
        <f t="shared" ca="1" si="106"/>
        <v>39461.543478260872</v>
      </c>
      <c r="G193" s="6">
        <f t="shared" ca="1" si="106"/>
        <v>85.608695652173921</v>
      </c>
      <c r="H193" s="6">
        <f t="shared" ca="1" si="101"/>
        <v>917.7426815642458</v>
      </c>
      <c r="I193" s="6">
        <f t="shared" ca="1" si="107"/>
        <v>78566.753913043489</v>
      </c>
      <c r="J193" s="6">
        <f t="shared" ca="1" si="107"/>
        <v>63</v>
      </c>
      <c r="K193" s="6">
        <f t="shared" ca="1" si="102"/>
        <v>524.30714285714282</v>
      </c>
      <c r="L193" s="6">
        <f t="shared" ca="1" si="108"/>
        <v>33031.35</v>
      </c>
      <c r="M193" s="6">
        <f t="shared" ca="1" si="108"/>
        <v>83.695652173913047</v>
      </c>
      <c r="N193" s="6">
        <f t="shared" ca="1" si="103"/>
        <v>934.93142857142857</v>
      </c>
      <c r="O193" s="6">
        <f t="shared" ca="1" si="110"/>
        <v>78249.695652173919</v>
      </c>
      <c r="P193" s="6">
        <f t="shared" ca="1" si="110"/>
        <v>-20.695652173913047</v>
      </c>
      <c r="Q193" s="6">
        <f t="shared" ca="1" si="110"/>
        <v>-410.62428571428575</v>
      </c>
      <c r="R193" s="6">
        <f t="shared" ca="1" si="110"/>
        <v>-45218.345652173921</v>
      </c>
      <c r="S193" s="6">
        <f t="shared" ca="1" si="110"/>
        <v>-25869.33</v>
      </c>
      <c r="T193" s="6">
        <f t="shared" ca="1" si="110"/>
        <v>-19349.015652173915</v>
      </c>
      <c r="U193" s="7">
        <f t="shared" ca="1" si="110"/>
        <v>0.75272727272727269</v>
      </c>
      <c r="V193" s="7">
        <f t="shared" ca="1" si="110"/>
        <v>0.13557993730407522</v>
      </c>
      <c r="W193" s="7">
        <f t="shared" ca="1" si="110"/>
        <v>-0.16294835202792379</v>
      </c>
      <c r="X193" s="7">
        <f t="shared" ca="1" si="110"/>
        <v>-0.26409344845099042</v>
      </c>
      <c r="Y193" s="7">
        <f t="shared" ca="1" si="110"/>
        <v>-0.57957598659913323</v>
      </c>
      <c r="Z193" s="7">
        <f t="shared" ca="1" si="110"/>
        <v>0</v>
      </c>
      <c r="AA193" s="28" t="str">
        <f t="shared" si="104"/>
        <v>ADC</v>
      </c>
      <c r="AB193" s="28"/>
      <c r="AC193" s="12"/>
      <c r="AD193" s="12"/>
    </row>
    <row r="194" spans="1:30" x14ac:dyDescent="0.25">
      <c r="A194" s="5" t="s">
        <v>145</v>
      </c>
      <c r="B194" s="5" t="s">
        <v>148</v>
      </c>
      <c r="C194" s="5" t="s">
        <v>158</v>
      </c>
      <c r="D194" s="6">
        <f t="shared" ca="1" si="99"/>
        <v>37.304347826086961</v>
      </c>
      <c r="E194" s="6">
        <f t="shared" ca="1" si="100"/>
        <v>838.5215384615384</v>
      </c>
      <c r="F194" s="6">
        <f t="shared" ca="1" si="106"/>
        <v>31280.499130434782</v>
      </c>
      <c r="G194" s="6">
        <f t="shared" ca="1" si="106"/>
        <v>71.739130434782609</v>
      </c>
      <c r="H194" s="6">
        <f t="shared" ca="1" si="101"/>
        <v>656.02126666666663</v>
      </c>
      <c r="I194" s="6">
        <f t="shared" ca="1" si="107"/>
        <v>47062.395217391306</v>
      </c>
      <c r="J194" s="6">
        <f t="shared" ca="1" si="107"/>
        <v>53</v>
      </c>
      <c r="K194" s="6">
        <f t="shared" ca="1" si="102"/>
        <v>770.04113207547152</v>
      </c>
      <c r="L194" s="6">
        <f t="shared" ca="1" si="108"/>
        <v>40812.179999999993</v>
      </c>
      <c r="M194" s="6">
        <f t="shared" ca="1" si="108"/>
        <v>83.695652173913047</v>
      </c>
      <c r="N194" s="6">
        <f t="shared" ca="1" si="103"/>
        <v>934.93142857142857</v>
      </c>
      <c r="O194" s="6">
        <f t="shared" ca="1" si="110"/>
        <v>78249.695652173919</v>
      </c>
      <c r="P194" s="6">
        <f t="shared" ca="1" si="110"/>
        <v>-30.695652173913047</v>
      </c>
      <c r="Q194" s="6">
        <f t="shared" ca="1" si="110"/>
        <v>-164.89029649595705</v>
      </c>
      <c r="R194" s="6">
        <f t="shared" ca="1" si="110"/>
        <v>-37437.515652173926</v>
      </c>
      <c r="S194" s="6">
        <f t="shared" ca="1" si="110"/>
        <v>-8739.1857142857225</v>
      </c>
      <c r="T194" s="6">
        <f t="shared" ca="1" si="110"/>
        <v>-28698.3299378882</v>
      </c>
      <c r="U194" s="7">
        <f t="shared" ca="1" si="110"/>
        <v>0.63324675324675317</v>
      </c>
      <c r="V194" s="7">
        <f t="shared" ca="1" si="110"/>
        <v>0.4207459207459206</v>
      </c>
      <c r="W194" s="7">
        <f t="shared" ca="1" si="110"/>
        <v>0.30471639310548065</v>
      </c>
      <c r="X194" s="7">
        <f t="shared" ca="1" si="110"/>
        <v>-0.26121212121212123</v>
      </c>
      <c r="Y194" s="7">
        <f t="shared" ca="1" si="110"/>
        <v>-0.13280699353528921</v>
      </c>
      <c r="Z194" s="7">
        <f t="shared" ca="1" si="110"/>
        <v>0</v>
      </c>
      <c r="AA194" s="28" t="str">
        <f t="shared" si="104"/>
        <v>ADC</v>
      </c>
      <c r="AB194" s="28"/>
      <c r="AC194" s="12"/>
      <c r="AD194" s="12"/>
    </row>
    <row r="195" spans="1:30" x14ac:dyDescent="0.25">
      <c r="A195" s="5" t="s">
        <v>145</v>
      </c>
      <c r="B195" s="5" t="s">
        <v>148</v>
      </c>
      <c r="C195" s="5" t="s">
        <v>159</v>
      </c>
      <c r="D195" s="6">
        <f t="shared" ca="1" si="99"/>
        <v>0</v>
      </c>
      <c r="E195" s="6" t="str">
        <f t="shared" ca="1" si="100"/>
        <v>-</v>
      </c>
      <c r="F195" s="6">
        <f t="shared" ca="1" si="106"/>
        <v>0</v>
      </c>
      <c r="G195" s="6">
        <f t="shared" ca="1" si="106"/>
        <v>0</v>
      </c>
      <c r="H195" s="6" t="str">
        <f t="shared" ca="1" si="101"/>
        <v>-</v>
      </c>
      <c r="I195" s="6">
        <f t="shared" ca="1" si="107"/>
        <v>0</v>
      </c>
      <c r="J195" s="6">
        <f t="shared" ca="1" si="107"/>
        <v>7</v>
      </c>
      <c r="K195" s="6">
        <f t="shared" ca="1" si="102"/>
        <v>1991.9557142857143</v>
      </c>
      <c r="L195" s="6">
        <f t="shared" ca="1" si="108"/>
        <v>13943.69</v>
      </c>
      <c r="M195" s="6">
        <f t="shared" ca="1" si="108"/>
        <v>23.913043478260871</v>
      </c>
      <c r="N195" s="6">
        <f t="shared" ca="1" si="103"/>
        <v>943.4799999999999</v>
      </c>
      <c r="O195" s="6">
        <f t="shared" ca="1" si="110"/>
        <v>22561.478260869564</v>
      </c>
      <c r="P195" s="6">
        <f t="shared" ca="1" si="110"/>
        <v>-16.913043478260871</v>
      </c>
      <c r="Q195" s="6">
        <f t="shared" ca="1" si="110"/>
        <v>1048.4757142857143</v>
      </c>
      <c r="R195" s="6">
        <f t="shared" ca="1" si="110"/>
        <v>-8617.7882608695636</v>
      </c>
      <c r="S195" s="6">
        <f t="shared" ca="1" si="110"/>
        <v>7339.33</v>
      </c>
      <c r="T195" s="6">
        <f t="shared" ca="1" si="110"/>
        <v>-15957.118260869565</v>
      </c>
      <c r="U195" s="7">
        <f t="shared" ca="1" si="110"/>
        <v>0.29272727272727272</v>
      </c>
      <c r="V195" s="7" t="str">
        <f t="shared" ca="1" si="110"/>
        <v>-</v>
      </c>
      <c r="W195" s="7" t="str">
        <f t="shared" ca="1" si="110"/>
        <v>-</v>
      </c>
      <c r="X195" s="7" t="str">
        <f t="shared" ca="1" si="110"/>
        <v>-</v>
      </c>
      <c r="Y195" s="7" t="str">
        <f t="shared" ca="1" si="110"/>
        <v>-</v>
      </c>
      <c r="Z195" s="7">
        <f t="shared" ca="1" si="110"/>
        <v>0</v>
      </c>
      <c r="AA195" s="28" t="str">
        <f t="shared" si="104"/>
        <v>ADC</v>
      </c>
      <c r="AB195" s="28"/>
      <c r="AC195" s="12"/>
      <c r="AD195" s="12"/>
    </row>
    <row r="196" spans="1:30" x14ac:dyDescent="0.25">
      <c r="A196" s="5" t="s">
        <v>145</v>
      </c>
      <c r="B196" s="5" t="s">
        <v>146</v>
      </c>
      <c r="C196" s="5" t="s">
        <v>160</v>
      </c>
      <c r="D196" s="6">
        <f t="shared" ca="1" si="99"/>
        <v>0</v>
      </c>
      <c r="E196" s="6" t="str">
        <f t="shared" ca="1" si="100"/>
        <v>-</v>
      </c>
      <c r="F196" s="6">
        <f t="shared" ref="F196:G215" ca="1" si="111">IFERROR(VLOOKUP($C196,INDIRECT("'"&amp;$AA196&amp;"-"&amp;$C$1&amp;"'!$C:$AH"),F$30,0),0)</f>
        <v>0</v>
      </c>
      <c r="G196" s="6">
        <f t="shared" ca="1" si="111"/>
        <v>0</v>
      </c>
      <c r="H196" s="6" t="str">
        <f t="shared" ca="1" si="101"/>
        <v>-</v>
      </c>
      <c r="I196" s="6">
        <f t="shared" ref="I196:J215" ca="1" si="112">IFERROR(VLOOKUP($C196,INDIRECT("'"&amp;$AA196&amp;"-"&amp;$C$1&amp;"'!$C:$AH"),I$30,0),0)</f>
        <v>0</v>
      </c>
      <c r="J196" s="6">
        <f t="shared" ca="1" si="112"/>
        <v>28</v>
      </c>
      <c r="K196" s="6">
        <f t="shared" ca="1" si="102"/>
        <v>915.82642857142855</v>
      </c>
      <c r="L196" s="6">
        <f t="shared" ref="L196:M215" ca="1" si="113">IFERROR(VLOOKUP($C196,INDIRECT("'"&amp;$AA196&amp;"-"&amp;$C$1&amp;"'!$C:$AH"),L$30,0),0)</f>
        <v>25643.14</v>
      </c>
      <c r="M196" s="6">
        <f t="shared" ca="1" si="113"/>
        <v>74.608695652173921</v>
      </c>
      <c r="N196" s="6">
        <f t="shared" ca="1" si="103"/>
        <v>863.20512820512818</v>
      </c>
      <c r="O196" s="6">
        <f t="shared" ref="O196:Z205" ca="1" si="114">IFERROR(VLOOKUP($C196,INDIRECT("'"&amp;$AA196&amp;"-"&amp;$C$1&amp;"'!$C:$AH"),O$30,0),0)</f>
        <v>64402.608695652176</v>
      </c>
      <c r="P196" s="6">
        <f t="shared" ca="1" si="114"/>
        <v>-46.608695652173921</v>
      </c>
      <c r="Q196" s="6">
        <f t="shared" ca="1" si="114"/>
        <v>52.621300366300375</v>
      </c>
      <c r="R196" s="6">
        <f t="shared" ca="1" si="114"/>
        <v>-38759.468695652176</v>
      </c>
      <c r="S196" s="6">
        <f t="shared" ca="1" si="114"/>
        <v>1473.3964102564105</v>
      </c>
      <c r="T196" s="6">
        <f t="shared" ca="1" si="114"/>
        <v>-40232.86510590859</v>
      </c>
      <c r="U196" s="7">
        <f t="shared" ca="1" si="114"/>
        <v>0.37529137529137524</v>
      </c>
      <c r="V196" s="7" t="str">
        <f t="shared" ca="1" si="114"/>
        <v>-</v>
      </c>
      <c r="W196" s="7" t="str">
        <f t="shared" ca="1" si="114"/>
        <v>-</v>
      </c>
      <c r="X196" s="7" t="str">
        <f t="shared" ca="1" si="114"/>
        <v>-</v>
      </c>
      <c r="Y196" s="7" t="str">
        <f t="shared" ca="1" si="114"/>
        <v>-</v>
      </c>
      <c r="Z196" s="7">
        <f t="shared" ca="1" si="114"/>
        <v>0</v>
      </c>
      <c r="AA196" s="28" t="str">
        <f t="shared" si="104"/>
        <v>ADC</v>
      </c>
      <c r="AB196" s="28"/>
      <c r="AC196" s="12"/>
      <c r="AD196" s="12"/>
    </row>
    <row r="197" spans="1:30" x14ac:dyDescent="0.25">
      <c r="A197" s="5" t="s">
        <v>145</v>
      </c>
      <c r="B197" s="5" t="s">
        <v>146</v>
      </c>
      <c r="C197" s="5" t="s">
        <v>161</v>
      </c>
      <c r="D197" s="6">
        <f t="shared" ca="1" si="99"/>
        <v>0</v>
      </c>
      <c r="E197" s="6" t="str">
        <f t="shared" ca="1" si="100"/>
        <v>-</v>
      </c>
      <c r="F197" s="6">
        <f t="shared" ca="1" si="111"/>
        <v>0</v>
      </c>
      <c r="G197" s="6">
        <f t="shared" ca="1" si="111"/>
        <v>0</v>
      </c>
      <c r="H197" s="6" t="str">
        <f t="shared" ca="1" si="101"/>
        <v>-</v>
      </c>
      <c r="I197" s="6">
        <f t="shared" ca="1" si="112"/>
        <v>0</v>
      </c>
      <c r="J197" s="6">
        <f t="shared" ca="1" si="112"/>
        <v>72</v>
      </c>
      <c r="K197" s="6">
        <f t="shared" ca="1" si="102"/>
        <v>1092.4670833333337</v>
      </c>
      <c r="L197" s="6">
        <f t="shared" ca="1" si="113"/>
        <v>78657.630000000019</v>
      </c>
      <c r="M197" s="6">
        <f t="shared" ca="1" si="113"/>
        <v>88</v>
      </c>
      <c r="N197" s="6">
        <f t="shared" ca="1" si="103"/>
        <v>861</v>
      </c>
      <c r="O197" s="6">
        <f t="shared" ca="1" si="114"/>
        <v>75768</v>
      </c>
      <c r="P197" s="6">
        <f t="shared" ca="1" si="114"/>
        <v>-16</v>
      </c>
      <c r="Q197" s="6">
        <f t="shared" ca="1" si="114"/>
        <v>231.46708333333368</v>
      </c>
      <c r="R197" s="6">
        <f t="shared" ca="1" si="114"/>
        <v>2889.6300000000192</v>
      </c>
      <c r="S197" s="6">
        <f t="shared" ca="1" si="114"/>
        <v>16665.630000000026</v>
      </c>
      <c r="T197" s="6">
        <f t="shared" ca="1" si="114"/>
        <v>-13776</v>
      </c>
      <c r="U197" s="7">
        <f t="shared" ca="1" si="114"/>
        <v>0.81818181818181823</v>
      </c>
      <c r="V197" s="7" t="str">
        <f t="shared" ca="1" si="114"/>
        <v>-</v>
      </c>
      <c r="W197" s="7" t="str">
        <f t="shared" ca="1" si="114"/>
        <v>-</v>
      </c>
      <c r="X197" s="7" t="str">
        <f t="shared" ca="1" si="114"/>
        <v>-</v>
      </c>
      <c r="Y197" s="7" t="str">
        <f t="shared" ca="1" si="114"/>
        <v>-</v>
      </c>
      <c r="Z197" s="7">
        <f t="shared" ca="1" si="114"/>
        <v>0</v>
      </c>
      <c r="AA197" s="28" t="str">
        <f t="shared" si="104"/>
        <v>ADC</v>
      </c>
      <c r="AB197" s="28"/>
      <c r="AC197" s="12"/>
      <c r="AD197" s="12"/>
    </row>
    <row r="198" spans="1:30" x14ac:dyDescent="0.25">
      <c r="A198" s="5" t="s">
        <v>144</v>
      </c>
      <c r="B198" s="5" t="s">
        <v>146</v>
      </c>
      <c r="C198" s="5" t="s">
        <v>162</v>
      </c>
      <c r="D198" s="6">
        <f t="shared" ca="1" si="99"/>
        <v>0</v>
      </c>
      <c r="E198" s="6" t="str">
        <f t="shared" ca="1" si="100"/>
        <v>-</v>
      </c>
      <c r="F198" s="6">
        <f t="shared" ca="1" si="111"/>
        <v>0</v>
      </c>
      <c r="G198" s="6">
        <f t="shared" ca="1" si="111"/>
        <v>0</v>
      </c>
      <c r="H198" s="6" t="str">
        <f t="shared" ca="1" si="101"/>
        <v>-</v>
      </c>
      <c r="I198" s="6">
        <f t="shared" ca="1" si="112"/>
        <v>0</v>
      </c>
      <c r="J198" s="6">
        <f t="shared" ca="1" si="112"/>
        <v>38</v>
      </c>
      <c r="K198" s="6">
        <f t="shared" ca="1" si="102"/>
        <v>720.32894736842104</v>
      </c>
      <c r="L198" s="6">
        <f t="shared" ca="1" si="113"/>
        <v>27372.5</v>
      </c>
      <c r="M198" s="6">
        <f t="shared" ca="1" si="113"/>
        <v>61.695652173913047</v>
      </c>
      <c r="N198" s="6">
        <f t="shared" ca="1" si="103"/>
        <v>625.03100775193798</v>
      </c>
      <c r="O198" s="6">
        <f t="shared" ca="1" si="114"/>
        <v>38561.695652173912</v>
      </c>
      <c r="P198" s="6">
        <f t="shared" ca="1" si="114"/>
        <v>-23.695652173913047</v>
      </c>
      <c r="Q198" s="6">
        <f t="shared" ca="1" si="114"/>
        <v>95.297939616483063</v>
      </c>
      <c r="R198" s="6">
        <f t="shared" ca="1" si="114"/>
        <v>-11189.195652173912</v>
      </c>
      <c r="S198" s="6">
        <f t="shared" ca="1" si="114"/>
        <v>3621.3217054263564</v>
      </c>
      <c r="T198" s="6">
        <f t="shared" ca="1" si="114"/>
        <v>-14810.517357600271</v>
      </c>
      <c r="U198" s="7">
        <f t="shared" ca="1" si="114"/>
        <v>0.61592670894996471</v>
      </c>
      <c r="V198" s="7" t="str">
        <f t="shared" ca="1" si="114"/>
        <v>-</v>
      </c>
      <c r="W198" s="7" t="str">
        <f t="shared" ca="1" si="114"/>
        <v>-</v>
      </c>
      <c r="X198" s="7" t="str">
        <f t="shared" ca="1" si="114"/>
        <v>-</v>
      </c>
      <c r="Y198" s="7" t="str">
        <f t="shared" ca="1" si="114"/>
        <v>-</v>
      </c>
      <c r="Z198" s="7">
        <f t="shared" ca="1" si="114"/>
        <v>0</v>
      </c>
      <c r="AA198" s="28" t="str">
        <f t="shared" si="104"/>
        <v>ADC</v>
      </c>
      <c r="AB198" s="28"/>
      <c r="AC198" s="12"/>
      <c r="AD198" s="12"/>
    </row>
    <row r="199" spans="1:30" x14ac:dyDescent="0.25">
      <c r="A199" s="5" t="s">
        <v>144</v>
      </c>
      <c r="B199" s="5" t="s">
        <v>146</v>
      </c>
      <c r="C199" s="5" t="s">
        <v>163</v>
      </c>
      <c r="D199" s="6">
        <f t="shared" ca="1" si="99"/>
        <v>69.826086956521735</v>
      </c>
      <c r="E199" s="6">
        <f t="shared" ca="1" si="100"/>
        <v>687.89376712328772</v>
      </c>
      <c r="F199" s="6">
        <f t="shared" ca="1" si="111"/>
        <v>48032.93</v>
      </c>
      <c r="G199" s="6">
        <f t="shared" ca="1" si="111"/>
        <v>112.86956521739131</v>
      </c>
      <c r="H199" s="6">
        <f t="shared" ca="1" si="101"/>
        <v>609.79237288135585</v>
      </c>
      <c r="I199" s="6">
        <f t="shared" ca="1" si="112"/>
        <v>68827</v>
      </c>
      <c r="J199" s="6">
        <f t="shared" ca="1" si="112"/>
        <v>58</v>
      </c>
      <c r="K199" s="6">
        <f t="shared" ca="1" si="102"/>
        <v>695.73293103448282</v>
      </c>
      <c r="L199" s="6">
        <f t="shared" ca="1" si="113"/>
        <v>40352.51</v>
      </c>
      <c r="M199" s="6">
        <f t="shared" ca="1" si="113"/>
        <v>83.695652173913047</v>
      </c>
      <c r="N199" s="6">
        <f t="shared" ca="1" si="103"/>
        <v>666.24</v>
      </c>
      <c r="O199" s="6">
        <f t="shared" ca="1" si="114"/>
        <v>55761.391304347824</v>
      </c>
      <c r="P199" s="6">
        <f t="shared" ca="1" si="114"/>
        <v>-25.695652173913047</v>
      </c>
      <c r="Q199" s="6">
        <f t="shared" ca="1" si="114"/>
        <v>29.492931034482808</v>
      </c>
      <c r="R199" s="6">
        <f t="shared" ca="1" si="114"/>
        <v>-15408.881304347822</v>
      </c>
      <c r="S199" s="6">
        <f t="shared" ca="1" si="114"/>
        <v>1710.5900000000029</v>
      </c>
      <c r="T199" s="6">
        <f t="shared" ca="1" si="114"/>
        <v>-17119.47130434783</v>
      </c>
      <c r="U199" s="7">
        <f t="shared" ca="1" si="114"/>
        <v>0.69298701298701293</v>
      </c>
      <c r="V199" s="7">
        <f t="shared" ca="1" si="114"/>
        <v>-0.16936488169364877</v>
      </c>
      <c r="W199" s="7">
        <f t="shared" ca="1" si="114"/>
        <v>-0.15989905258746442</v>
      </c>
      <c r="X199" s="7">
        <f t="shared" ca="1" si="114"/>
        <v>-0.48613251155624038</v>
      </c>
      <c r="Y199" s="7">
        <f t="shared" ca="1" si="114"/>
        <v>-0.41371104363113309</v>
      </c>
      <c r="Z199" s="7">
        <f t="shared" ca="1" si="114"/>
        <v>0</v>
      </c>
      <c r="AA199" s="28" t="str">
        <f t="shared" si="104"/>
        <v>ADC</v>
      </c>
      <c r="AB199" s="28"/>
      <c r="AC199" s="12"/>
      <c r="AD199" s="12"/>
    </row>
    <row r="200" spans="1:30" x14ac:dyDescent="0.25">
      <c r="A200" s="5" t="s">
        <v>145</v>
      </c>
      <c r="B200" s="5" t="s">
        <v>146</v>
      </c>
      <c r="C200" s="5" t="s">
        <v>164</v>
      </c>
      <c r="D200" s="6">
        <f t="shared" ca="1" si="99"/>
        <v>0</v>
      </c>
      <c r="E200" s="6" t="str">
        <f t="shared" ca="1" si="100"/>
        <v>-</v>
      </c>
      <c r="F200" s="6">
        <f t="shared" ca="1" si="111"/>
        <v>0</v>
      </c>
      <c r="G200" s="6">
        <f t="shared" ca="1" si="111"/>
        <v>0</v>
      </c>
      <c r="H200" s="6" t="str">
        <f t="shared" ca="1" si="101"/>
        <v>-</v>
      </c>
      <c r="I200" s="6">
        <f t="shared" ca="1" si="112"/>
        <v>0</v>
      </c>
      <c r="J200" s="6">
        <f t="shared" ca="1" si="112"/>
        <v>38</v>
      </c>
      <c r="K200" s="6">
        <f t="shared" ca="1" si="102"/>
        <v>1258.8371052631578</v>
      </c>
      <c r="L200" s="6">
        <f t="shared" ca="1" si="113"/>
        <v>47835.81</v>
      </c>
      <c r="M200" s="6">
        <f t="shared" ca="1" si="113"/>
        <v>83.695652173913047</v>
      </c>
      <c r="N200" s="6">
        <f t="shared" ca="1" si="103"/>
        <v>906.96</v>
      </c>
      <c r="O200" s="6">
        <f t="shared" ca="1" si="114"/>
        <v>75908.608695652176</v>
      </c>
      <c r="P200" s="6">
        <f t="shared" ca="1" si="114"/>
        <v>-45.695652173913047</v>
      </c>
      <c r="Q200" s="6">
        <f t="shared" ca="1" si="114"/>
        <v>351.87710526315777</v>
      </c>
      <c r="R200" s="6">
        <f t="shared" ca="1" si="114"/>
        <v>-28072.798695652178</v>
      </c>
      <c r="S200" s="6">
        <f t="shared" ca="1" si="114"/>
        <v>13371.329999999994</v>
      </c>
      <c r="T200" s="6">
        <f t="shared" ca="1" si="114"/>
        <v>-41444.12869565218</v>
      </c>
      <c r="U200" s="7">
        <f t="shared" ca="1" si="114"/>
        <v>0.454025974025974</v>
      </c>
      <c r="V200" s="7" t="str">
        <f t="shared" ca="1" si="114"/>
        <v>-</v>
      </c>
      <c r="W200" s="7" t="str">
        <f t="shared" ca="1" si="114"/>
        <v>-</v>
      </c>
      <c r="X200" s="7" t="str">
        <f t="shared" ca="1" si="114"/>
        <v>-</v>
      </c>
      <c r="Y200" s="7" t="str">
        <f t="shared" ca="1" si="114"/>
        <v>-</v>
      </c>
      <c r="Z200" s="7">
        <f t="shared" ca="1" si="114"/>
        <v>0</v>
      </c>
      <c r="AA200" s="28" t="str">
        <f t="shared" si="104"/>
        <v>ADC</v>
      </c>
      <c r="AB200" s="28"/>
      <c r="AC200" s="12"/>
      <c r="AD200" s="12"/>
    </row>
    <row r="201" spans="1:30" x14ac:dyDescent="0.25">
      <c r="A201" s="5" t="s">
        <v>145</v>
      </c>
      <c r="B201" s="5" t="s">
        <v>147</v>
      </c>
      <c r="C201" s="5" t="s">
        <v>165</v>
      </c>
      <c r="D201" s="6">
        <f t="shared" ca="1" si="99"/>
        <v>0</v>
      </c>
      <c r="E201" s="6" t="str">
        <f t="shared" ca="1" si="100"/>
        <v>-</v>
      </c>
      <c r="F201" s="6">
        <f t="shared" ca="1" si="111"/>
        <v>0</v>
      </c>
      <c r="G201" s="6">
        <f t="shared" ca="1" si="111"/>
        <v>0</v>
      </c>
      <c r="H201" s="6" t="str">
        <f t="shared" ca="1" si="101"/>
        <v>-</v>
      </c>
      <c r="I201" s="6">
        <f t="shared" ca="1" si="112"/>
        <v>0</v>
      </c>
      <c r="J201" s="6">
        <f t="shared" ca="1" si="112"/>
        <v>43</v>
      </c>
      <c r="K201" s="6">
        <f t="shared" ca="1" si="102"/>
        <v>602.25813953488364</v>
      </c>
      <c r="L201" s="6">
        <f t="shared" ca="1" si="113"/>
        <v>25897.1</v>
      </c>
      <c r="M201" s="6">
        <f t="shared" ca="1" si="113"/>
        <v>83.695652173913047</v>
      </c>
      <c r="N201" s="6">
        <f t="shared" ca="1" si="103"/>
        <v>792.41714285714284</v>
      </c>
      <c r="O201" s="6">
        <f t="shared" ca="1" si="114"/>
        <v>66321.869565217392</v>
      </c>
      <c r="P201" s="6">
        <f t="shared" ca="1" si="114"/>
        <v>-40.695652173913047</v>
      </c>
      <c r="Q201" s="6">
        <f t="shared" ca="1" si="114"/>
        <v>-190.1590033222592</v>
      </c>
      <c r="R201" s="6">
        <f t="shared" ca="1" si="114"/>
        <v>-40424.769565217393</v>
      </c>
      <c r="S201" s="6">
        <f t="shared" ca="1" si="114"/>
        <v>-8176.8371428571454</v>
      </c>
      <c r="T201" s="6">
        <f t="shared" ca="1" si="114"/>
        <v>-32247.932422360249</v>
      </c>
      <c r="U201" s="7">
        <f t="shared" ca="1" si="114"/>
        <v>0.51376623376623376</v>
      </c>
      <c r="V201" s="7" t="str">
        <f t="shared" ca="1" si="114"/>
        <v>-</v>
      </c>
      <c r="W201" s="7" t="str">
        <f t="shared" ca="1" si="114"/>
        <v>-</v>
      </c>
      <c r="X201" s="7" t="str">
        <f t="shared" ca="1" si="114"/>
        <v>-</v>
      </c>
      <c r="Y201" s="7" t="str">
        <f t="shared" ca="1" si="114"/>
        <v>-</v>
      </c>
      <c r="Z201" s="7">
        <f t="shared" ca="1" si="114"/>
        <v>0</v>
      </c>
      <c r="AA201" s="28" t="str">
        <f t="shared" si="104"/>
        <v>ADC</v>
      </c>
      <c r="AB201" s="28"/>
      <c r="AC201" s="12"/>
      <c r="AD201" s="12"/>
    </row>
    <row r="202" spans="1:30" x14ac:dyDescent="0.25">
      <c r="A202" s="5" t="s">
        <v>145</v>
      </c>
      <c r="B202" s="5" t="s">
        <v>147</v>
      </c>
      <c r="C202" s="5" t="s">
        <v>166</v>
      </c>
      <c r="D202" s="6">
        <f t="shared" ca="1" si="99"/>
        <v>0</v>
      </c>
      <c r="E202" s="6" t="str">
        <f t="shared" ca="1" si="100"/>
        <v>-</v>
      </c>
      <c r="F202" s="6">
        <f t="shared" ca="1" si="111"/>
        <v>0</v>
      </c>
      <c r="G202" s="6">
        <f t="shared" ca="1" si="111"/>
        <v>0</v>
      </c>
      <c r="H202" s="6" t="str">
        <f t="shared" ca="1" si="101"/>
        <v>-</v>
      </c>
      <c r="I202" s="6">
        <f t="shared" ca="1" si="112"/>
        <v>0</v>
      </c>
      <c r="J202" s="6">
        <f t="shared" ca="1" si="112"/>
        <v>0</v>
      </c>
      <c r="K202" s="6" t="str">
        <f t="shared" ca="1" si="102"/>
        <v>-</v>
      </c>
      <c r="L202" s="6">
        <f t="shared" ca="1" si="113"/>
        <v>0</v>
      </c>
      <c r="M202" s="6">
        <f t="shared" ca="1" si="113"/>
        <v>52.130434782608695</v>
      </c>
      <c r="N202" s="6">
        <f t="shared" ca="1" si="103"/>
        <v>791.87155963302757</v>
      </c>
      <c r="O202" s="6">
        <f t="shared" ca="1" si="114"/>
        <v>41280.608695652176</v>
      </c>
      <c r="P202" s="6">
        <f t="shared" ca="1" si="114"/>
        <v>-52.130434782608695</v>
      </c>
      <c r="Q202" s="6" t="str">
        <f t="shared" ca="1" si="114"/>
        <v>-</v>
      </c>
      <c r="R202" s="6">
        <f t="shared" ca="1" si="114"/>
        <v>-41280.608695652176</v>
      </c>
      <c r="S202" s="6" t="str">
        <f t="shared" ca="1" si="114"/>
        <v>-</v>
      </c>
      <c r="T202" s="6">
        <f t="shared" ca="1" si="114"/>
        <v>-41280.608695652176</v>
      </c>
      <c r="U202" s="7">
        <f t="shared" ca="1" si="114"/>
        <v>0</v>
      </c>
      <c r="V202" s="7" t="str">
        <f t="shared" ca="1" si="114"/>
        <v>-</v>
      </c>
      <c r="W202" s="7" t="str">
        <f t="shared" ca="1" si="114"/>
        <v>-</v>
      </c>
      <c r="X202" s="7" t="str">
        <f t="shared" ca="1" si="114"/>
        <v>-</v>
      </c>
      <c r="Y202" s="7" t="str">
        <f t="shared" ca="1" si="114"/>
        <v>-</v>
      </c>
      <c r="Z202" s="7">
        <f t="shared" ca="1" si="114"/>
        <v>0</v>
      </c>
      <c r="AA202" s="28" t="str">
        <f t="shared" si="104"/>
        <v>ADC</v>
      </c>
      <c r="AB202" s="28"/>
      <c r="AC202" s="12"/>
      <c r="AD202" s="12"/>
    </row>
    <row r="203" spans="1:30" x14ac:dyDescent="0.25">
      <c r="A203" s="5" t="s">
        <v>145</v>
      </c>
      <c r="B203" s="5" t="s">
        <v>147</v>
      </c>
      <c r="C203" s="5" t="s">
        <v>167</v>
      </c>
      <c r="D203" s="6">
        <f t="shared" ca="1" si="99"/>
        <v>0</v>
      </c>
      <c r="E203" s="6" t="str">
        <f t="shared" ca="1" si="100"/>
        <v>-</v>
      </c>
      <c r="F203" s="6">
        <f t="shared" ca="1" si="111"/>
        <v>0</v>
      </c>
      <c r="G203" s="6">
        <f t="shared" ca="1" si="111"/>
        <v>0</v>
      </c>
      <c r="H203" s="6" t="str">
        <f t="shared" ca="1" si="101"/>
        <v>-</v>
      </c>
      <c r="I203" s="6">
        <f t="shared" ca="1" si="112"/>
        <v>0</v>
      </c>
      <c r="J203" s="6">
        <f t="shared" ca="1" si="112"/>
        <v>10</v>
      </c>
      <c r="K203" s="6">
        <f t="shared" ca="1" si="102"/>
        <v>2174.3029999999999</v>
      </c>
      <c r="L203" s="6">
        <f t="shared" ca="1" si="113"/>
        <v>21743.03</v>
      </c>
      <c r="M203" s="6">
        <f t="shared" ca="1" si="113"/>
        <v>51.652173913043477</v>
      </c>
      <c r="N203" s="6">
        <f t="shared" ca="1" si="103"/>
        <v>793.32407407407413</v>
      </c>
      <c r="O203" s="6">
        <f t="shared" ca="1" si="114"/>
        <v>40976.913043478264</v>
      </c>
      <c r="P203" s="6">
        <f t="shared" ca="1" si="114"/>
        <v>-41.652173913043477</v>
      </c>
      <c r="Q203" s="6">
        <f t="shared" ca="1" si="114"/>
        <v>1380.9789259259258</v>
      </c>
      <c r="R203" s="6">
        <f t="shared" ca="1" si="114"/>
        <v>-19233.883043478265</v>
      </c>
      <c r="S203" s="6">
        <f t="shared" ca="1" si="114"/>
        <v>13809.789259259258</v>
      </c>
      <c r="T203" s="6">
        <f t="shared" ca="1" si="114"/>
        <v>-33043.672302737519</v>
      </c>
      <c r="U203" s="7">
        <f t="shared" ca="1" si="114"/>
        <v>0.19360269360269361</v>
      </c>
      <c r="V203" s="7" t="str">
        <f t="shared" ca="1" si="114"/>
        <v>-</v>
      </c>
      <c r="W203" s="7" t="str">
        <f t="shared" ca="1" si="114"/>
        <v>-</v>
      </c>
      <c r="X203" s="7" t="str">
        <f t="shared" ca="1" si="114"/>
        <v>-</v>
      </c>
      <c r="Y203" s="7" t="str">
        <f t="shared" ca="1" si="114"/>
        <v>-</v>
      </c>
      <c r="Z203" s="7">
        <f t="shared" ca="1" si="114"/>
        <v>0</v>
      </c>
      <c r="AA203" s="28" t="str">
        <f t="shared" si="104"/>
        <v>ADC</v>
      </c>
      <c r="AB203" s="28"/>
      <c r="AC203" s="12"/>
      <c r="AD203" s="12"/>
    </row>
    <row r="204" spans="1:30" x14ac:dyDescent="0.25">
      <c r="A204" s="5" t="s">
        <v>145</v>
      </c>
      <c r="B204" s="5" t="s">
        <v>147</v>
      </c>
      <c r="C204" s="5" t="s">
        <v>168</v>
      </c>
      <c r="D204" s="6">
        <f t="shared" ca="1" si="99"/>
        <v>0</v>
      </c>
      <c r="E204" s="6" t="str">
        <f t="shared" ca="1" si="100"/>
        <v>-</v>
      </c>
      <c r="F204" s="6">
        <f t="shared" ca="1" si="111"/>
        <v>0</v>
      </c>
      <c r="G204" s="6">
        <f t="shared" ca="1" si="111"/>
        <v>0</v>
      </c>
      <c r="H204" s="6" t="str">
        <f t="shared" ca="1" si="101"/>
        <v>-</v>
      </c>
      <c r="I204" s="6">
        <f t="shared" ca="1" si="112"/>
        <v>0</v>
      </c>
      <c r="J204" s="6">
        <f t="shared" ca="1" si="112"/>
        <v>27</v>
      </c>
      <c r="K204" s="6">
        <f t="shared" ca="1" si="102"/>
        <v>413.85518518518518</v>
      </c>
      <c r="L204" s="6">
        <f t="shared" ca="1" si="113"/>
        <v>11174.09</v>
      </c>
      <c r="M204" s="6">
        <f t="shared" ca="1" si="113"/>
        <v>39.217391304347828</v>
      </c>
      <c r="N204" s="6">
        <f t="shared" ca="1" si="103"/>
        <v>789.45121951219505</v>
      </c>
      <c r="O204" s="6">
        <f t="shared" ca="1" si="114"/>
        <v>30960.217391304348</v>
      </c>
      <c r="P204" s="6">
        <f t="shared" ca="1" si="114"/>
        <v>-12.217391304347828</v>
      </c>
      <c r="Q204" s="6">
        <f t="shared" ca="1" si="114"/>
        <v>-375.59603432700987</v>
      </c>
      <c r="R204" s="6">
        <f t="shared" ca="1" si="114"/>
        <v>-19786.127391304348</v>
      </c>
      <c r="S204" s="6">
        <f t="shared" ca="1" si="114"/>
        <v>-10141.092926829268</v>
      </c>
      <c r="T204" s="6">
        <f t="shared" ca="1" si="114"/>
        <v>-9645.0344644750803</v>
      </c>
      <c r="U204" s="7">
        <f t="shared" ca="1" si="114"/>
        <v>0.68847006651884701</v>
      </c>
      <c r="V204" s="7" t="str">
        <f t="shared" ca="1" si="114"/>
        <v>-</v>
      </c>
      <c r="W204" s="7" t="str">
        <f t="shared" ca="1" si="114"/>
        <v>-</v>
      </c>
      <c r="X204" s="7" t="str">
        <f t="shared" ca="1" si="114"/>
        <v>-</v>
      </c>
      <c r="Y204" s="7" t="str">
        <f t="shared" ca="1" si="114"/>
        <v>-</v>
      </c>
      <c r="Z204" s="7">
        <f t="shared" ca="1" si="114"/>
        <v>0</v>
      </c>
      <c r="AA204" s="28" t="str">
        <f t="shared" si="104"/>
        <v>ADC</v>
      </c>
      <c r="AB204" s="28"/>
      <c r="AC204" s="12"/>
      <c r="AD204" s="12"/>
    </row>
    <row r="205" spans="1:30" x14ac:dyDescent="0.25">
      <c r="A205" s="5" t="s">
        <v>144</v>
      </c>
      <c r="B205" s="5" t="s">
        <v>216</v>
      </c>
      <c r="C205" s="5" t="s">
        <v>169</v>
      </c>
      <c r="D205" s="6">
        <f t="shared" ca="1" si="99"/>
        <v>0</v>
      </c>
      <c r="E205" s="6" t="str">
        <f t="shared" ca="1" si="100"/>
        <v>-</v>
      </c>
      <c r="F205" s="6">
        <f t="shared" ca="1" si="111"/>
        <v>0</v>
      </c>
      <c r="G205" s="6">
        <f t="shared" ca="1" si="111"/>
        <v>0</v>
      </c>
      <c r="H205" s="6" t="str">
        <f t="shared" ca="1" si="101"/>
        <v>-</v>
      </c>
      <c r="I205" s="6">
        <f t="shared" ca="1" si="112"/>
        <v>0</v>
      </c>
      <c r="J205" s="6">
        <f t="shared" ca="1" si="112"/>
        <v>47</v>
      </c>
      <c r="K205" s="6">
        <f t="shared" ca="1" si="102"/>
        <v>481.10638297872339</v>
      </c>
      <c r="L205" s="6">
        <f t="shared" ca="1" si="113"/>
        <v>22612</v>
      </c>
      <c r="M205" s="6">
        <f t="shared" ca="1" si="113"/>
        <v>74.608695652173921</v>
      </c>
      <c r="N205" s="6">
        <f t="shared" ca="1" si="103"/>
        <v>612.91666666666663</v>
      </c>
      <c r="O205" s="6">
        <f t="shared" ca="1" si="114"/>
        <v>45728.913043478264</v>
      </c>
      <c r="P205" s="6">
        <f t="shared" ca="1" si="114"/>
        <v>-27.608695652173921</v>
      </c>
      <c r="Q205" s="6">
        <f t="shared" ca="1" si="114"/>
        <v>-131.81028368794324</v>
      </c>
      <c r="R205" s="6">
        <f t="shared" ca="1" si="114"/>
        <v>-23116.913043478264</v>
      </c>
      <c r="S205" s="6">
        <f t="shared" ca="1" si="114"/>
        <v>-6195.0833333333321</v>
      </c>
      <c r="T205" s="6">
        <f t="shared" ca="1" si="114"/>
        <v>-16921.829710144932</v>
      </c>
      <c r="U205" s="7">
        <f t="shared" ca="1" si="114"/>
        <v>0.62995337995337986</v>
      </c>
      <c r="V205" s="7" t="str">
        <f t="shared" ca="1" si="114"/>
        <v>-</v>
      </c>
      <c r="W205" s="7" t="str">
        <f t="shared" ca="1" si="114"/>
        <v>-</v>
      </c>
      <c r="X205" s="7" t="str">
        <f t="shared" ca="1" si="114"/>
        <v>-</v>
      </c>
      <c r="Y205" s="7" t="str">
        <f t="shared" ca="1" si="114"/>
        <v>-</v>
      </c>
      <c r="Z205" s="7">
        <f t="shared" ca="1" si="114"/>
        <v>0</v>
      </c>
      <c r="AA205" s="28" t="str">
        <f t="shared" si="104"/>
        <v>ADC</v>
      </c>
      <c r="AB205" s="28"/>
      <c r="AC205" s="12"/>
      <c r="AD205" s="12"/>
    </row>
    <row r="206" spans="1:30" x14ac:dyDescent="0.25">
      <c r="A206" s="5" t="s">
        <v>144</v>
      </c>
      <c r="B206" s="5" t="s">
        <v>216</v>
      </c>
      <c r="C206" s="5" t="s">
        <v>170</v>
      </c>
      <c r="D206" s="6">
        <f t="shared" ca="1" si="99"/>
        <v>37.782608695652172</v>
      </c>
      <c r="E206" s="6">
        <f t="shared" ca="1" si="100"/>
        <v>562.97468354430384</v>
      </c>
      <c r="F206" s="6">
        <f t="shared" ca="1" si="111"/>
        <v>21270.652173913044</v>
      </c>
      <c r="G206" s="6">
        <f t="shared" ca="1" si="111"/>
        <v>0</v>
      </c>
      <c r="H206" s="6" t="str">
        <f t="shared" ca="1" si="101"/>
        <v>-</v>
      </c>
      <c r="I206" s="6">
        <f t="shared" ca="1" si="112"/>
        <v>0</v>
      </c>
      <c r="J206" s="6">
        <f t="shared" ca="1" si="112"/>
        <v>43</v>
      </c>
      <c r="K206" s="6">
        <f t="shared" ca="1" si="102"/>
        <v>435.08139534883719</v>
      </c>
      <c r="L206" s="6">
        <f t="shared" ca="1" si="113"/>
        <v>18708.5</v>
      </c>
      <c r="M206" s="6">
        <f t="shared" ca="1" si="113"/>
        <v>61.695652173913047</v>
      </c>
      <c r="N206" s="6">
        <f t="shared" ca="1" si="103"/>
        <v>511.7906976744186</v>
      </c>
      <c r="O206" s="6">
        <f t="shared" ref="O206:Z215" ca="1" si="115">IFERROR(VLOOKUP($C206,INDIRECT("'"&amp;$AA206&amp;"-"&amp;$C$1&amp;"'!$C:$AH"),O$30,0),0)</f>
        <v>31575.26086956522</v>
      </c>
      <c r="P206" s="6">
        <f t="shared" ca="1" si="115"/>
        <v>-18.695652173913047</v>
      </c>
      <c r="Q206" s="6">
        <f t="shared" ca="1" si="115"/>
        <v>-76.709302325581405</v>
      </c>
      <c r="R206" s="6">
        <f t="shared" ca="1" si="115"/>
        <v>-12866.76086956522</v>
      </c>
      <c r="S206" s="6">
        <f t="shared" ca="1" si="115"/>
        <v>-3298.5000000000005</v>
      </c>
      <c r="T206" s="6">
        <f t="shared" ca="1" si="115"/>
        <v>-9568.2608695652179</v>
      </c>
      <c r="U206" s="7">
        <f t="shared" ca="1" si="115"/>
        <v>0.69696969696969691</v>
      </c>
      <c r="V206" s="7">
        <f t="shared" ca="1" si="115"/>
        <v>0.13808975834292295</v>
      </c>
      <c r="W206" s="7">
        <f t="shared" ca="1" si="115"/>
        <v>-0.12045480096070317</v>
      </c>
      <c r="X206" s="7" t="str">
        <f t="shared" ca="1" si="115"/>
        <v>-</v>
      </c>
      <c r="Y206" s="7" t="str">
        <f t="shared" ca="1" si="115"/>
        <v>-</v>
      </c>
      <c r="Z206" s="7">
        <f t="shared" ca="1" si="115"/>
        <v>0</v>
      </c>
      <c r="AA206" s="28" t="str">
        <f t="shared" si="104"/>
        <v>ADC</v>
      </c>
      <c r="AB206" s="28"/>
      <c r="AC206" s="12"/>
      <c r="AD206" s="12"/>
    </row>
    <row r="207" spans="1:30" x14ac:dyDescent="0.25">
      <c r="A207" s="5" t="s">
        <v>144</v>
      </c>
      <c r="B207" s="5" t="s">
        <v>216</v>
      </c>
      <c r="C207" s="5" t="s">
        <v>171</v>
      </c>
      <c r="D207" s="6">
        <f t="shared" ca="1" si="99"/>
        <v>0</v>
      </c>
      <c r="E207" s="6" t="str">
        <f t="shared" ca="1" si="100"/>
        <v>-</v>
      </c>
      <c r="F207" s="6">
        <f t="shared" ca="1" si="111"/>
        <v>0</v>
      </c>
      <c r="G207" s="6">
        <f t="shared" ca="1" si="111"/>
        <v>0</v>
      </c>
      <c r="H207" s="6" t="str">
        <f t="shared" ca="1" si="101"/>
        <v>-</v>
      </c>
      <c r="I207" s="6">
        <f t="shared" ca="1" si="112"/>
        <v>0</v>
      </c>
      <c r="J207" s="6">
        <f t="shared" ca="1" si="112"/>
        <v>36</v>
      </c>
      <c r="K207" s="6">
        <f t="shared" ca="1" si="102"/>
        <v>535.40277777777783</v>
      </c>
      <c r="L207" s="6">
        <f t="shared" ca="1" si="113"/>
        <v>19274.5</v>
      </c>
      <c r="M207" s="6">
        <f t="shared" ca="1" si="113"/>
        <v>65.521739130434781</v>
      </c>
      <c r="N207" s="6">
        <f t="shared" ca="1" si="103"/>
        <v>610.67883211678839</v>
      </c>
      <c r="O207" s="6">
        <f t="shared" ca="1" si="115"/>
        <v>40012.739130434784</v>
      </c>
      <c r="P207" s="6">
        <f t="shared" ca="1" si="115"/>
        <v>-29.521739130434781</v>
      </c>
      <c r="Q207" s="6">
        <f t="shared" ca="1" si="115"/>
        <v>-75.276054339010557</v>
      </c>
      <c r="R207" s="6">
        <f t="shared" ca="1" si="115"/>
        <v>-20738.239130434784</v>
      </c>
      <c r="S207" s="6">
        <f t="shared" ca="1" si="115"/>
        <v>-2709.93795620438</v>
      </c>
      <c r="T207" s="6">
        <f t="shared" ca="1" si="115"/>
        <v>-18028.301174230404</v>
      </c>
      <c r="U207" s="7">
        <f t="shared" ca="1" si="115"/>
        <v>0.54943596549435969</v>
      </c>
      <c r="V207" s="7" t="str">
        <f t="shared" ca="1" si="115"/>
        <v>-</v>
      </c>
      <c r="W207" s="7" t="str">
        <f t="shared" ca="1" si="115"/>
        <v>-</v>
      </c>
      <c r="X207" s="7" t="str">
        <f t="shared" ca="1" si="115"/>
        <v>-</v>
      </c>
      <c r="Y207" s="7" t="str">
        <f t="shared" ca="1" si="115"/>
        <v>-</v>
      </c>
      <c r="Z207" s="7">
        <f t="shared" ca="1" si="115"/>
        <v>0</v>
      </c>
      <c r="AA207" s="28" t="str">
        <f t="shared" si="104"/>
        <v>ADC</v>
      </c>
      <c r="AB207" s="28"/>
      <c r="AC207" s="12"/>
      <c r="AD207" s="12"/>
    </row>
    <row r="208" spans="1:30" x14ac:dyDescent="0.25">
      <c r="A208" s="5" t="s">
        <v>145</v>
      </c>
      <c r="B208" s="5" t="s">
        <v>216</v>
      </c>
      <c r="C208" s="5" t="s">
        <v>172</v>
      </c>
      <c r="D208" s="6">
        <f t="shared" ca="1" si="99"/>
        <v>39.695652173913047</v>
      </c>
      <c r="E208" s="6">
        <f t="shared" ca="1" si="100"/>
        <v>807.61530120481927</v>
      </c>
      <c r="F208" s="6">
        <f t="shared" ca="1" si="111"/>
        <v>32058.816086956525</v>
      </c>
      <c r="G208" s="6">
        <f t="shared" ca="1" si="111"/>
        <v>70.782608695652172</v>
      </c>
      <c r="H208" s="6">
        <f t="shared" ca="1" si="101"/>
        <v>609.20317567567588</v>
      </c>
      <c r="I208" s="6">
        <f t="shared" ca="1" si="112"/>
        <v>43120.990000000013</v>
      </c>
      <c r="J208" s="6">
        <f t="shared" ca="1" si="112"/>
        <v>36</v>
      </c>
      <c r="K208" s="6">
        <f t="shared" ca="1" si="102"/>
        <v>586.68638888888881</v>
      </c>
      <c r="L208" s="6">
        <f t="shared" ca="1" si="113"/>
        <v>21120.71</v>
      </c>
      <c r="M208" s="6">
        <f t="shared" ca="1" si="113"/>
        <v>77.478260869565219</v>
      </c>
      <c r="N208" s="6">
        <f t="shared" ca="1" si="103"/>
        <v>791.6111111111112</v>
      </c>
      <c r="O208" s="6">
        <f t="shared" ca="1" si="115"/>
        <v>61332.652173913048</v>
      </c>
      <c r="P208" s="6">
        <f t="shared" ca="1" si="115"/>
        <v>-41.478260869565219</v>
      </c>
      <c r="Q208" s="6">
        <f t="shared" ca="1" si="115"/>
        <v>-204.92472222222239</v>
      </c>
      <c r="R208" s="6">
        <f t="shared" ca="1" si="115"/>
        <v>-40211.942173913048</v>
      </c>
      <c r="S208" s="6">
        <f t="shared" ca="1" si="115"/>
        <v>-7377.2900000000063</v>
      </c>
      <c r="T208" s="6">
        <f t="shared" ca="1" si="115"/>
        <v>-32834.652173913048</v>
      </c>
      <c r="U208" s="7">
        <f t="shared" ca="1" si="115"/>
        <v>0.46464646464646464</v>
      </c>
      <c r="V208" s="7">
        <f t="shared" ca="1" si="115"/>
        <v>-9.3099671412924495E-2</v>
      </c>
      <c r="W208" s="7">
        <f t="shared" ca="1" si="115"/>
        <v>-0.34118870944229324</v>
      </c>
      <c r="X208" s="7">
        <f t="shared" ca="1" si="115"/>
        <v>-0.49140049140049141</v>
      </c>
      <c r="Y208" s="7">
        <f t="shared" ca="1" si="115"/>
        <v>-0.5101988613897781</v>
      </c>
      <c r="Z208" s="7">
        <f t="shared" ca="1" si="115"/>
        <v>0</v>
      </c>
      <c r="AA208" s="28" t="str">
        <f t="shared" si="104"/>
        <v>ADC</v>
      </c>
      <c r="AB208" s="28"/>
      <c r="AC208" s="12"/>
      <c r="AD208" s="12"/>
    </row>
    <row r="209" spans="1:30" x14ac:dyDescent="0.25">
      <c r="A209" s="5" t="s">
        <v>145</v>
      </c>
      <c r="B209" s="5" t="s">
        <v>216</v>
      </c>
      <c r="C209" s="5" t="s">
        <v>173</v>
      </c>
      <c r="D209" s="6">
        <f t="shared" ca="1" si="99"/>
        <v>49.260869565217391</v>
      </c>
      <c r="E209" s="6">
        <f t="shared" ca="1" si="100"/>
        <v>678.74854368932085</v>
      </c>
      <c r="F209" s="6">
        <f t="shared" ca="1" si="111"/>
        <v>33435.743478260891</v>
      </c>
      <c r="G209" s="6">
        <f t="shared" ca="1" si="111"/>
        <v>76.521739130434781</v>
      </c>
      <c r="H209" s="6">
        <f t="shared" ca="1" si="101"/>
        <v>585.10400000000004</v>
      </c>
      <c r="I209" s="6">
        <f t="shared" ca="1" si="112"/>
        <v>44773.175652173915</v>
      </c>
      <c r="J209" s="6">
        <f t="shared" ca="1" si="112"/>
        <v>35</v>
      </c>
      <c r="K209" s="6">
        <f t="shared" ca="1" si="102"/>
        <v>1416.6679999999999</v>
      </c>
      <c r="L209" s="6">
        <f t="shared" ca="1" si="113"/>
        <v>49583.38</v>
      </c>
      <c r="M209" s="6">
        <f t="shared" ca="1" si="113"/>
        <v>83.695652173913047</v>
      </c>
      <c r="N209" s="6">
        <f t="shared" ca="1" si="103"/>
        <v>791.09714285714279</v>
      </c>
      <c r="O209" s="6">
        <f t="shared" ca="1" si="115"/>
        <v>66211.391304347824</v>
      </c>
      <c r="P209" s="6">
        <f t="shared" ca="1" si="115"/>
        <v>-48.695652173913047</v>
      </c>
      <c r="Q209" s="6">
        <f t="shared" ca="1" si="115"/>
        <v>625.57085714285711</v>
      </c>
      <c r="R209" s="6">
        <f t="shared" ca="1" si="115"/>
        <v>-16628.011304347827</v>
      </c>
      <c r="S209" s="6">
        <f t="shared" ca="1" si="115"/>
        <v>21894.98</v>
      </c>
      <c r="T209" s="6">
        <f t="shared" ca="1" si="115"/>
        <v>-38522.991304347823</v>
      </c>
      <c r="U209" s="7">
        <f t="shared" ca="1" si="115"/>
        <v>0.41818181818181815</v>
      </c>
      <c r="V209" s="7">
        <f t="shared" ca="1" si="115"/>
        <v>-0.28949691085613416</v>
      </c>
      <c r="W209" s="7">
        <f t="shared" ca="1" si="115"/>
        <v>0.4829453405825388</v>
      </c>
      <c r="X209" s="7">
        <f t="shared" ca="1" si="115"/>
        <v>-0.54261363636363635</v>
      </c>
      <c r="Y209" s="7">
        <f t="shared" ca="1" si="115"/>
        <v>0.10743496028056539</v>
      </c>
      <c r="Z209" s="7">
        <f t="shared" ca="1" si="115"/>
        <v>0</v>
      </c>
      <c r="AA209" s="28" t="str">
        <f t="shared" si="104"/>
        <v>ADC</v>
      </c>
      <c r="AB209" s="28"/>
      <c r="AC209" s="12"/>
      <c r="AD209" s="12"/>
    </row>
    <row r="210" spans="1:30" x14ac:dyDescent="0.25">
      <c r="A210" s="5" t="s">
        <v>145</v>
      </c>
      <c r="B210" s="5" t="s">
        <v>216</v>
      </c>
      <c r="C210" s="5" t="s">
        <v>174</v>
      </c>
      <c r="D210" s="6">
        <f t="shared" ca="1" si="99"/>
        <v>60.739130434782609</v>
      </c>
      <c r="E210" s="6">
        <f t="shared" ca="1" si="100"/>
        <v>660.30866141732304</v>
      </c>
      <c r="F210" s="6">
        <f t="shared" ca="1" si="111"/>
        <v>40106.573913043489</v>
      </c>
      <c r="G210" s="6">
        <f t="shared" ca="1" si="111"/>
        <v>94.695652173913047</v>
      </c>
      <c r="H210" s="6">
        <f t="shared" ca="1" si="101"/>
        <v>716.00949494949498</v>
      </c>
      <c r="I210" s="6">
        <f t="shared" ca="1" si="112"/>
        <v>67802.986086956531</v>
      </c>
      <c r="J210" s="6">
        <f t="shared" ca="1" si="112"/>
        <v>79</v>
      </c>
      <c r="K210" s="6">
        <f t="shared" ca="1" si="102"/>
        <v>1024.4917721518987</v>
      </c>
      <c r="L210" s="6">
        <f t="shared" ca="1" si="113"/>
        <v>80934.849999999991</v>
      </c>
      <c r="M210" s="6">
        <f t="shared" ca="1" si="113"/>
        <v>61.695652173913047</v>
      </c>
      <c r="N210" s="6">
        <f t="shared" ca="1" si="103"/>
        <v>793.22480620155045</v>
      </c>
      <c r="O210" s="6">
        <f t="shared" ca="1" si="115"/>
        <v>48938.52173913044</v>
      </c>
      <c r="P210" s="6">
        <f t="shared" ca="1" si="115"/>
        <v>17.304347826086953</v>
      </c>
      <c r="Q210" s="6">
        <f t="shared" ca="1" si="115"/>
        <v>231.26696595034821</v>
      </c>
      <c r="R210" s="6">
        <f t="shared" ca="1" si="115"/>
        <v>31996.328260869552</v>
      </c>
      <c r="S210" s="6">
        <f t="shared" ca="1" si="115"/>
        <v>18270.090310077507</v>
      </c>
      <c r="T210" s="6">
        <f t="shared" ca="1" si="115"/>
        <v>13726.237950792045</v>
      </c>
      <c r="U210" s="7">
        <f t="shared" ca="1" si="115"/>
        <v>1.2804792107117688</v>
      </c>
      <c r="V210" s="7">
        <f t="shared" ca="1" si="115"/>
        <v>0.30064423765211168</v>
      </c>
      <c r="W210" s="7">
        <f t="shared" ca="1" si="115"/>
        <v>1.0179946104466007</v>
      </c>
      <c r="X210" s="7">
        <f t="shared" ca="1" si="115"/>
        <v>-0.16574839302112032</v>
      </c>
      <c r="Y210" s="7">
        <f t="shared" ca="1" si="115"/>
        <v>0.19367677842686751</v>
      </c>
      <c r="Z210" s="7">
        <f t="shared" ca="1" si="115"/>
        <v>0</v>
      </c>
      <c r="AA210" s="28" t="str">
        <f t="shared" si="104"/>
        <v>ADC</v>
      </c>
      <c r="AB210" s="28"/>
      <c r="AC210" s="12"/>
      <c r="AD210" s="12"/>
    </row>
    <row r="211" spans="1:30" x14ac:dyDescent="0.25">
      <c r="A211" s="5" t="s">
        <v>145</v>
      </c>
      <c r="B211" s="5" t="s">
        <v>216</v>
      </c>
      <c r="C211" s="5" t="s">
        <v>175</v>
      </c>
      <c r="D211" s="6">
        <f t="shared" ca="1" si="99"/>
        <v>0</v>
      </c>
      <c r="E211" s="6" t="str">
        <f t="shared" ca="1" si="100"/>
        <v>-</v>
      </c>
      <c r="F211" s="6">
        <f t="shared" ca="1" si="111"/>
        <v>0</v>
      </c>
      <c r="G211" s="6">
        <f t="shared" ca="1" si="111"/>
        <v>0</v>
      </c>
      <c r="H211" s="6" t="str">
        <f t="shared" ca="1" si="101"/>
        <v>-</v>
      </c>
      <c r="I211" s="6">
        <f t="shared" ca="1" si="112"/>
        <v>0</v>
      </c>
      <c r="J211" s="6">
        <f t="shared" ca="1" si="112"/>
        <v>44</v>
      </c>
      <c r="K211" s="6">
        <f t="shared" ca="1" si="102"/>
        <v>868.01272727272726</v>
      </c>
      <c r="L211" s="6">
        <f t="shared" ca="1" si="113"/>
        <v>38192.559999999998</v>
      </c>
      <c r="M211" s="6">
        <f t="shared" ca="1" si="113"/>
        <v>83.695652173913047</v>
      </c>
      <c r="N211" s="6">
        <f t="shared" ca="1" si="103"/>
        <v>701.00571428571425</v>
      </c>
      <c r="O211" s="6">
        <f t="shared" ca="1" si="115"/>
        <v>58671.130434782608</v>
      </c>
      <c r="P211" s="6">
        <f t="shared" ca="1" si="115"/>
        <v>-39.695652173913047</v>
      </c>
      <c r="Q211" s="6">
        <f t="shared" ca="1" si="115"/>
        <v>167.00701298701301</v>
      </c>
      <c r="R211" s="6">
        <f t="shared" ca="1" si="115"/>
        <v>-20478.57043478261</v>
      </c>
      <c r="S211" s="6">
        <f t="shared" ca="1" si="115"/>
        <v>7348.3085714285726</v>
      </c>
      <c r="T211" s="6">
        <f t="shared" ca="1" si="115"/>
        <v>-27826.87900621118</v>
      </c>
      <c r="U211" s="7">
        <f t="shared" ca="1" si="115"/>
        <v>0.52571428571428569</v>
      </c>
      <c r="V211" s="7" t="str">
        <f t="shared" ca="1" si="115"/>
        <v>-</v>
      </c>
      <c r="W211" s="7" t="str">
        <f t="shared" ca="1" si="115"/>
        <v>-</v>
      </c>
      <c r="X211" s="7" t="str">
        <f t="shared" ca="1" si="115"/>
        <v>-</v>
      </c>
      <c r="Y211" s="7" t="str">
        <f t="shared" ca="1" si="115"/>
        <v>-</v>
      </c>
      <c r="Z211" s="7">
        <f t="shared" ca="1" si="115"/>
        <v>0</v>
      </c>
      <c r="AA211" s="28" t="str">
        <f t="shared" si="104"/>
        <v>ADC</v>
      </c>
      <c r="AB211" s="28"/>
      <c r="AC211" s="12"/>
      <c r="AD211" s="12"/>
    </row>
    <row r="212" spans="1:30" x14ac:dyDescent="0.25">
      <c r="A212" s="5" t="s">
        <v>145</v>
      </c>
      <c r="B212" s="5" t="s">
        <v>216</v>
      </c>
      <c r="C212" s="5" t="s">
        <v>176</v>
      </c>
      <c r="D212" s="6">
        <f t="shared" ca="1" si="99"/>
        <v>47.347826086956523</v>
      </c>
      <c r="E212" s="6">
        <f t="shared" ca="1" si="100"/>
        <v>404.61222222222227</v>
      </c>
      <c r="F212" s="6">
        <f t="shared" ca="1" si="111"/>
        <v>19157.509130434784</v>
      </c>
      <c r="G212" s="6">
        <f t="shared" ca="1" si="111"/>
        <v>106.65217391304348</v>
      </c>
      <c r="H212" s="6">
        <f t="shared" ca="1" si="101"/>
        <v>387.73829596412554</v>
      </c>
      <c r="I212" s="6">
        <f t="shared" ca="1" si="112"/>
        <v>41353.132173913044</v>
      </c>
      <c r="J212" s="6">
        <f t="shared" ca="1" si="112"/>
        <v>60</v>
      </c>
      <c r="K212" s="6">
        <f t="shared" ca="1" si="102"/>
        <v>762.32316666666679</v>
      </c>
      <c r="L212" s="6">
        <f t="shared" ca="1" si="113"/>
        <v>45739.390000000007</v>
      </c>
      <c r="M212" s="6">
        <f t="shared" ca="1" si="113"/>
        <v>88</v>
      </c>
      <c r="N212" s="6">
        <f t="shared" ca="1" si="103"/>
        <v>639.71195652173913</v>
      </c>
      <c r="O212" s="6">
        <f t="shared" ca="1" si="115"/>
        <v>56294.652173913048</v>
      </c>
      <c r="P212" s="6">
        <f t="shared" ca="1" si="115"/>
        <v>-28</v>
      </c>
      <c r="Q212" s="6">
        <f t="shared" ca="1" si="115"/>
        <v>122.61121014492767</v>
      </c>
      <c r="R212" s="6">
        <f t="shared" ca="1" si="115"/>
        <v>-10555.262173913041</v>
      </c>
      <c r="S212" s="6">
        <f t="shared" ca="1" si="115"/>
        <v>7356.6726086956605</v>
      </c>
      <c r="T212" s="6">
        <f t="shared" ca="1" si="115"/>
        <v>-17911.934782608696</v>
      </c>
      <c r="U212" s="7">
        <f t="shared" ca="1" si="115"/>
        <v>0.68181818181818177</v>
      </c>
      <c r="V212" s="7">
        <f t="shared" ca="1" si="115"/>
        <v>0.26721763085399447</v>
      </c>
      <c r="W212" s="7">
        <f t="shared" ca="1" si="115"/>
        <v>1.3875436878866276</v>
      </c>
      <c r="X212" s="7">
        <f t="shared" ca="1" si="115"/>
        <v>-0.43742356298410112</v>
      </c>
      <c r="Y212" s="7">
        <f t="shared" ca="1" si="115"/>
        <v>0.10606833377554804</v>
      </c>
      <c r="Z212" s="7">
        <f t="shared" ca="1" si="115"/>
        <v>0</v>
      </c>
      <c r="AA212" s="28" t="str">
        <f t="shared" si="104"/>
        <v>ADC</v>
      </c>
      <c r="AB212" s="28"/>
      <c r="AC212" s="12"/>
      <c r="AD212" s="12"/>
    </row>
    <row r="213" spans="1:30" x14ac:dyDescent="0.25">
      <c r="A213" s="5" t="s">
        <v>144</v>
      </c>
      <c r="B213" s="5" t="s">
        <v>147</v>
      </c>
      <c r="C213" s="5" t="s">
        <v>177</v>
      </c>
      <c r="D213" s="6">
        <f t="shared" ca="1" si="99"/>
        <v>56.434782608695656</v>
      </c>
      <c r="E213" s="6">
        <f t="shared" ca="1" si="100"/>
        <v>748.4152542372882</v>
      </c>
      <c r="F213" s="6">
        <f t="shared" ca="1" si="111"/>
        <v>42236.652173913048</v>
      </c>
      <c r="G213" s="6">
        <f t="shared" ca="1" si="111"/>
        <v>73.652173913043484</v>
      </c>
      <c r="H213" s="6">
        <f t="shared" ca="1" si="101"/>
        <v>974.52597402597405</v>
      </c>
      <c r="I213" s="6">
        <f t="shared" ca="1" si="112"/>
        <v>71775.956521739135</v>
      </c>
      <c r="J213" s="6">
        <f t="shared" ca="1" si="112"/>
        <v>46</v>
      </c>
      <c r="K213" s="6">
        <f t="shared" ca="1" si="102"/>
        <v>538.45652173913038</v>
      </c>
      <c r="L213" s="6">
        <f t="shared" ca="1" si="113"/>
        <v>24769</v>
      </c>
      <c r="M213" s="6">
        <f t="shared" ca="1" si="113"/>
        <v>81.304347826086953</v>
      </c>
      <c r="N213" s="6">
        <f t="shared" ca="1" si="103"/>
        <v>873.0235294117648</v>
      </c>
      <c r="O213" s="6">
        <f t="shared" ca="1" si="115"/>
        <v>70980.608695652176</v>
      </c>
      <c r="P213" s="6">
        <f t="shared" ca="1" si="115"/>
        <v>-35.304347826086953</v>
      </c>
      <c r="Q213" s="6">
        <f t="shared" ca="1" si="115"/>
        <v>-334.56700767263442</v>
      </c>
      <c r="R213" s="6">
        <f t="shared" ca="1" si="115"/>
        <v>-46211.608695652176</v>
      </c>
      <c r="S213" s="6">
        <f t="shared" ca="1" si="115"/>
        <v>-15390.082352941183</v>
      </c>
      <c r="T213" s="6">
        <f t="shared" ca="1" si="115"/>
        <v>-30821.526342710997</v>
      </c>
      <c r="U213" s="7">
        <f t="shared" ca="1" si="115"/>
        <v>0.56577540106951874</v>
      </c>
      <c r="V213" s="7">
        <f t="shared" ca="1" si="115"/>
        <v>-0.18489984591679512</v>
      </c>
      <c r="W213" s="7">
        <f t="shared" ca="1" si="115"/>
        <v>-0.41356621026658286</v>
      </c>
      <c r="X213" s="7">
        <f t="shared" ca="1" si="115"/>
        <v>-0.37544273907910275</v>
      </c>
      <c r="Y213" s="7">
        <f t="shared" ca="1" si="115"/>
        <v>-0.65491229653626293</v>
      </c>
      <c r="Z213" s="7">
        <f t="shared" ca="1" si="115"/>
        <v>0</v>
      </c>
      <c r="AA213" s="28" t="str">
        <f t="shared" si="104"/>
        <v>ADC</v>
      </c>
      <c r="AB213" s="28"/>
      <c r="AC213" s="12"/>
      <c r="AD213" s="12"/>
    </row>
    <row r="214" spans="1:30" x14ac:dyDescent="0.25">
      <c r="A214" s="5" t="s">
        <v>144</v>
      </c>
      <c r="B214" s="5" t="s">
        <v>147</v>
      </c>
      <c r="C214" s="5" t="s">
        <v>178</v>
      </c>
      <c r="D214" s="6">
        <f t="shared" ca="1" si="99"/>
        <v>51.652173913043477</v>
      </c>
      <c r="E214" s="6">
        <f t="shared" ca="1" si="100"/>
        <v>373.39814814814821</v>
      </c>
      <c r="F214" s="6">
        <f t="shared" ca="1" si="111"/>
        <v>19286.826086956524</v>
      </c>
      <c r="G214" s="6">
        <f t="shared" ca="1" si="111"/>
        <v>98.521739130434781</v>
      </c>
      <c r="H214" s="6">
        <f t="shared" ca="1" si="101"/>
        <v>746.80893203883454</v>
      </c>
      <c r="I214" s="6">
        <f t="shared" ca="1" si="112"/>
        <v>73576.914782608656</v>
      </c>
      <c r="J214" s="6">
        <f t="shared" ca="1" si="112"/>
        <v>73</v>
      </c>
      <c r="K214" s="6">
        <f t="shared" ca="1" si="102"/>
        <v>539.63698630136992</v>
      </c>
      <c r="L214" s="6">
        <f t="shared" ca="1" si="113"/>
        <v>39393.5</v>
      </c>
      <c r="M214" s="6">
        <f t="shared" ca="1" si="113"/>
        <v>86.08695652173914</v>
      </c>
      <c r="N214" s="6">
        <f t="shared" ca="1" si="103"/>
        <v>873.54999999999984</v>
      </c>
      <c r="O214" s="6">
        <f t="shared" ca="1" si="115"/>
        <v>75201.260869565216</v>
      </c>
      <c r="P214" s="6">
        <f t="shared" ca="1" si="115"/>
        <v>-13.08695652173914</v>
      </c>
      <c r="Q214" s="6">
        <f t="shared" ca="1" si="115"/>
        <v>-333.91301369862992</v>
      </c>
      <c r="R214" s="6">
        <f t="shared" ca="1" si="115"/>
        <v>-35807.760869565216</v>
      </c>
      <c r="S214" s="6">
        <f t="shared" ca="1" si="115"/>
        <v>-24375.649999999983</v>
      </c>
      <c r="T214" s="6">
        <f t="shared" ca="1" si="115"/>
        <v>-11432.110869565224</v>
      </c>
      <c r="U214" s="7">
        <f t="shared" ca="1" si="115"/>
        <v>0.84797979797979783</v>
      </c>
      <c r="V214" s="7">
        <f t="shared" ca="1" si="115"/>
        <v>0.41329966329966333</v>
      </c>
      <c r="W214" s="7">
        <f t="shared" ca="1" si="115"/>
        <v>1.0425081774673857</v>
      </c>
      <c r="X214" s="7">
        <f t="shared" ca="1" si="115"/>
        <v>-0.25904677846425417</v>
      </c>
      <c r="Y214" s="7">
        <f t="shared" ca="1" si="115"/>
        <v>-0.46459429406094876</v>
      </c>
      <c r="Z214" s="7">
        <f t="shared" ca="1" si="115"/>
        <v>0</v>
      </c>
      <c r="AA214" s="28" t="str">
        <f t="shared" si="104"/>
        <v>ADC</v>
      </c>
      <c r="AB214" s="28"/>
      <c r="AC214" s="12"/>
      <c r="AD214" s="12"/>
    </row>
    <row r="215" spans="1:30" x14ac:dyDescent="0.25">
      <c r="A215" s="5" t="s">
        <v>144</v>
      </c>
      <c r="B215" s="5" t="s">
        <v>211</v>
      </c>
      <c r="C215" s="5" t="s">
        <v>179</v>
      </c>
      <c r="D215" s="6">
        <f t="shared" ca="1" si="99"/>
        <v>88.478260869565219</v>
      </c>
      <c r="E215" s="6">
        <f t="shared" ca="1" si="100"/>
        <v>417.97297297297303</v>
      </c>
      <c r="F215" s="6">
        <f t="shared" ca="1" si="111"/>
        <v>36981.52173913044</v>
      </c>
      <c r="G215" s="6">
        <f t="shared" ca="1" si="111"/>
        <v>110</v>
      </c>
      <c r="H215" s="6">
        <f t="shared" ca="1" si="101"/>
        <v>728.69339130434787</v>
      </c>
      <c r="I215" s="6">
        <f t="shared" ca="1" si="112"/>
        <v>80156.273043478272</v>
      </c>
      <c r="J215" s="6">
        <f t="shared" ca="1" si="112"/>
        <v>56</v>
      </c>
      <c r="K215" s="6">
        <f t="shared" ca="1" si="102"/>
        <v>660.71428571428567</v>
      </c>
      <c r="L215" s="6">
        <f t="shared" ca="1" si="113"/>
        <v>37000</v>
      </c>
      <c r="M215" s="6">
        <f t="shared" ca="1" si="113"/>
        <v>99</v>
      </c>
      <c r="N215" s="6">
        <f t="shared" ca="1" si="103"/>
        <v>792</v>
      </c>
      <c r="O215" s="6">
        <f t="shared" ca="1" si="115"/>
        <v>78408</v>
      </c>
      <c r="P215" s="6">
        <f t="shared" ca="1" si="115"/>
        <v>-43</v>
      </c>
      <c r="Q215" s="6">
        <f t="shared" ca="1" si="115"/>
        <v>-131.28571428571433</v>
      </c>
      <c r="R215" s="6">
        <f t="shared" ca="1" si="115"/>
        <v>-41408</v>
      </c>
      <c r="S215" s="6">
        <f t="shared" ca="1" si="115"/>
        <v>-7352.0000000000027</v>
      </c>
      <c r="T215" s="6">
        <f t="shared" ca="1" si="115"/>
        <v>-34056</v>
      </c>
      <c r="U215" s="7">
        <f t="shared" ca="1" si="115"/>
        <v>0.56565656565656564</v>
      </c>
      <c r="V215" s="7">
        <f t="shared" ca="1" si="115"/>
        <v>-0.36707616707616708</v>
      </c>
      <c r="W215" s="7">
        <f t="shared" ca="1" si="115"/>
        <v>4.9966199335730634E-4</v>
      </c>
      <c r="X215" s="7">
        <f t="shared" ca="1" si="115"/>
        <v>-0.49090909090909091</v>
      </c>
      <c r="Y215" s="7">
        <f t="shared" ca="1" si="115"/>
        <v>-0.53840169215539124</v>
      </c>
      <c r="Z215" s="7">
        <f t="shared" ca="1" si="115"/>
        <v>0</v>
      </c>
      <c r="AA215" s="28" t="str">
        <f t="shared" si="104"/>
        <v>ADC</v>
      </c>
      <c r="AB215" s="28"/>
      <c r="AC215" s="12"/>
      <c r="AD215" s="12"/>
    </row>
    <row r="216" spans="1:30" x14ac:dyDescent="0.25">
      <c r="A216" s="5" t="s">
        <v>145</v>
      </c>
      <c r="B216" s="5" t="s">
        <v>219</v>
      </c>
      <c r="C216" s="5" t="s">
        <v>180</v>
      </c>
      <c r="D216" s="6">
        <f t="shared" ca="1" si="99"/>
        <v>72.695652173913047</v>
      </c>
      <c r="E216" s="6">
        <f t="shared" ca="1" si="100"/>
        <v>379.16559210526299</v>
      </c>
      <c r="F216" s="6">
        <f t="shared" ref="F216:G235" ca="1" si="116">IFERROR(VLOOKUP($C216,INDIRECT("'"&amp;$AA216&amp;"-"&amp;$C$1&amp;"'!$C:$AH"),F$30,0),0)</f>
        <v>27563.689999999988</v>
      </c>
      <c r="G216" s="6">
        <f t="shared" ca="1" si="116"/>
        <v>139.65217391304347</v>
      </c>
      <c r="H216" s="6">
        <f t="shared" ca="1" si="101"/>
        <v>413.98780821917808</v>
      </c>
      <c r="I216" s="6">
        <f t="shared" ref="I216:J235" ca="1" si="117">IFERROR(VLOOKUP($C216,INDIRECT("'"&amp;$AA216&amp;"-"&amp;$C$1&amp;"'!$C:$AH"),I$30,0),0)</f>
        <v>57814.297391304346</v>
      </c>
      <c r="J216" s="6">
        <f t="shared" ca="1" si="117"/>
        <v>98</v>
      </c>
      <c r="K216" s="6">
        <f t="shared" ca="1" si="102"/>
        <v>585.6583673469388</v>
      </c>
      <c r="L216" s="6">
        <f t="shared" ref="L216:M235" ca="1" si="118">IFERROR(VLOOKUP($C216,INDIRECT("'"&amp;$AA216&amp;"-"&amp;$C$1&amp;"'!$C:$AH"),L$30,0),0)</f>
        <v>57394.520000000004</v>
      </c>
      <c r="M216" s="6">
        <f t="shared" ca="1" si="118"/>
        <v>138.21739130434784</v>
      </c>
      <c r="N216" s="6">
        <f t="shared" ca="1" si="103"/>
        <v>522.63667820069202</v>
      </c>
      <c r="O216" s="6">
        <f t="shared" ref="O216:Z225" ca="1" si="119">IFERROR(VLOOKUP($C216,INDIRECT("'"&amp;$AA216&amp;"-"&amp;$C$1&amp;"'!$C:$AH"),O$30,0),0)</f>
        <v>72237.478260869568</v>
      </c>
      <c r="P216" s="6">
        <f t="shared" ca="1" si="119"/>
        <v>-40.217391304347842</v>
      </c>
      <c r="Q216" s="6">
        <f t="shared" ca="1" si="119"/>
        <v>63.021689146246786</v>
      </c>
      <c r="R216" s="6">
        <f t="shared" ca="1" si="119"/>
        <v>-14842.958260869564</v>
      </c>
      <c r="S216" s="6">
        <f t="shared" ca="1" si="119"/>
        <v>6176.1255363321852</v>
      </c>
      <c r="T216" s="6">
        <f t="shared" ca="1" si="119"/>
        <v>-21019.083797201754</v>
      </c>
      <c r="U216" s="7">
        <f t="shared" ca="1" si="119"/>
        <v>0.70902799622522794</v>
      </c>
      <c r="V216" s="7">
        <f t="shared" ca="1" si="119"/>
        <v>0.34808612440191383</v>
      </c>
      <c r="W216" s="7">
        <f t="shared" ca="1" si="119"/>
        <v>1.0822509613190407</v>
      </c>
      <c r="X216" s="7">
        <f t="shared" ca="1" si="119"/>
        <v>-0.29825653798256535</v>
      </c>
      <c r="Y216" s="7">
        <f t="shared" ca="1" si="119"/>
        <v>-7.2607885980722703E-3</v>
      </c>
      <c r="Z216" s="7">
        <f t="shared" ca="1" si="119"/>
        <v>0</v>
      </c>
      <c r="AA216" s="28" t="str">
        <f t="shared" si="104"/>
        <v>ADC</v>
      </c>
      <c r="AB216" s="28"/>
      <c r="AC216" s="12"/>
      <c r="AD216" s="12"/>
    </row>
    <row r="217" spans="1:30" x14ac:dyDescent="0.25">
      <c r="A217" s="5" t="s">
        <v>145</v>
      </c>
      <c r="B217" s="5" t="s">
        <v>219</v>
      </c>
      <c r="C217" s="5" t="s">
        <v>181</v>
      </c>
      <c r="D217" s="6">
        <f t="shared" ca="1" si="99"/>
        <v>106.17391304347827</v>
      </c>
      <c r="E217" s="6">
        <f t="shared" ca="1" si="100"/>
        <v>478.64252252252265</v>
      </c>
      <c r="F217" s="6">
        <f t="shared" ca="1" si="116"/>
        <v>50819.34956521741</v>
      </c>
      <c r="G217" s="6">
        <f t="shared" ca="1" si="116"/>
        <v>100.43478260869566</v>
      </c>
      <c r="H217" s="6">
        <f t="shared" ca="1" si="101"/>
        <v>463.35395238095259</v>
      </c>
      <c r="I217" s="6">
        <f t="shared" ca="1" si="117"/>
        <v>46536.853478260891</v>
      </c>
      <c r="J217" s="6">
        <f t="shared" ca="1" si="117"/>
        <v>120</v>
      </c>
      <c r="K217" s="6">
        <f t="shared" ca="1" si="102"/>
        <v>548.72316666666666</v>
      </c>
      <c r="L217" s="6">
        <f t="shared" ca="1" si="118"/>
        <v>65846.78</v>
      </c>
      <c r="M217" s="6">
        <f t="shared" ca="1" si="118"/>
        <v>138.21739130434784</v>
      </c>
      <c r="N217" s="6">
        <f t="shared" ca="1" si="103"/>
        <v>522.63667820069202</v>
      </c>
      <c r="O217" s="6">
        <f t="shared" ca="1" si="119"/>
        <v>72237.478260869568</v>
      </c>
      <c r="P217" s="6">
        <f t="shared" ca="1" si="119"/>
        <v>-18.217391304347842</v>
      </c>
      <c r="Q217" s="6">
        <f t="shared" ca="1" si="119"/>
        <v>26.086488465974639</v>
      </c>
      <c r="R217" s="6">
        <f t="shared" ca="1" si="119"/>
        <v>-6390.6982608695689</v>
      </c>
      <c r="S217" s="6">
        <f t="shared" ca="1" si="119"/>
        <v>3130.3786159169567</v>
      </c>
      <c r="T217" s="6">
        <f t="shared" ca="1" si="119"/>
        <v>-9521.0768767865284</v>
      </c>
      <c r="U217" s="7">
        <f t="shared" ca="1" si="119"/>
        <v>0.86819754639823832</v>
      </c>
      <c r="V217" s="7">
        <f t="shared" ca="1" si="119"/>
        <v>0.13022113022113019</v>
      </c>
      <c r="W217" s="7">
        <f t="shared" ca="1" si="119"/>
        <v>0.29570292739574738</v>
      </c>
      <c r="X217" s="7">
        <f t="shared" ca="1" si="119"/>
        <v>0.19480519480519476</v>
      </c>
      <c r="Y217" s="7">
        <f t="shared" ca="1" si="119"/>
        <v>0.41493837847802706</v>
      </c>
      <c r="Z217" s="7">
        <f t="shared" ca="1" si="119"/>
        <v>0</v>
      </c>
      <c r="AA217" s="28" t="str">
        <f t="shared" si="104"/>
        <v>ADC</v>
      </c>
      <c r="AB217" s="28"/>
      <c r="AC217" s="12"/>
      <c r="AD217" s="12"/>
    </row>
    <row r="218" spans="1:30" x14ac:dyDescent="0.25">
      <c r="A218" s="5" t="s">
        <v>145</v>
      </c>
      <c r="B218" s="5" t="s">
        <v>219</v>
      </c>
      <c r="C218" s="5" t="s">
        <v>182</v>
      </c>
      <c r="D218" s="6">
        <f t="shared" ca="1" si="99"/>
        <v>0</v>
      </c>
      <c r="E218" s="6" t="str">
        <f t="shared" ca="1" si="100"/>
        <v>-</v>
      </c>
      <c r="F218" s="6">
        <f t="shared" ca="1" si="116"/>
        <v>0</v>
      </c>
      <c r="G218" s="6">
        <f t="shared" ca="1" si="116"/>
        <v>0</v>
      </c>
      <c r="H218" s="6" t="str">
        <f t="shared" ca="1" si="101"/>
        <v>-</v>
      </c>
      <c r="I218" s="6">
        <f t="shared" ca="1" si="117"/>
        <v>0</v>
      </c>
      <c r="J218" s="6">
        <f t="shared" ca="1" si="117"/>
        <v>0</v>
      </c>
      <c r="K218" s="6" t="str">
        <f t="shared" ca="1" si="102"/>
        <v>-</v>
      </c>
      <c r="L218" s="6">
        <f t="shared" ca="1" si="118"/>
        <v>0</v>
      </c>
      <c r="M218" s="6">
        <f t="shared" ca="1" si="118"/>
        <v>55</v>
      </c>
      <c r="N218" s="6">
        <f t="shared" ca="1" si="103"/>
        <v>523.91304347826087</v>
      </c>
      <c r="O218" s="6">
        <f t="shared" ca="1" si="119"/>
        <v>28815.217391304348</v>
      </c>
      <c r="P218" s="6">
        <f t="shared" ca="1" si="119"/>
        <v>-55</v>
      </c>
      <c r="Q218" s="6" t="str">
        <f t="shared" ca="1" si="119"/>
        <v>-</v>
      </c>
      <c r="R218" s="6">
        <f t="shared" ca="1" si="119"/>
        <v>-28815.217391304348</v>
      </c>
      <c r="S218" s="6" t="str">
        <f t="shared" ca="1" si="119"/>
        <v>-</v>
      </c>
      <c r="T218" s="6">
        <f t="shared" ca="1" si="119"/>
        <v>-28815.217391304348</v>
      </c>
      <c r="U218" s="7">
        <f t="shared" ca="1" si="119"/>
        <v>0</v>
      </c>
      <c r="V218" s="7" t="str">
        <f t="shared" ca="1" si="119"/>
        <v>-</v>
      </c>
      <c r="W218" s="7" t="str">
        <f t="shared" ca="1" si="119"/>
        <v>-</v>
      </c>
      <c r="X218" s="7" t="str">
        <f t="shared" ca="1" si="119"/>
        <v>-</v>
      </c>
      <c r="Y218" s="7" t="str">
        <f t="shared" ca="1" si="119"/>
        <v>-</v>
      </c>
      <c r="Z218" s="7">
        <f t="shared" ca="1" si="119"/>
        <v>0</v>
      </c>
      <c r="AA218" s="28" t="str">
        <f t="shared" si="104"/>
        <v>ADC</v>
      </c>
      <c r="AB218" s="28"/>
      <c r="AC218" s="12"/>
      <c r="AD218" s="12"/>
    </row>
    <row r="219" spans="1:30" x14ac:dyDescent="0.25">
      <c r="A219" s="5" t="s">
        <v>145</v>
      </c>
      <c r="B219" s="5" t="s">
        <v>149</v>
      </c>
      <c r="C219" s="5" t="s">
        <v>183</v>
      </c>
      <c r="D219" s="6">
        <f t="shared" ca="1" si="99"/>
        <v>67.434782608695656</v>
      </c>
      <c r="E219" s="6">
        <f t="shared" ca="1" si="100"/>
        <v>621.61652482269517</v>
      </c>
      <c r="F219" s="6">
        <f t="shared" ca="1" si="116"/>
        <v>41918.575217391313</v>
      </c>
      <c r="G219" s="6">
        <f t="shared" ca="1" si="116"/>
        <v>103.78260869565217</v>
      </c>
      <c r="H219" s="6">
        <f t="shared" ca="1" si="101"/>
        <v>539.73502304147485</v>
      </c>
      <c r="I219" s="6">
        <f t="shared" ca="1" si="117"/>
        <v>56015.10869565219</v>
      </c>
      <c r="J219" s="6">
        <f t="shared" ca="1" si="117"/>
        <v>21</v>
      </c>
      <c r="K219" s="6">
        <f t="shared" ca="1" si="102"/>
        <v>625.71428571428567</v>
      </c>
      <c r="L219" s="6">
        <f t="shared" ca="1" si="118"/>
        <v>13140</v>
      </c>
      <c r="M219" s="6">
        <f t="shared" ca="1" si="118"/>
        <v>58.347826086956523</v>
      </c>
      <c r="N219" s="6">
        <f t="shared" ca="1" si="103"/>
        <v>519.29508196721315</v>
      </c>
      <c r="O219" s="6">
        <f t="shared" ca="1" si="119"/>
        <v>30299.739130434784</v>
      </c>
      <c r="P219" s="6">
        <f t="shared" ca="1" si="119"/>
        <v>-37.347826086956523</v>
      </c>
      <c r="Q219" s="6">
        <f t="shared" ca="1" si="119"/>
        <v>106.41920374707252</v>
      </c>
      <c r="R219" s="6">
        <f t="shared" ca="1" si="119"/>
        <v>-17159.739130434784</v>
      </c>
      <c r="S219" s="6">
        <f t="shared" ca="1" si="119"/>
        <v>2234.8032786885228</v>
      </c>
      <c r="T219" s="6">
        <f t="shared" ca="1" si="119"/>
        <v>-19394.542409123311</v>
      </c>
      <c r="U219" s="7">
        <f t="shared" ca="1" si="119"/>
        <v>0.3599105812220566</v>
      </c>
      <c r="V219" s="7">
        <f t="shared" ca="1" si="119"/>
        <v>-0.68858800773694395</v>
      </c>
      <c r="W219" s="7">
        <f t="shared" ca="1" si="119"/>
        <v>-0.68653514744106969</v>
      </c>
      <c r="X219" s="7">
        <f t="shared" ca="1" si="119"/>
        <v>-0.79765395894428148</v>
      </c>
      <c r="Y219" s="7">
        <f t="shared" ca="1" si="119"/>
        <v>-0.76542043198748788</v>
      </c>
      <c r="Z219" s="7">
        <f t="shared" ca="1" si="119"/>
        <v>0</v>
      </c>
      <c r="AA219" s="28" t="str">
        <f t="shared" si="104"/>
        <v>ADC</v>
      </c>
      <c r="AB219" s="28"/>
      <c r="AC219" s="12"/>
      <c r="AD219" s="12"/>
    </row>
    <row r="220" spans="1:30" x14ac:dyDescent="0.25">
      <c r="A220" s="5" t="s">
        <v>145</v>
      </c>
      <c r="B220" s="5" t="s">
        <v>211</v>
      </c>
      <c r="C220" s="5" t="s">
        <v>184</v>
      </c>
      <c r="D220" s="6">
        <f t="shared" ca="1" si="99"/>
        <v>0</v>
      </c>
      <c r="E220" s="6" t="str">
        <f t="shared" ca="1" si="100"/>
        <v>-</v>
      </c>
      <c r="F220" s="6">
        <f t="shared" ca="1" si="116"/>
        <v>0</v>
      </c>
      <c r="G220" s="6">
        <f t="shared" ca="1" si="116"/>
        <v>0</v>
      </c>
      <c r="H220" s="6" t="str">
        <f t="shared" ca="1" si="101"/>
        <v>-</v>
      </c>
      <c r="I220" s="6">
        <f t="shared" ca="1" si="117"/>
        <v>0</v>
      </c>
      <c r="J220" s="6">
        <f t="shared" ca="1" si="117"/>
        <v>85</v>
      </c>
      <c r="K220" s="6">
        <f t="shared" ca="1" si="102"/>
        <v>402.51776470588231</v>
      </c>
      <c r="L220" s="6">
        <f t="shared" ca="1" si="118"/>
        <v>34214.009999999995</v>
      </c>
      <c r="M220" s="6">
        <f t="shared" ca="1" si="118"/>
        <v>125.30434782608695</v>
      </c>
      <c r="N220" s="6">
        <f t="shared" ca="1" si="103"/>
        <v>520.83206106870239</v>
      </c>
      <c r="O220" s="6">
        <f t="shared" ca="1" si="119"/>
        <v>65262.52173913044</v>
      </c>
      <c r="P220" s="6">
        <f t="shared" ca="1" si="119"/>
        <v>-40.304347826086953</v>
      </c>
      <c r="Q220" s="6">
        <f t="shared" ca="1" si="119"/>
        <v>-118.31429636282007</v>
      </c>
      <c r="R220" s="6">
        <f t="shared" ca="1" si="119"/>
        <v>-31048.511739130445</v>
      </c>
      <c r="S220" s="6">
        <f t="shared" ca="1" si="119"/>
        <v>-10056.715190839706</v>
      </c>
      <c r="T220" s="6">
        <f t="shared" ca="1" si="119"/>
        <v>-20991.796548290742</v>
      </c>
      <c r="U220" s="7">
        <f t="shared" ca="1" si="119"/>
        <v>0.67834836918806385</v>
      </c>
      <c r="V220" s="7" t="str">
        <f t="shared" ca="1" si="119"/>
        <v>-</v>
      </c>
      <c r="W220" s="7" t="str">
        <f t="shared" ca="1" si="119"/>
        <v>-</v>
      </c>
      <c r="X220" s="7" t="str">
        <f t="shared" ca="1" si="119"/>
        <v>-</v>
      </c>
      <c r="Y220" s="7" t="str">
        <f t="shared" ca="1" si="119"/>
        <v>-</v>
      </c>
      <c r="Z220" s="7">
        <f t="shared" ca="1" si="119"/>
        <v>0</v>
      </c>
      <c r="AA220" s="28" t="str">
        <f t="shared" si="104"/>
        <v>ADC</v>
      </c>
      <c r="AB220" s="28"/>
      <c r="AC220" s="12"/>
      <c r="AD220" s="12"/>
    </row>
    <row r="221" spans="1:30" x14ac:dyDescent="0.25">
      <c r="A221" s="5" t="s">
        <v>144</v>
      </c>
      <c r="B221" s="5" t="s">
        <v>219</v>
      </c>
      <c r="C221" s="5" t="s">
        <v>185</v>
      </c>
      <c r="D221" s="6">
        <f t="shared" ca="1" si="99"/>
        <v>0</v>
      </c>
      <c r="E221" s="6" t="str">
        <f t="shared" ca="1" si="100"/>
        <v>-</v>
      </c>
      <c r="F221" s="6">
        <f t="shared" ca="1" si="116"/>
        <v>0</v>
      </c>
      <c r="G221" s="6">
        <f t="shared" ca="1" si="116"/>
        <v>0</v>
      </c>
      <c r="H221" s="6" t="str">
        <f t="shared" ca="1" si="101"/>
        <v>-</v>
      </c>
      <c r="I221" s="6">
        <f t="shared" ca="1" si="117"/>
        <v>0</v>
      </c>
      <c r="J221" s="6">
        <f t="shared" ca="1" si="117"/>
        <v>67</v>
      </c>
      <c r="K221" s="6">
        <f t="shared" ca="1" si="102"/>
        <v>486.17134328358213</v>
      </c>
      <c r="L221" s="6">
        <f t="shared" ca="1" si="118"/>
        <v>32573.480000000003</v>
      </c>
      <c r="M221" s="6">
        <f t="shared" ca="1" si="118"/>
        <v>116.21739130434783</v>
      </c>
      <c r="N221" s="6">
        <f t="shared" ca="1" si="103"/>
        <v>430.78189300411526</v>
      </c>
      <c r="O221" s="6">
        <f t="shared" ca="1" si="119"/>
        <v>50064.34782608696</v>
      </c>
      <c r="P221" s="6">
        <f t="shared" ca="1" si="119"/>
        <v>-49.217391304347828</v>
      </c>
      <c r="Q221" s="6">
        <f t="shared" ca="1" si="119"/>
        <v>55.389450279466871</v>
      </c>
      <c r="R221" s="6">
        <f t="shared" ca="1" si="119"/>
        <v>-17490.867826086956</v>
      </c>
      <c r="S221" s="6">
        <f t="shared" ca="1" si="119"/>
        <v>3711.0931687242805</v>
      </c>
      <c r="T221" s="6">
        <f t="shared" ca="1" si="119"/>
        <v>-21201.960994811237</v>
      </c>
      <c r="U221" s="7">
        <f t="shared" ca="1" si="119"/>
        <v>0.57650579872802099</v>
      </c>
      <c r="V221" s="7" t="str">
        <f t="shared" ca="1" si="119"/>
        <v>-</v>
      </c>
      <c r="W221" s="7" t="str">
        <f t="shared" ca="1" si="119"/>
        <v>-</v>
      </c>
      <c r="X221" s="7" t="str">
        <f t="shared" ca="1" si="119"/>
        <v>-</v>
      </c>
      <c r="Y221" s="7" t="str">
        <f t="shared" ca="1" si="119"/>
        <v>-</v>
      </c>
      <c r="Z221" s="7">
        <f t="shared" ca="1" si="119"/>
        <v>0</v>
      </c>
      <c r="AA221" s="28" t="str">
        <f t="shared" si="104"/>
        <v>ADC</v>
      </c>
      <c r="AB221" s="28"/>
      <c r="AC221" s="12"/>
      <c r="AD221" s="12"/>
    </row>
    <row r="222" spans="1:30" x14ac:dyDescent="0.25">
      <c r="A222" s="5" t="s">
        <v>144</v>
      </c>
      <c r="B222" s="5" t="s">
        <v>219</v>
      </c>
      <c r="C222" s="5" t="s">
        <v>186</v>
      </c>
      <c r="D222" s="6">
        <f t="shared" ca="1" si="99"/>
        <v>63.608695652173914</v>
      </c>
      <c r="E222" s="6">
        <f t="shared" ca="1" si="100"/>
        <v>249.30458646616543</v>
      </c>
      <c r="F222" s="6">
        <f t="shared" ca="1" si="116"/>
        <v>15857.939565217393</v>
      </c>
      <c r="G222" s="6">
        <f t="shared" ca="1" si="116"/>
        <v>118.1304347826087</v>
      </c>
      <c r="H222" s="6">
        <f t="shared" ca="1" si="101"/>
        <v>405.35838056680154</v>
      </c>
      <c r="I222" s="6">
        <f t="shared" ca="1" si="117"/>
        <v>47885.161739130432</v>
      </c>
      <c r="J222" s="6">
        <f t="shared" ca="1" si="117"/>
        <v>81</v>
      </c>
      <c r="K222" s="6">
        <f t="shared" ca="1" si="102"/>
        <v>386.64913580246912</v>
      </c>
      <c r="L222" s="6">
        <f t="shared" ca="1" si="118"/>
        <v>31318.579999999998</v>
      </c>
      <c r="M222" s="6">
        <f t="shared" ca="1" si="118"/>
        <v>116.21739130434783</v>
      </c>
      <c r="N222" s="6">
        <f t="shared" ca="1" si="103"/>
        <v>499.5267489711934</v>
      </c>
      <c r="O222" s="6">
        <f t="shared" ca="1" si="119"/>
        <v>58053.695652173912</v>
      </c>
      <c r="P222" s="6">
        <f t="shared" ca="1" si="119"/>
        <v>-35.217391304347828</v>
      </c>
      <c r="Q222" s="6">
        <f t="shared" ca="1" si="119"/>
        <v>-112.87761316872428</v>
      </c>
      <c r="R222" s="6">
        <f t="shared" ca="1" si="119"/>
        <v>-26735.115652173914</v>
      </c>
      <c r="S222" s="6">
        <f t="shared" ca="1" si="119"/>
        <v>-9143.0866666666661</v>
      </c>
      <c r="T222" s="6">
        <f t="shared" ca="1" si="119"/>
        <v>-17592.028985507248</v>
      </c>
      <c r="U222" s="7">
        <f t="shared" ca="1" si="119"/>
        <v>0.69696969696969691</v>
      </c>
      <c r="V222" s="7">
        <f t="shared" ca="1" si="119"/>
        <v>0.27341079972658916</v>
      </c>
      <c r="W222" s="7">
        <f t="shared" ca="1" si="119"/>
        <v>0.97494635864887391</v>
      </c>
      <c r="X222" s="7">
        <f t="shared" ca="1" si="119"/>
        <v>-0.3143172616856828</v>
      </c>
      <c r="Y222" s="7">
        <f t="shared" ca="1" si="119"/>
        <v>-0.34596482788096505</v>
      </c>
      <c r="Z222" s="7">
        <f t="shared" ca="1" si="119"/>
        <v>0</v>
      </c>
      <c r="AA222" s="28" t="str">
        <f t="shared" si="104"/>
        <v>ADC</v>
      </c>
      <c r="AB222" s="28"/>
      <c r="AC222" s="12"/>
      <c r="AD222" s="12"/>
    </row>
    <row r="223" spans="1:30" x14ac:dyDescent="0.25">
      <c r="A223" s="5" t="s">
        <v>145</v>
      </c>
      <c r="B223" s="5" t="s">
        <v>149</v>
      </c>
      <c r="C223" s="5" t="s">
        <v>187</v>
      </c>
      <c r="D223" s="6">
        <f t="shared" ca="1" si="99"/>
        <v>46.869565217391305</v>
      </c>
      <c r="E223" s="6">
        <f t="shared" ca="1" si="100"/>
        <v>484.95693877551048</v>
      </c>
      <c r="F223" s="6">
        <f t="shared" ca="1" si="116"/>
        <v>22729.72086956523</v>
      </c>
      <c r="G223" s="6">
        <f t="shared" ca="1" si="116"/>
        <v>56.434782608695656</v>
      </c>
      <c r="H223" s="6">
        <f t="shared" ca="1" si="101"/>
        <v>487.5899152542371</v>
      </c>
      <c r="I223" s="6">
        <f t="shared" ca="1" si="117"/>
        <v>27517.030869565209</v>
      </c>
      <c r="J223" s="6">
        <f t="shared" ca="1" si="117"/>
        <v>47</v>
      </c>
      <c r="K223" s="6">
        <f t="shared" ca="1" si="102"/>
        <v>380.68063829787235</v>
      </c>
      <c r="L223" s="6">
        <f t="shared" ca="1" si="118"/>
        <v>17891.990000000002</v>
      </c>
      <c r="M223" s="6">
        <f t="shared" ca="1" si="118"/>
        <v>79.391304347826093</v>
      </c>
      <c r="N223" s="6">
        <f t="shared" ca="1" si="103"/>
        <v>507.43975903614455</v>
      </c>
      <c r="O223" s="6">
        <f t="shared" ca="1" si="119"/>
        <v>40286.304347826088</v>
      </c>
      <c r="P223" s="6">
        <f t="shared" ca="1" si="119"/>
        <v>-32.391304347826093</v>
      </c>
      <c r="Q223" s="6">
        <f t="shared" ca="1" si="119"/>
        <v>-126.7591207382722</v>
      </c>
      <c r="R223" s="6">
        <f t="shared" ca="1" si="119"/>
        <v>-22394.314347826086</v>
      </c>
      <c r="S223" s="6">
        <f t="shared" ca="1" si="119"/>
        <v>-5957.6786746987937</v>
      </c>
      <c r="T223" s="6">
        <f t="shared" ca="1" si="119"/>
        <v>-16436.635673127294</v>
      </c>
      <c r="U223" s="7">
        <f t="shared" ca="1" si="119"/>
        <v>0.59200438116100762</v>
      </c>
      <c r="V223" s="7">
        <f t="shared" ca="1" si="119"/>
        <v>2.7829313543599192E-3</v>
      </c>
      <c r="W223" s="7">
        <f t="shared" ca="1" si="119"/>
        <v>-0.21283723180441166</v>
      </c>
      <c r="X223" s="7">
        <f t="shared" ca="1" si="119"/>
        <v>-0.16718027734976892</v>
      </c>
      <c r="Y223" s="7">
        <f t="shared" ca="1" si="119"/>
        <v>-0.34978486287962257</v>
      </c>
      <c r="Z223" s="7">
        <f t="shared" ca="1" si="119"/>
        <v>0</v>
      </c>
      <c r="AA223" s="28" t="str">
        <f t="shared" si="104"/>
        <v>ADC</v>
      </c>
      <c r="AB223" s="28"/>
      <c r="AC223" s="12"/>
      <c r="AD223" s="12"/>
    </row>
    <row r="224" spans="1:30" x14ac:dyDescent="0.25">
      <c r="A224" s="5" t="s">
        <v>144</v>
      </c>
      <c r="B224" s="5" t="s">
        <v>150</v>
      </c>
      <c r="C224" s="5" t="s">
        <v>188</v>
      </c>
      <c r="D224" s="6">
        <f t="shared" ref="D224:D287" ca="1" si="120">IFERROR(VLOOKUP($C224,INDIRECT("'"&amp;$AA224&amp;"-"&amp;$C$1&amp;"'!$C:$AH"),D$30,0),0)</f>
        <v>0</v>
      </c>
      <c r="E224" s="6" t="str">
        <f t="shared" ca="1" si="100"/>
        <v>-</v>
      </c>
      <c r="F224" s="6">
        <f t="shared" ca="1" si="116"/>
        <v>0</v>
      </c>
      <c r="G224" s="6">
        <f t="shared" ca="1" si="116"/>
        <v>0</v>
      </c>
      <c r="H224" s="6" t="str">
        <f t="shared" ca="1" si="101"/>
        <v>-</v>
      </c>
      <c r="I224" s="6">
        <f t="shared" ca="1" si="117"/>
        <v>0</v>
      </c>
      <c r="J224" s="6">
        <f t="shared" ca="1" si="117"/>
        <v>68</v>
      </c>
      <c r="K224" s="6">
        <f t="shared" ca="1" si="102"/>
        <v>730.58397058823527</v>
      </c>
      <c r="L224" s="6">
        <f t="shared" ca="1" si="118"/>
        <v>49679.71</v>
      </c>
      <c r="M224" s="6">
        <f t="shared" ca="1" si="118"/>
        <v>83.695652173913047</v>
      </c>
      <c r="N224" s="6">
        <f t="shared" ca="1" si="103"/>
        <v>784.10285714285715</v>
      </c>
      <c r="O224" s="6">
        <f t="shared" ca="1" si="119"/>
        <v>65626</v>
      </c>
      <c r="P224" s="6">
        <f t="shared" ca="1" si="119"/>
        <v>-15.695652173913047</v>
      </c>
      <c r="Q224" s="6">
        <f t="shared" ca="1" si="119"/>
        <v>-53.518886554621872</v>
      </c>
      <c r="R224" s="6">
        <f t="shared" ca="1" si="119"/>
        <v>-15946.29</v>
      </c>
      <c r="S224" s="6">
        <f t="shared" ca="1" si="119"/>
        <v>-3639.2842857142873</v>
      </c>
      <c r="T224" s="6">
        <f t="shared" ca="1" si="119"/>
        <v>-12307.005714285717</v>
      </c>
      <c r="U224" s="7">
        <f t="shared" ca="1" si="119"/>
        <v>0.81246753246753245</v>
      </c>
      <c r="V224" s="7" t="str">
        <f t="shared" ca="1" si="119"/>
        <v>-</v>
      </c>
      <c r="W224" s="7" t="str">
        <f t="shared" ca="1" si="119"/>
        <v>-</v>
      </c>
      <c r="X224" s="7" t="str">
        <f t="shared" ca="1" si="119"/>
        <v>-</v>
      </c>
      <c r="Y224" s="7" t="str">
        <f t="shared" ca="1" si="119"/>
        <v>-</v>
      </c>
      <c r="Z224" s="7">
        <f t="shared" ca="1" si="119"/>
        <v>0</v>
      </c>
      <c r="AA224" s="28" t="str">
        <f t="shared" si="104"/>
        <v>ADC</v>
      </c>
      <c r="AB224" s="28"/>
      <c r="AC224" s="12"/>
      <c r="AD224" s="12"/>
    </row>
    <row r="225" spans="1:30" x14ac:dyDescent="0.25">
      <c r="A225" s="5" t="s">
        <v>145</v>
      </c>
      <c r="B225" s="5" t="s">
        <v>149</v>
      </c>
      <c r="C225" s="5" t="s">
        <v>189</v>
      </c>
      <c r="D225" s="6">
        <f t="shared" ca="1" si="120"/>
        <v>0</v>
      </c>
      <c r="E225" s="6" t="str">
        <f t="shared" ref="E225:E288" ca="1" si="121">IFERROR(F225/D225,"-")</f>
        <v>-</v>
      </c>
      <c r="F225" s="6">
        <f t="shared" ca="1" si="116"/>
        <v>0</v>
      </c>
      <c r="G225" s="6">
        <f t="shared" ca="1" si="116"/>
        <v>0</v>
      </c>
      <c r="H225" s="6" t="str">
        <f t="shared" ref="H225:H288" ca="1" si="122">IFERROR(I225/G225,"-")</f>
        <v>-</v>
      </c>
      <c r="I225" s="6">
        <f t="shared" ca="1" si="117"/>
        <v>0</v>
      </c>
      <c r="J225" s="6">
        <f t="shared" ca="1" si="117"/>
        <v>52</v>
      </c>
      <c r="K225" s="6">
        <f t="shared" ref="K225:K288" ca="1" si="123">IFERROR(L225/J225,"-")</f>
        <v>312.37711538461542</v>
      </c>
      <c r="L225" s="6">
        <f t="shared" ca="1" si="118"/>
        <v>16243.61</v>
      </c>
      <c r="M225" s="6">
        <f t="shared" ca="1" si="118"/>
        <v>79.391304347826093</v>
      </c>
      <c r="N225" s="6">
        <f t="shared" ref="N225:N288" ca="1" si="124">IFERROR(O225/M225,"-")</f>
        <v>507.43975903614455</v>
      </c>
      <c r="O225" s="6">
        <f t="shared" ca="1" si="119"/>
        <v>40286.304347826088</v>
      </c>
      <c r="P225" s="6">
        <f t="shared" ca="1" si="119"/>
        <v>-27.391304347826093</v>
      </c>
      <c r="Q225" s="6">
        <f t="shared" ca="1" si="119"/>
        <v>-195.06264365152913</v>
      </c>
      <c r="R225" s="6">
        <f t="shared" ca="1" si="119"/>
        <v>-24042.694347826087</v>
      </c>
      <c r="S225" s="6">
        <f t="shared" ca="1" si="119"/>
        <v>-10143.257469879514</v>
      </c>
      <c r="T225" s="6">
        <f t="shared" ca="1" si="119"/>
        <v>-13899.436877946571</v>
      </c>
      <c r="U225" s="7">
        <f t="shared" ca="1" si="119"/>
        <v>0.65498357064622115</v>
      </c>
      <c r="V225" s="7" t="str">
        <f t="shared" ca="1" si="119"/>
        <v>-</v>
      </c>
      <c r="W225" s="7" t="str">
        <f t="shared" ca="1" si="119"/>
        <v>-</v>
      </c>
      <c r="X225" s="7" t="str">
        <f t="shared" ca="1" si="119"/>
        <v>-</v>
      </c>
      <c r="Y225" s="7" t="str">
        <f t="shared" ca="1" si="119"/>
        <v>-</v>
      </c>
      <c r="Z225" s="7">
        <f t="shared" ca="1" si="119"/>
        <v>0</v>
      </c>
      <c r="AA225" s="28" t="str">
        <f t="shared" ref="AA225:AA288" si="125">VLOOKUP(A225,$AC$96:$AD$104,2,0)</f>
        <v>ADC</v>
      </c>
      <c r="AB225" s="28"/>
      <c r="AC225" s="12"/>
      <c r="AD225" s="12"/>
    </row>
    <row r="226" spans="1:30" x14ac:dyDescent="0.25">
      <c r="A226" s="5" t="s">
        <v>145</v>
      </c>
      <c r="B226" s="5" t="s">
        <v>219</v>
      </c>
      <c r="C226" s="5" t="s">
        <v>190</v>
      </c>
      <c r="D226" s="6">
        <f t="shared" ca="1" si="120"/>
        <v>0</v>
      </c>
      <c r="E226" s="6" t="str">
        <f t="shared" ca="1" si="121"/>
        <v>-</v>
      </c>
      <c r="F226" s="6">
        <f t="shared" ca="1" si="116"/>
        <v>0</v>
      </c>
      <c r="G226" s="6">
        <f t="shared" ca="1" si="116"/>
        <v>0</v>
      </c>
      <c r="H226" s="6" t="str">
        <f t="shared" ca="1" si="122"/>
        <v>-</v>
      </c>
      <c r="I226" s="6">
        <f t="shared" ca="1" si="117"/>
        <v>0</v>
      </c>
      <c r="J226" s="6">
        <f t="shared" ca="1" si="117"/>
        <v>0</v>
      </c>
      <c r="K226" s="6" t="str">
        <f t="shared" ca="1" si="123"/>
        <v>-</v>
      </c>
      <c r="L226" s="6">
        <f t="shared" ca="1" si="118"/>
        <v>0</v>
      </c>
      <c r="M226" s="6">
        <f t="shared" ca="1" si="118"/>
        <v>131.04347826086956</v>
      </c>
      <c r="N226" s="6">
        <f t="shared" ca="1" si="124"/>
        <v>498.27007299270076</v>
      </c>
      <c r="O226" s="6">
        <f t="shared" ref="O226:Z235" ca="1" si="126">IFERROR(VLOOKUP($C226,INDIRECT("'"&amp;$AA226&amp;"-"&amp;$C$1&amp;"'!$C:$AH"),O$30,0),0)</f>
        <v>65295.043478260872</v>
      </c>
      <c r="P226" s="6">
        <f t="shared" ca="1" si="126"/>
        <v>-131.04347826086956</v>
      </c>
      <c r="Q226" s="6" t="str">
        <f t="shared" ca="1" si="126"/>
        <v>-</v>
      </c>
      <c r="R226" s="6">
        <f t="shared" ca="1" si="126"/>
        <v>-65295.043478260872</v>
      </c>
      <c r="S226" s="6" t="str">
        <f t="shared" ca="1" si="126"/>
        <v>-</v>
      </c>
      <c r="T226" s="6">
        <f t="shared" ca="1" si="126"/>
        <v>-65295.043478260872</v>
      </c>
      <c r="U226" s="7">
        <f t="shared" ca="1" si="126"/>
        <v>0</v>
      </c>
      <c r="V226" s="7" t="str">
        <f t="shared" ca="1" si="126"/>
        <v>-</v>
      </c>
      <c r="W226" s="7" t="str">
        <f t="shared" ca="1" si="126"/>
        <v>-</v>
      </c>
      <c r="X226" s="7" t="str">
        <f t="shared" ca="1" si="126"/>
        <v>-</v>
      </c>
      <c r="Y226" s="7" t="str">
        <f t="shared" ca="1" si="126"/>
        <v>-</v>
      </c>
      <c r="Z226" s="7">
        <f t="shared" ca="1" si="126"/>
        <v>0</v>
      </c>
      <c r="AA226" s="28" t="str">
        <f t="shared" si="125"/>
        <v>ADC</v>
      </c>
      <c r="AB226" s="28"/>
      <c r="AC226" s="12"/>
      <c r="AD226" s="12"/>
    </row>
    <row r="227" spans="1:30" x14ac:dyDescent="0.25">
      <c r="A227" s="5" t="s">
        <v>145</v>
      </c>
      <c r="B227" s="5" t="s">
        <v>219</v>
      </c>
      <c r="C227" s="5" t="s">
        <v>191</v>
      </c>
      <c r="D227" s="6">
        <f t="shared" ca="1" si="120"/>
        <v>136.30434782608697</v>
      </c>
      <c r="E227" s="6">
        <f t="shared" ca="1" si="121"/>
        <v>463.42364912280738</v>
      </c>
      <c r="F227" s="6">
        <f t="shared" ca="1" si="116"/>
        <v>63166.658260869619</v>
      </c>
      <c r="G227" s="6">
        <f t="shared" ca="1" si="116"/>
        <v>197.04347826086956</v>
      </c>
      <c r="H227" s="6">
        <f t="shared" ca="1" si="122"/>
        <v>366.39570388349551</v>
      </c>
      <c r="I227" s="6">
        <f t="shared" ca="1" si="117"/>
        <v>72195.883913043552</v>
      </c>
      <c r="J227" s="6">
        <f t="shared" ca="1" si="117"/>
        <v>67</v>
      </c>
      <c r="K227" s="6">
        <f t="shared" ca="1" si="123"/>
        <v>430.30358208955232</v>
      </c>
      <c r="L227" s="6">
        <f t="shared" ca="1" si="118"/>
        <v>28830.340000000004</v>
      </c>
      <c r="M227" s="6">
        <f t="shared" ca="1" si="118"/>
        <v>151.13043478260869</v>
      </c>
      <c r="N227" s="6">
        <f t="shared" ca="1" si="124"/>
        <v>439.27848101265829</v>
      </c>
      <c r="O227" s="6">
        <f t="shared" ca="1" si="126"/>
        <v>66388.34782608696</v>
      </c>
      <c r="P227" s="6">
        <f t="shared" ca="1" si="126"/>
        <v>-84.130434782608688</v>
      </c>
      <c r="Q227" s="6">
        <f t="shared" ca="1" si="126"/>
        <v>-8.9748989231059682</v>
      </c>
      <c r="R227" s="6">
        <f t="shared" ca="1" si="126"/>
        <v>-37558.007826086956</v>
      </c>
      <c r="S227" s="6">
        <f t="shared" ca="1" si="126"/>
        <v>-601.31822784809992</v>
      </c>
      <c r="T227" s="6">
        <f t="shared" ca="1" si="126"/>
        <v>-36956.68959823886</v>
      </c>
      <c r="U227" s="7">
        <f t="shared" ca="1" si="126"/>
        <v>0.44332566168009208</v>
      </c>
      <c r="V227" s="7">
        <f t="shared" ca="1" si="126"/>
        <v>-0.50845295055821371</v>
      </c>
      <c r="W227" s="7">
        <f t="shared" ca="1" si="126"/>
        <v>-0.54358294717864186</v>
      </c>
      <c r="X227" s="7">
        <f t="shared" ca="1" si="126"/>
        <v>-0.65997352162400702</v>
      </c>
      <c r="Y227" s="7">
        <f t="shared" ca="1" si="126"/>
        <v>-0.60066504574243107</v>
      </c>
      <c r="Z227" s="7">
        <f t="shared" ca="1" si="126"/>
        <v>0</v>
      </c>
      <c r="AA227" s="28" t="str">
        <f t="shared" si="125"/>
        <v>ADC</v>
      </c>
      <c r="AB227" s="28"/>
      <c r="AC227" s="12"/>
      <c r="AD227" s="12"/>
    </row>
    <row r="228" spans="1:30" x14ac:dyDescent="0.25">
      <c r="A228" s="5" t="s">
        <v>144</v>
      </c>
      <c r="B228" s="5" t="s">
        <v>148</v>
      </c>
      <c r="C228" s="5" t="s">
        <v>192</v>
      </c>
      <c r="D228" s="6">
        <f t="shared" ca="1" si="120"/>
        <v>0</v>
      </c>
      <c r="E228" s="6" t="str">
        <f t="shared" ca="1" si="121"/>
        <v>-</v>
      </c>
      <c r="F228" s="6">
        <f t="shared" ca="1" si="116"/>
        <v>0</v>
      </c>
      <c r="G228" s="6">
        <f t="shared" ca="1" si="116"/>
        <v>0</v>
      </c>
      <c r="H228" s="6" t="str">
        <f t="shared" ca="1" si="122"/>
        <v>-</v>
      </c>
      <c r="I228" s="6">
        <f t="shared" ca="1" si="117"/>
        <v>0</v>
      </c>
      <c r="J228" s="6">
        <f t="shared" ca="1" si="117"/>
        <v>35</v>
      </c>
      <c r="K228" s="6">
        <f t="shared" ca="1" si="123"/>
        <v>999.07142857142856</v>
      </c>
      <c r="L228" s="6">
        <f t="shared" ca="1" si="118"/>
        <v>34967.5</v>
      </c>
      <c r="M228" s="6">
        <f t="shared" ca="1" si="118"/>
        <v>83.695652173913047</v>
      </c>
      <c r="N228" s="6">
        <f t="shared" ca="1" si="124"/>
        <v>914.95428571428579</v>
      </c>
      <c r="O228" s="6">
        <f t="shared" ca="1" si="126"/>
        <v>76577.695652173919</v>
      </c>
      <c r="P228" s="6">
        <f t="shared" ca="1" si="126"/>
        <v>-48.695652173913047</v>
      </c>
      <c r="Q228" s="6">
        <f t="shared" ca="1" si="126"/>
        <v>84.117142857142767</v>
      </c>
      <c r="R228" s="6">
        <f t="shared" ca="1" si="126"/>
        <v>-41610.195652173919</v>
      </c>
      <c r="S228" s="6">
        <f t="shared" ca="1" si="126"/>
        <v>2944.0999999999967</v>
      </c>
      <c r="T228" s="6">
        <f t="shared" ca="1" si="126"/>
        <v>-44554.295652173918</v>
      </c>
      <c r="U228" s="7">
        <f t="shared" ca="1" si="126"/>
        <v>0.41818181818181815</v>
      </c>
      <c r="V228" s="7" t="str">
        <f t="shared" ca="1" si="126"/>
        <v>-</v>
      </c>
      <c r="W228" s="7" t="str">
        <f t="shared" ca="1" si="126"/>
        <v>-</v>
      </c>
      <c r="X228" s="7" t="str">
        <f t="shared" ca="1" si="126"/>
        <v>-</v>
      </c>
      <c r="Y228" s="7" t="str">
        <f t="shared" ca="1" si="126"/>
        <v>-</v>
      </c>
      <c r="Z228" s="7">
        <f t="shared" ca="1" si="126"/>
        <v>0</v>
      </c>
      <c r="AA228" s="28" t="str">
        <f t="shared" si="125"/>
        <v>ADC</v>
      </c>
      <c r="AB228" s="28"/>
      <c r="AC228" s="12"/>
      <c r="AD228" s="12"/>
    </row>
    <row r="229" spans="1:30" x14ac:dyDescent="0.25">
      <c r="A229" s="5" t="s">
        <v>144</v>
      </c>
      <c r="B229" s="5" t="s">
        <v>148</v>
      </c>
      <c r="C229" s="5" t="s">
        <v>193</v>
      </c>
      <c r="D229" s="6">
        <f t="shared" ca="1" si="120"/>
        <v>59.304347826086961</v>
      </c>
      <c r="E229" s="6">
        <f t="shared" ca="1" si="121"/>
        <v>602.24185483871145</v>
      </c>
      <c r="F229" s="6">
        <f t="shared" ca="1" si="116"/>
        <v>35715.560434782717</v>
      </c>
      <c r="G229" s="6">
        <f t="shared" ca="1" si="116"/>
        <v>91.34782608695653</v>
      </c>
      <c r="H229" s="6">
        <f t="shared" ca="1" si="122"/>
        <v>1488.9289005235598</v>
      </c>
      <c r="I229" s="6">
        <f t="shared" ca="1" si="117"/>
        <v>136010.41826086954</v>
      </c>
      <c r="J229" s="6">
        <f t="shared" ca="1" si="117"/>
        <v>64</v>
      </c>
      <c r="K229" s="6">
        <f t="shared" ca="1" si="123"/>
        <v>965.171875</v>
      </c>
      <c r="L229" s="6">
        <f t="shared" ca="1" si="118"/>
        <v>61771</v>
      </c>
      <c r="M229" s="6">
        <f t="shared" ca="1" si="118"/>
        <v>83.695652173913047</v>
      </c>
      <c r="N229" s="6">
        <f t="shared" ca="1" si="124"/>
        <v>1015.6399999999999</v>
      </c>
      <c r="O229" s="6">
        <f t="shared" ca="1" si="126"/>
        <v>85004.65217391304</v>
      </c>
      <c r="P229" s="6">
        <f t="shared" ca="1" si="126"/>
        <v>-19.695652173913047</v>
      </c>
      <c r="Q229" s="6">
        <f t="shared" ca="1" si="126"/>
        <v>-50.468124999999873</v>
      </c>
      <c r="R229" s="6">
        <f t="shared" ca="1" si="126"/>
        <v>-23233.65217391304</v>
      </c>
      <c r="S229" s="6">
        <f t="shared" ca="1" si="126"/>
        <v>-3229.9599999999919</v>
      </c>
      <c r="T229" s="6">
        <f t="shared" ca="1" si="126"/>
        <v>-20003.692173913045</v>
      </c>
      <c r="U229" s="7">
        <f t="shared" ca="1" si="126"/>
        <v>0.76467532467532462</v>
      </c>
      <c r="V229" s="7">
        <f t="shared" ca="1" si="126"/>
        <v>7.9178885630498463E-2</v>
      </c>
      <c r="W229" s="7">
        <f t="shared" ca="1" si="126"/>
        <v>0.72952626944759846</v>
      </c>
      <c r="X229" s="7">
        <f t="shared" ca="1" si="126"/>
        <v>-0.29938124702522617</v>
      </c>
      <c r="Y229" s="7">
        <f t="shared" ca="1" si="126"/>
        <v>-0.54583626173751987</v>
      </c>
      <c r="Z229" s="7">
        <f t="shared" ca="1" si="126"/>
        <v>0</v>
      </c>
      <c r="AA229" s="28" t="str">
        <f t="shared" si="125"/>
        <v>ADC</v>
      </c>
      <c r="AB229" s="28"/>
      <c r="AC229" s="12"/>
      <c r="AD229" s="12"/>
    </row>
    <row r="230" spans="1:30" x14ac:dyDescent="0.25">
      <c r="A230" s="5" t="s">
        <v>145</v>
      </c>
      <c r="B230" s="5" t="s">
        <v>151</v>
      </c>
      <c r="C230" s="5" t="s">
        <v>194</v>
      </c>
      <c r="D230" s="6">
        <f t="shared" ca="1" si="120"/>
        <v>0</v>
      </c>
      <c r="E230" s="6" t="str">
        <f t="shared" ca="1" si="121"/>
        <v>-</v>
      </c>
      <c r="F230" s="6">
        <f t="shared" ca="1" si="116"/>
        <v>0</v>
      </c>
      <c r="G230" s="6">
        <f t="shared" ca="1" si="116"/>
        <v>0</v>
      </c>
      <c r="H230" s="6" t="str">
        <f t="shared" ca="1" si="122"/>
        <v>-</v>
      </c>
      <c r="I230" s="6">
        <f t="shared" ca="1" si="117"/>
        <v>0</v>
      </c>
      <c r="J230" s="6">
        <f t="shared" ca="1" si="117"/>
        <v>0</v>
      </c>
      <c r="K230" s="6" t="str">
        <f t="shared" ca="1" si="123"/>
        <v>-</v>
      </c>
      <c r="L230" s="6">
        <f t="shared" ca="1" si="118"/>
        <v>0</v>
      </c>
      <c r="M230" s="6">
        <f t="shared" ca="1" si="118"/>
        <v>79.391304347826093</v>
      </c>
      <c r="N230" s="6">
        <f t="shared" ca="1" si="124"/>
        <v>352.15060240963851</v>
      </c>
      <c r="O230" s="6">
        <f t="shared" ca="1" si="126"/>
        <v>27957.695652173912</v>
      </c>
      <c r="P230" s="6">
        <f t="shared" ca="1" si="126"/>
        <v>-79.391304347826093</v>
      </c>
      <c r="Q230" s="6" t="str">
        <f t="shared" ca="1" si="126"/>
        <v>-</v>
      </c>
      <c r="R230" s="6">
        <f t="shared" ca="1" si="126"/>
        <v>-27957.695652173912</v>
      </c>
      <c r="S230" s="6" t="str">
        <f t="shared" ca="1" si="126"/>
        <v>-</v>
      </c>
      <c r="T230" s="6">
        <f t="shared" ca="1" si="126"/>
        <v>-27957.695652173912</v>
      </c>
      <c r="U230" s="7">
        <f t="shared" ca="1" si="126"/>
        <v>0</v>
      </c>
      <c r="V230" s="7" t="str">
        <f t="shared" ca="1" si="126"/>
        <v>-</v>
      </c>
      <c r="W230" s="7" t="str">
        <f t="shared" ca="1" si="126"/>
        <v>-</v>
      </c>
      <c r="X230" s="7" t="str">
        <f t="shared" ca="1" si="126"/>
        <v>-</v>
      </c>
      <c r="Y230" s="7" t="str">
        <f t="shared" ca="1" si="126"/>
        <v>-</v>
      </c>
      <c r="Z230" s="7">
        <f t="shared" ca="1" si="126"/>
        <v>0</v>
      </c>
      <c r="AA230" s="28" t="str">
        <f t="shared" si="125"/>
        <v>ADC</v>
      </c>
      <c r="AB230" s="28"/>
      <c r="AC230" s="12"/>
      <c r="AD230" s="12"/>
    </row>
    <row r="231" spans="1:30" x14ac:dyDescent="0.25">
      <c r="A231" s="5" t="s">
        <v>145</v>
      </c>
      <c r="B231" s="5" t="s">
        <v>151</v>
      </c>
      <c r="C231" s="5" t="s">
        <v>195</v>
      </c>
      <c r="D231" s="6">
        <f t="shared" ca="1" si="120"/>
        <v>30.608695652173914</v>
      </c>
      <c r="E231" s="6">
        <f t="shared" ca="1" si="121"/>
        <v>286.39734375000012</v>
      </c>
      <c r="F231" s="6">
        <f t="shared" ca="1" si="116"/>
        <v>8766.2491304347859</v>
      </c>
      <c r="G231" s="6">
        <f t="shared" ca="1" si="116"/>
        <v>46.391304347826086</v>
      </c>
      <c r="H231" s="6">
        <f t="shared" ca="1" si="122"/>
        <v>363.30051546391758</v>
      </c>
      <c r="I231" s="6">
        <f t="shared" ca="1" si="117"/>
        <v>16853.984782608699</v>
      </c>
      <c r="J231" s="6">
        <f t="shared" ca="1" si="117"/>
        <v>95</v>
      </c>
      <c r="K231" s="6">
        <f t="shared" ca="1" si="123"/>
        <v>263.94989473684211</v>
      </c>
      <c r="L231" s="6">
        <f t="shared" ca="1" si="118"/>
        <v>25075.24</v>
      </c>
      <c r="M231" s="6">
        <f t="shared" ca="1" si="118"/>
        <v>83.695652173913047</v>
      </c>
      <c r="N231" s="6">
        <f t="shared" ca="1" si="124"/>
        <v>352.59428571428572</v>
      </c>
      <c r="O231" s="6">
        <f t="shared" ca="1" si="126"/>
        <v>29510.608695652176</v>
      </c>
      <c r="P231" s="6">
        <f t="shared" ca="1" si="126"/>
        <v>11.304347826086953</v>
      </c>
      <c r="Q231" s="6">
        <f t="shared" ca="1" si="126"/>
        <v>-88.644390977443607</v>
      </c>
      <c r="R231" s="6">
        <f t="shared" ca="1" si="126"/>
        <v>-4435.3686956521742</v>
      </c>
      <c r="S231" s="6">
        <f t="shared" ca="1" si="126"/>
        <v>-8421.2171428571419</v>
      </c>
      <c r="T231" s="6">
        <f t="shared" ca="1" si="126"/>
        <v>3985.8484472049677</v>
      </c>
      <c r="U231" s="7">
        <f t="shared" ca="1" si="126"/>
        <v>1.1350649350649351</v>
      </c>
      <c r="V231" s="7">
        <f t="shared" ca="1" si="126"/>
        <v>2.1036931818181821</v>
      </c>
      <c r="W231" s="7">
        <f t="shared" ca="1" si="126"/>
        <v>1.8604297718329079</v>
      </c>
      <c r="X231" s="7">
        <f t="shared" ca="1" si="126"/>
        <v>1.0477975632614809</v>
      </c>
      <c r="Y231" s="7">
        <f t="shared" ca="1" si="126"/>
        <v>0.4877929654875835</v>
      </c>
      <c r="Z231" s="7">
        <f t="shared" ca="1" si="126"/>
        <v>0</v>
      </c>
      <c r="AA231" s="28" t="str">
        <f t="shared" si="125"/>
        <v>ADC</v>
      </c>
      <c r="AB231" s="28"/>
      <c r="AC231" s="12"/>
      <c r="AD231" s="12"/>
    </row>
    <row r="232" spans="1:30" x14ac:dyDescent="0.25">
      <c r="A232" s="5" t="s">
        <v>145</v>
      </c>
      <c r="B232" s="5" t="s">
        <v>151</v>
      </c>
      <c r="C232" s="5" t="s">
        <v>196</v>
      </c>
      <c r="D232" s="6">
        <f t="shared" ca="1" si="120"/>
        <v>0</v>
      </c>
      <c r="E232" s="6" t="str">
        <f t="shared" ca="1" si="121"/>
        <v>-</v>
      </c>
      <c r="F232" s="6">
        <f t="shared" ca="1" si="116"/>
        <v>0</v>
      </c>
      <c r="G232" s="6">
        <f t="shared" ca="1" si="116"/>
        <v>0</v>
      </c>
      <c r="H232" s="6" t="str">
        <f t="shared" ca="1" si="122"/>
        <v>-</v>
      </c>
      <c r="I232" s="6">
        <f t="shared" ca="1" si="117"/>
        <v>0</v>
      </c>
      <c r="J232" s="6">
        <f t="shared" ca="1" si="117"/>
        <v>20</v>
      </c>
      <c r="K232" s="6">
        <f t="shared" ca="1" si="123"/>
        <v>296.3</v>
      </c>
      <c r="L232" s="6">
        <f t="shared" ca="1" si="118"/>
        <v>5926</v>
      </c>
      <c r="M232" s="6">
        <f t="shared" ca="1" si="118"/>
        <v>50.695652173913047</v>
      </c>
      <c r="N232" s="6">
        <f t="shared" ca="1" si="124"/>
        <v>354.33018867924528</v>
      </c>
      <c r="O232" s="6">
        <f t="shared" ca="1" si="126"/>
        <v>17963</v>
      </c>
      <c r="P232" s="6">
        <f t="shared" ca="1" si="126"/>
        <v>-30.695652173913047</v>
      </c>
      <c r="Q232" s="6">
        <f t="shared" ca="1" si="126"/>
        <v>-58.030188679245271</v>
      </c>
      <c r="R232" s="6">
        <f t="shared" ca="1" si="126"/>
        <v>-12037</v>
      </c>
      <c r="S232" s="6">
        <f t="shared" ca="1" si="126"/>
        <v>-1160.6037735849054</v>
      </c>
      <c r="T232" s="6">
        <f t="shared" ca="1" si="126"/>
        <v>-10876.396226415096</v>
      </c>
      <c r="U232" s="7">
        <f t="shared" ca="1" si="126"/>
        <v>0.39451114922813035</v>
      </c>
      <c r="V232" s="7" t="str">
        <f t="shared" ca="1" si="126"/>
        <v>-</v>
      </c>
      <c r="W232" s="7" t="str">
        <f t="shared" ca="1" si="126"/>
        <v>-</v>
      </c>
      <c r="X232" s="7" t="str">
        <f t="shared" ca="1" si="126"/>
        <v>-</v>
      </c>
      <c r="Y232" s="7" t="str">
        <f t="shared" ca="1" si="126"/>
        <v>-</v>
      </c>
      <c r="Z232" s="7">
        <f t="shared" ca="1" si="126"/>
        <v>0</v>
      </c>
      <c r="AA232" s="28" t="str">
        <f t="shared" si="125"/>
        <v>ADC</v>
      </c>
      <c r="AB232" s="28"/>
      <c r="AC232" s="12"/>
      <c r="AD232" s="12"/>
    </row>
    <row r="233" spans="1:30" x14ac:dyDescent="0.25">
      <c r="A233" s="5" t="s">
        <v>144</v>
      </c>
      <c r="B233" s="5" t="s">
        <v>152</v>
      </c>
      <c r="C233" s="5" t="s">
        <v>197</v>
      </c>
      <c r="D233" s="6">
        <f t="shared" ca="1" si="120"/>
        <v>0</v>
      </c>
      <c r="E233" s="6" t="str">
        <f t="shared" ca="1" si="121"/>
        <v>-</v>
      </c>
      <c r="F233" s="6">
        <f t="shared" ca="1" si="116"/>
        <v>0</v>
      </c>
      <c r="G233" s="6">
        <f t="shared" ca="1" si="116"/>
        <v>0</v>
      </c>
      <c r="H233" s="6" t="str">
        <f t="shared" ca="1" si="122"/>
        <v>-</v>
      </c>
      <c r="I233" s="6">
        <f t="shared" ca="1" si="117"/>
        <v>0</v>
      </c>
      <c r="J233" s="6">
        <f t="shared" ca="1" si="117"/>
        <v>135</v>
      </c>
      <c r="K233" s="6">
        <f t="shared" ca="1" si="123"/>
        <v>216.4814814814815</v>
      </c>
      <c r="L233" s="6">
        <f t="shared" ca="1" si="118"/>
        <v>29225</v>
      </c>
      <c r="M233" s="6">
        <f t="shared" ca="1" si="118"/>
        <v>129.13043478260869</v>
      </c>
      <c r="N233" s="6">
        <f t="shared" ca="1" si="124"/>
        <v>275.48888888888888</v>
      </c>
      <c r="O233" s="6">
        <f t="shared" ca="1" si="126"/>
        <v>35574</v>
      </c>
      <c r="P233" s="6">
        <f t="shared" ca="1" si="126"/>
        <v>5.8695652173913118</v>
      </c>
      <c r="Q233" s="6">
        <f t="shared" ca="1" si="126"/>
        <v>-59.007407407407385</v>
      </c>
      <c r="R233" s="6">
        <f t="shared" ca="1" si="126"/>
        <v>-6349</v>
      </c>
      <c r="S233" s="6">
        <f t="shared" ca="1" si="126"/>
        <v>-7965.9999999999973</v>
      </c>
      <c r="T233" s="6">
        <f t="shared" ca="1" si="126"/>
        <v>1617.000000000002</v>
      </c>
      <c r="U233" s="7">
        <f t="shared" ca="1" si="126"/>
        <v>1.0454545454545454</v>
      </c>
      <c r="V233" s="7" t="str">
        <f t="shared" ca="1" si="126"/>
        <v>-</v>
      </c>
      <c r="W233" s="7" t="str">
        <f t="shared" ca="1" si="126"/>
        <v>-</v>
      </c>
      <c r="X233" s="7" t="str">
        <f t="shared" ca="1" si="126"/>
        <v>-</v>
      </c>
      <c r="Y233" s="7" t="str">
        <f t="shared" ca="1" si="126"/>
        <v>-</v>
      </c>
      <c r="Z233" s="7">
        <f t="shared" ca="1" si="126"/>
        <v>0</v>
      </c>
      <c r="AA233" s="28" t="str">
        <f t="shared" si="125"/>
        <v>ADC</v>
      </c>
      <c r="AB233" s="28"/>
      <c r="AC233" s="12"/>
      <c r="AD233" s="12"/>
    </row>
    <row r="234" spans="1:30" x14ac:dyDescent="0.25">
      <c r="A234" s="5" t="s">
        <v>144</v>
      </c>
      <c r="B234" s="5" t="s">
        <v>152</v>
      </c>
      <c r="C234" s="5" t="s">
        <v>198</v>
      </c>
      <c r="D234" s="6">
        <f t="shared" ca="1" si="120"/>
        <v>109.04347826086956</v>
      </c>
      <c r="E234" s="6">
        <f t="shared" ca="1" si="121"/>
        <v>221.3486842105263</v>
      </c>
      <c r="F234" s="6">
        <f t="shared" ca="1" si="116"/>
        <v>24136.630434782608</v>
      </c>
      <c r="G234" s="6">
        <f t="shared" ca="1" si="116"/>
        <v>151.60869565217391</v>
      </c>
      <c r="H234" s="6">
        <f t="shared" ca="1" si="122"/>
        <v>230.59936908517352</v>
      </c>
      <c r="I234" s="6">
        <f t="shared" ca="1" si="117"/>
        <v>34960.869565217392</v>
      </c>
      <c r="J234" s="6">
        <f t="shared" ca="1" si="117"/>
        <v>43</v>
      </c>
      <c r="K234" s="6">
        <f t="shared" ca="1" si="123"/>
        <v>246.09302325581396</v>
      </c>
      <c r="L234" s="6">
        <f t="shared" ca="1" si="118"/>
        <v>10582</v>
      </c>
      <c r="M234" s="6">
        <f t="shared" ca="1" si="118"/>
        <v>89.913043478260875</v>
      </c>
      <c r="N234" s="6">
        <f t="shared" ca="1" si="124"/>
        <v>275.23404255319144</v>
      </c>
      <c r="O234" s="6">
        <f t="shared" ca="1" si="126"/>
        <v>24747.130434782608</v>
      </c>
      <c r="P234" s="6">
        <f t="shared" ca="1" si="126"/>
        <v>-46.913043478260875</v>
      </c>
      <c r="Q234" s="6">
        <f t="shared" ca="1" si="126"/>
        <v>-29.141019297377483</v>
      </c>
      <c r="R234" s="6">
        <f t="shared" ca="1" si="126"/>
        <v>-14165.130434782608</v>
      </c>
      <c r="S234" s="6">
        <f t="shared" ca="1" si="126"/>
        <v>-1253.0638297872317</v>
      </c>
      <c r="T234" s="6">
        <f t="shared" ca="1" si="126"/>
        <v>-12912.066604995374</v>
      </c>
      <c r="U234" s="7">
        <f t="shared" ca="1" si="126"/>
        <v>0.47823984526112184</v>
      </c>
      <c r="V234" s="7">
        <f t="shared" ca="1" si="126"/>
        <v>-0.60566188197767146</v>
      </c>
      <c r="W234" s="7">
        <f t="shared" ca="1" si="126"/>
        <v>-0.56157923416059841</v>
      </c>
      <c r="X234" s="7">
        <f t="shared" ca="1" si="126"/>
        <v>-0.71637510754229994</v>
      </c>
      <c r="Y234" s="7">
        <f t="shared" ca="1" si="126"/>
        <v>-0.69731874145006845</v>
      </c>
      <c r="Z234" s="7">
        <f t="shared" ca="1" si="126"/>
        <v>0</v>
      </c>
      <c r="AA234" s="28" t="str">
        <f t="shared" si="125"/>
        <v>ADC</v>
      </c>
      <c r="AB234" s="28"/>
      <c r="AC234" s="12"/>
      <c r="AD234" s="12"/>
    </row>
    <row r="235" spans="1:30" x14ac:dyDescent="0.25">
      <c r="A235" s="5" t="s">
        <v>145</v>
      </c>
      <c r="B235" s="5" t="s">
        <v>152</v>
      </c>
      <c r="C235" s="5" t="s">
        <v>199</v>
      </c>
      <c r="D235" s="6">
        <f t="shared" ca="1" si="120"/>
        <v>0</v>
      </c>
      <c r="E235" s="6" t="str">
        <f t="shared" ca="1" si="121"/>
        <v>-</v>
      </c>
      <c r="F235" s="6">
        <f t="shared" ca="1" si="116"/>
        <v>0</v>
      </c>
      <c r="G235" s="6">
        <f t="shared" ca="1" si="116"/>
        <v>0</v>
      </c>
      <c r="H235" s="6" t="str">
        <f t="shared" ca="1" si="122"/>
        <v>-</v>
      </c>
      <c r="I235" s="6">
        <f t="shared" ca="1" si="117"/>
        <v>0</v>
      </c>
      <c r="J235" s="6">
        <f t="shared" ca="1" si="117"/>
        <v>137</v>
      </c>
      <c r="K235" s="6">
        <f t="shared" ca="1" si="123"/>
        <v>159.83306569343063</v>
      </c>
      <c r="L235" s="6">
        <f t="shared" ca="1" si="118"/>
        <v>21897.129999999997</v>
      </c>
      <c r="M235" s="6">
        <f t="shared" ca="1" si="118"/>
        <v>299.39130434782612</v>
      </c>
      <c r="N235" s="6">
        <f t="shared" ca="1" si="124"/>
        <v>142.90894568690095</v>
      </c>
      <c r="O235" s="6">
        <f t="shared" ca="1" si="126"/>
        <v>42785.695652173912</v>
      </c>
      <c r="P235" s="6">
        <f t="shared" ca="1" si="126"/>
        <v>-162.39130434782612</v>
      </c>
      <c r="Q235" s="6">
        <f t="shared" ca="1" si="126"/>
        <v>16.924120006529677</v>
      </c>
      <c r="R235" s="6">
        <f t="shared" ca="1" si="126"/>
        <v>-20888.565652173915</v>
      </c>
      <c r="S235" s="6">
        <f t="shared" ca="1" si="126"/>
        <v>2318.6044408945659</v>
      </c>
      <c r="T235" s="6">
        <f t="shared" ca="1" si="126"/>
        <v>-23207.170093068486</v>
      </c>
      <c r="U235" s="7">
        <f t="shared" ca="1" si="126"/>
        <v>0.45759512053441759</v>
      </c>
      <c r="V235" s="7" t="str">
        <f t="shared" ca="1" si="126"/>
        <v>-</v>
      </c>
      <c r="W235" s="7" t="str">
        <f t="shared" ca="1" si="126"/>
        <v>-</v>
      </c>
      <c r="X235" s="7" t="str">
        <f t="shared" ca="1" si="126"/>
        <v>-</v>
      </c>
      <c r="Y235" s="7" t="str">
        <f t="shared" ca="1" si="126"/>
        <v>-</v>
      </c>
      <c r="Z235" s="7">
        <f t="shared" ca="1" si="126"/>
        <v>0</v>
      </c>
      <c r="AA235" s="28" t="str">
        <f t="shared" si="125"/>
        <v>ADC</v>
      </c>
      <c r="AB235" s="28"/>
      <c r="AC235" s="12"/>
      <c r="AD235" s="12"/>
    </row>
    <row r="236" spans="1:30" x14ac:dyDescent="0.25">
      <c r="A236" s="5" t="s">
        <v>145</v>
      </c>
      <c r="B236" s="5" t="s">
        <v>152</v>
      </c>
      <c r="C236" s="5" t="s">
        <v>200</v>
      </c>
      <c r="D236" s="6">
        <f t="shared" ca="1" si="120"/>
        <v>279.30434782608694</v>
      </c>
      <c r="E236" s="6">
        <f t="shared" ca="1" si="121"/>
        <v>130.59599315068431</v>
      </c>
      <c r="F236" s="6">
        <f t="shared" ref="F236:G255" ca="1" si="127">IFERROR(VLOOKUP($C236,INDIRECT("'"&amp;$AA236&amp;"-"&amp;$C$1&amp;"'!$C:$AH"),F$30,0),0)</f>
        <v>36476.028695651999</v>
      </c>
      <c r="G236" s="6">
        <f t="shared" ca="1" si="127"/>
        <v>354.39130434782612</v>
      </c>
      <c r="H236" s="6">
        <f t="shared" ca="1" si="122"/>
        <v>132.6415249662615</v>
      </c>
      <c r="I236" s="6">
        <f t="shared" ref="I236:J255" ca="1" si="128">IFERROR(VLOOKUP($C236,INDIRECT("'"&amp;$AA236&amp;"-"&amp;$C$1&amp;"'!$C:$AH"),I$30,0),0)</f>
        <v>47007.003043478158</v>
      </c>
      <c r="J236" s="6">
        <f t="shared" ca="1" si="128"/>
        <v>275</v>
      </c>
      <c r="K236" s="6">
        <f t="shared" ca="1" si="123"/>
        <v>126.00556363636363</v>
      </c>
      <c r="L236" s="6">
        <f t="shared" ref="L236:M255" ca="1" si="129">IFERROR(VLOOKUP($C236,INDIRECT("'"&amp;$AA236&amp;"-"&amp;$C$1&amp;"'!$C:$AH"),L$30,0),0)</f>
        <v>34651.53</v>
      </c>
      <c r="M236" s="6">
        <f t="shared" ca="1" si="129"/>
        <v>336.21739130434781</v>
      </c>
      <c r="N236" s="6">
        <f t="shared" ca="1" si="124"/>
        <v>142.97581792318636</v>
      </c>
      <c r="O236" s="6">
        <f t="shared" ref="O236:Z245" ca="1" si="130">IFERROR(VLOOKUP($C236,INDIRECT("'"&amp;$AA236&amp;"-"&amp;$C$1&amp;"'!$C:$AH"),O$30,0),0)</f>
        <v>48070.956521739135</v>
      </c>
      <c r="P236" s="6">
        <f t="shared" ca="1" si="130"/>
        <v>-61.217391304347814</v>
      </c>
      <c r="Q236" s="6">
        <f t="shared" ca="1" si="130"/>
        <v>-16.970254286822723</v>
      </c>
      <c r="R236" s="6">
        <f t="shared" ca="1" si="130"/>
        <v>-13419.426521739137</v>
      </c>
      <c r="S236" s="6">
        <f t="shared" ca="1" si="130"/>
        <v>-4666.8199288762489</v>
      </c>
      <c r="T236" s="6">
        <f t="shared" ca="1" si="130"/>
        <v>-8752.606592862885</v>
      </c>
      <c r="U236" s="7">
        <f t="shared" ca="1" si="130"/>
        <v>0.81792318634423899</v>
      </c>
      <c r="V236" s="7">
        <f t="shared" ca="1" si="130"/>
        <v>-1.5410958904109527E-2</v>
      </c>
      <c r="W236" s="7">
        <f t="shared" ca="1" si="130"/>
        <v>-5.0019115591645638E-2</v>
      </c>
      <c r="X236" s="7">
        <f t="shared" ca="1" si="130"/>
        <v>-0.22402159244264516</v>
      </c>
      <c r="Y236" s="7">
        <f t="shared" ca="1" si="130"/>
        <v>-0.26284324129428588</v>
      </c>
      <c r="Z236" s="7">
        <f t="shared" ca="1" si="130"/>
        <v>0</v>
      </c>
      <c r="AA236" s="28" t="str">
        <f t="shared" si="125"/>
        <v>ADC</v>
      </c>
      <c r="AB236" s="28"/>
      <c r="AC236" s="12"/>
      <c r="AD236" s="12"/>
    </row>
    <row r="237" spans="1:30" x14ac:dyDescent="0.25">
      <c r="A237" s="5" t="s">
        <v>145</v>
      </c>
      <c r="B237" s="5" t="s">
        <v>154</v>
      </c>
      <c r="C237" s="5" t="s">
        <v>201</v>
      </c>
      <c r="D237" s="6">
        <f t="shared" ca="1" si="120"/>
        <v>78.434782608695656</v>
      </c>
      <c r="E237" s="6">
        <f t="shared" ca="1" si="121"/>
        <v>746.51341463414656</v>
      </c>
      <c r="F237" s="6">
        <f t="shared" ca="1" si="127"/>
        <v>58552.617391304368</v>
      </c>
      <c r="G237" s="6">
        <f t="shared" ca="1" si="127"/>
        <v>109.04347826086956</v>
      </c>
      <c r="H237" s="6">
        <f t="shared" ca="1" si="122"/>
        <v>568.72162280701752</v>
      </c>
      <c r="I237" s="6">
        <f t="shared" ca="1" si="128"/>
        <v>62015.383913043479</v>
      </c>
      <c r="J237" s="6">
        <f t="shared" ca="1" si="128"/>
        <v>4</v>
      </c>
      <c r="K237" s="6">
        <f t="shared" ca="1" si="123"/>
        <v>162.6575</v>
      </c>
      <c r="L237" s="6">
        <f t="shared" ca="1" si="129"/>
        <v>650.63</v>
      </c>
      <c r="M237" s="6" t="str">
        <f t="shared" ca="1" si="129"/>
        <v>-</v>
      </c>
      <c r="N237" s="6" t="str">
        <f t="shared" ca="1" si="124"/>
        <v>-</v>
      </c>
      <c r="O237" s="6" t="str">
        <f t="shared" ca="1" si="130"/>
        <v>-</v>
      </c>
      <c r="P237" s="6" t="str">
        <f t="shared" ca="1" si="130"/>
        <v>-</v>
      </c>
      <c r="Q237" s="6" t="str">
        <f t="shared" ca="1" si="130"/>
        <v>-</v>
      </c>
      <c r="R237" s="6" t="str">
        <f t="shared" ca="1" si="130"/>
        <v>-</v>
      </c>
      <c r="S237" s="6" t="str">
        <f t="shared" ca="1" si="130"/>
        <v>-</v>
      </c>
      <c r="T237" s="6" t="str">
        <f t="shared" ca="1" si="130"/>
        <v>-</v>
      </c>
      <c r="U237" s="7" t="str">
        <f t="shared" ca="1" si="130"/>
        <v>-</v>
      </c>
      <c r="V237" s="7">
        <f t="shared" ca="1" si="130"/>
        <v>-0.9490022172949002</v>
      </c>
      <c r="W237" s="7">
        <f t="shared" ca="1" si="130"/>
        <v>-0.98888811416145805</v>
      </c>
      <c r="X237" s="7">
        <f t="shared" ca="1" si="130"/>
        <v>-0.96331738437001591</v>
      </c>
      <c r="Y237" s="7">
        <f t="shared" ca="1" si="130"/>
        <v>-0.98950857095535694</v>
      </c>
      <c r="Z237" s="7">
        <f t="shared" ca="1" si="130"/>
        <v>0</v>
      </c>
      <c r="AA237" s="28" t="str">
        <f t="shared" si="125"/>
        <v>ADC</v>
      </c>
      <c r="AB237" s="28"/>
      <c r="AC237" s="12"/>
      <c r="AD237" s="12"/>
    </row>
    <row r="238" spans="1:30" x14ac:dyDescent="0.25">
      <c r="A238" s="5" t="s">
        <v>145</v>
      </c>
      <c r="B238" s="5" t="s">
        <v>154</v>
      </c>
      <c r="C238" s="5" t="s">
        <v>202</v>
      </c>
      <c r="D238" s="6">
        <f t="shared" ca="1" si="120"/>
        <v>26.782608695652176</v>
      </c>
      <c r="E238" s="6">
        <f t="shared" ca="1" si="121"/>
        <v>684.19732142857129</v>
      </c>
      <c r="F238" s="6">
        <f t="shared" ca="1" si="127"/>
        <v>18324.589130434779</v>
      </c>
      <c r="G238" s="6">
        <f t="shared" ca="1" si="127"/>
        <v>53.086956521739133</v>
      </c>
      <c r="H238" s="6">
        <f t="shared" ca="1" si="122"/>
        <v>576.88648648648643</v>
      </c>
      <c r="I238" s="6">
        <f t="shared" ca="1" si="128"/>
        <v>30625.147826086955</v>
      </c>
      <c r="J238" s="6">
        <f t="shared" ca="1" si="128"/>
        <v>21</v>
      </c>
      <c r="K238" s="6">
        <f t="shared" ca="1" si="123"/>
        <v>344.59523809523807</v>
      </c>
      <c r="L238" s="6">
        <f t="shared" ca="1" si="129"/>
        <v>7236.5</v>
      </c>
      <c r="M238" s="6" t="str">
        <f t="shared" ca="1" si="129"/>
        <v>-</v>
      </c>
      <c r="N238" s="6" t="str">
        <f t="shared" ca="1" si="124"/>
        <v>-</v>
      </c>
      <c r="O238" s="6" t="str">
        <f t="shared" ca="1" si="130"/>
        <v>-</v>
      </c>
      <c r="P238" s="6" t="str">
        <f t="shared" ca="1" si="130"/>
        <v>-</v>
      </c>
      <c r="Q238" s="6" t="str">
        <f t="shared" ca="1" si="130"/>
        <v>-</v>
      </c>
      <c r="R238" s="6" t="str">
        <f t="shared" ca="1" si="130"/>
        <v>-</v>
      </c>
      <c r="S238" s="6" t="str">
        <f t="shared" ca="1" si="130"/>
        <v>-</v>
      </c>
      <c r="T238" s="6" t="str">
        <f t="shared" ca="1" si="130"/>
        <v>-</v>
      </c>
      <c r="U238" s="7" t="str">
        <f t="shared" ca="1" si="130"/>
        <v>-</v>
      </c>
      <c r="V238" s="7">
        <f t="shared" ca="1" si="130"/>
        <v>-0.21590909090909097</v>
      </c>
      <c r="W238" s="7">
        <f t="shared" ca="1" si="130"/>
        <v>-0.60509346493444116</v>
      </c>
      <c r="X238" s="7">
        <f t="shared" ca="1" si="130"/>
        <v>-0.60442260442260443</v>
      </c>
      <c r="Y238" s="7">
        <f t="shared" ca="1" si="130"/>
        <v>-0.76370726302794067</v>
      </c>
      <c r="Z238" s="7">
        <f t="shared" ca="1" si="130"/>
        <v>0</v>
      </c>
      <c r="AA238" s="28" t="str">
        <f t="shared" si="125"/>
        <v>ADC</v>
      </c>
      <c r="AB238" s="28"/>
      <c r="AC238" s="12"/>
      <c r="AD238" s="12"/>
    </row>
    <row r="239" spans="1:30" x14ac:dyDescent="0.25">
      <c r="A239" s="5" t="s">
        <v>145</v>
      </c>
      <c r="B239" s="5" t="s">
        <v>148</v>
      </c>
      <c r="C239" s="5" t="s">
        <v>203</v>
      </c>
      <c r="D239" s="6">
        <f t="shared" ca="1" si="120"/>
        <v>14.347826086956522</v>
      </c>
      <c r="E239" s="6">
        <f t="shared" ca="1" si="121"/>
        <v>186.57</v>
      </c>
      <c r="F239" s="6">
        <f t="shared" ca="1" si="127"/>
        <v>2676.8739130434783</v>
      </c>
      <c r="G239" s="6">
        <f t="shared" ca="1" si="127"/>
        <v>40.173913043478265</v>
      </c>
      <c r="H239" s="6">
        <f t="shared" ca="1" si="122"/>
        <v>435.22321428571428</v>
      </c>
      <c r="I239" s="6">
        <f t="shared" ca="1" si="128"/>
        <v>17484.619565217392</v>
      </c>
      <c r="J239" s="6">
        <f t="shared" ca="1" si="128"/>
        <v>39</v>
      </c>
      <c r="K239" s="6">
        <f t="shared" ca="1" si="123"/>
        <v>371.41025641025641</v>
      </c>
      <c r="L239" s="6">
        <f t="shared" ca="1" si="129"/>
        <v>14485</v>
      </c>
      <c r="M239" s="6" t="str">
        <f t="shared" ca="1" si="129"/>
        <v>-</v>
      </c>
      <c r="N239" s="6" t="str">
        <f t="shared" ca="1" si="124"/>
        <v>-</v>
      </c>
      <c r="O239" s="6" t="str">
        <f t="shared" ca="1" si="130"/>
        <v>-</v>
      </c>
      <c r="P239" s="6" t="str">
        <f t="shared" ca="1" si="130"/>
        <v>-</v>
      </c>
      <c r="Q239" s="6" t="str">
        <f t="shared" ca="1" si="130"/>
        <v>-</v>
      </c>
      <c r="R239" s="6" t="str">
        <f t="shared" ca="1" si="130"/>
        <v>-</v>
      </c>
      <c r="S239" s="6" t="str">
        <f t="shared" ca="1" si="130"/>
        <v>-</v>
      </c>
      <c r="T239" s="6" t="str">
        <f t="shared" ca="1" si="130"/>
        <v>-</v>
      </c>
      <c r="U239" s="7" t="str">
        <f t="shared" ca="1" si="130"/>
        <v>-</v>
      </c>
      <c r="V239" s="7">
        <f t="shared" ca="1" si="130"/>
        <v>1.718181818181818</v>
      </c>
      <c r="W239" s="7">
        <f t="shared" ca="1" si="130"/>
        <v>4.4111625988133465</v>
      </c>
      <c r="X239" s="7">
        <f t="shared" ca="1" si="130"/>
        <v>-2.9220779220779324E-2</v>
      </c>
      <c r="Y239" s="7">
        <f t="shared" ca="1" si="130"/>
        <v>-0.17155761119244556</v>
      </c>
      <c r="Z239" s="7">
        <f t="shared" ca="1" si="130"/>
        <v>0</v>
      </c>
      <c r="AA239" s="28" t="str">
        <f t="shared" si="125"/>
        <v>ADC</v>
      </c>
      <c r="AB239" s="28"/>
      <c r="AC239" s="12"/>
      <c r="AD239" s="12"/>
    </row>
    <row r="240" spans="1:30" x14ac:dyDescent="0.25">
      <c r="A240" s="5" t="s">
        <v>145</v>
      </c>
      <c r="B240" s="5" t="s">
        <v>153</v>
      </c>
      <c r="C240" s="5" t="s">
        <v>204</v>
      </c>
      <c r="D240" s="6">
        <f t="shared" ca="1" si="120"/>
        <v>0</v>
      </c>
      <c r="E240" s="6" t="str">
        <f t="shared" ca="1" si="121"/>
        <v>-</v>
      </c>
      <c r="F240" s="6">
        <f t="shared" ca="1" si="127"/>
        <v>9198.142608695638</v>
      </c>
      <c r="G240" s="6">
        <f t="shared" ca="1" si="127"/>
        <v>0</v>
      </c>
      <c r="H240" s="6" t="str">
        <f t="shared" ca="1" si="122"/>
        <v>-</v>
      </c>
      <c r="I240" s="6">
        <f t="shared" ca="1" si="128"/>
        <v>11779.397826086963</v>
      </c>
      <c r="J240" s="6">
        <f t="shared" ca="1" si="128"/>
        <v>0</v>
      </c>
      <c r="K240" s="6" t="str">
        <f t="shared" ca="1" si="123"/>
        <v>-</v>
      </c>
      <c r="L240" s="6">
        <f t="shared" ca="1" si="129"/>
        <v>10100.619999999999</v>
      </c>
      <c r="M240" s="6" t="str">
        <f t="shared" ca="1" si="129"/>
        <v>-</v>
      </c>
      <c r="N240" s="6" t="str">
        <f t="shared" ca="1" si="124"/>
        <v>-</v>
      </c>
      <c r="O240" s="6" t="str">
        <f t="shared" ca="1" si="130"/>
        <v>-</v>
      </c>
      <c r="P240" s="6" t="str">
        <f t="shared" ca="1" si="130"/>
        <v>-</v>
      </c>
      <c r="Q240" s="6" t="str">
        <f t="shared" ca="1" si="130"/>
        <v>-</v>
      </c>
      <c r="R240" s="6" t="str">
        <f t="shared" ca="1" si="130"/>
        <v>-</v>
      </c>
      <c r="S240" s="6" t="str">
        <f t="shared" ca="1" si="130"/>
        <v>-</v>
      </c>
      <c r="T240" s="6" t="str">
        <f t="shared" ca="1" si="130"/>
        <v>-</v>
      </c>
      <c r="U240" s="7" t="str">
        <f t="shared" ca="1" si="130"/>
        <v>-</v>
      </c>
      <c r="V240" s="7" t="str">
        <f t="shared" ca="1" si="130"/>
        <v>-</v>
      </c>
      <c r="W240" s="7">
        <f t="shared" ca="1" si="130"/>
        <v>9.8115177128389686E-2</v>
      </c>
      <c r="X240" s="7" t="str">
        <f t="shared" ca="1" si="130"/>
        <v>-</v>
      </c>
      <c r="Y240" s="7">
        <f t="shared" ca="1" si="130"/>
        <v>-0.14251813639990138</v>
      </c>
      <c r="Z240" s="7">
        <f t="shared" ca="1" si="130"/>
        <v>0</v>
      </c>
      <c r="AA240" s="28" t="str">
        <f t="shared" si="125"/>
        <v>ADC</v>
      </c>
      <c r="AB240" s="28"/>
      <c r="AC240" s="12"/>
      <c r="AD240" s="12"/>
    </row>
    <row r="241" spans="1:30" x14ac:dyDescent="0.25">
      <c r="A241" s="5" t="s">
        <v>145</v>
      </c>
      <c r="B241" s="5" t="s">
        <v>154</v>
      </c>
      <c r="C241" s="5" t="s">
        <v>205</v>
      </c>
      <c r="D241" s="6">
        <f t="shared" ca="1" si="120"/>
        <v>0</v>
      </c>
      <c r="E241" s="6" t="str">
        <f t="shared" ca="1" si="121"/>
        <v>-</v>
      </c>
      <c r="F241" s="6">
        <f t="shared" ca="1" si="127"/>
        <v>0</v>
      </c>
      <c r="G241" s="6">
        <f t="shared" ca="1" si="127"/>
        <v>0</v>
      </c>
      <c r="H241" s="6" t="str">
        <f t="shared" ca="1" si="122"/>
        <v>-</v>
      </c>
      <c r="I241" s="6">
        <f t="shared" ca="1" si="128"/>
        <v>0</v>
      </c>
      <c r="J241" s="6">
        <f t="shared" ca="1" si="128"/>
        <v>29</v>
      </c>
      <c r="K241" s="6">
        <f t="shared" ca="1" si="123"/>
        <v>195.85103448275859</v>
      </c>
      <c r="L241" s="6">
        <f t="shared" ca="1" si="129"/>
        <v>5679.6799999999994</v>
      </c>
      <c r="M241" s="6" t="str">
        <f t="shared" ca="1" si="129"/>
        <v>-</v>
      </c>
      <c r="N241" s="6" t="str">
        <f t="shared" ca="1" si="124"/>
        <v>-</v>
      </c>
      <c r="O241" s="6" t="str">
        <f t="shared" ca="1" si="130"/>
        <v>-</v>
      </c>
      <c r="P241" s="6" t="str">
        <f t="shared" ca="1" si="130"/>
        <v>-</v>
      </c>
      <c r="Q241" s="6" t="str">
        <f t="shared" ca="1" si="130"/>
        <v>-</v>
      </c>
      <c r="R241" s="6" t="str">
        <f t="shared" ca="1" si="130"/>
        <v>-</v>
      </c>
      <c r="S241" s="6" t="str">
        <f t="shared" ca="1" si="130"/>
        <v>-</v>
      </c>
      <c r="T241" s="6" t="str">
        <f t="shared" ca="1" si="130"/>
        <v>-</v>
      </c>
      <c r="U241" s="7" t="str">
        <f t="shared" ca="1" si="130"/>
        <v>-</v>
      </c>
      <c r="V241" s="7" t="str">
        <f t="shared" ca="1" si="130"/>
        <v>-</v>
      </c>
      <c r="W241" s="7" t="str">
        <f t="shared" ca="1" si="130"/>
        <v>-</v>
      </c>
      <c r="X241" s="7" t="str">
        <f t="shared" ca="1" si="130"/>
        <v>-</v>
      </c>
      <c r="Y241" s="7" t="str">
        <f t="shared" ca="1" si="130"/>
        <v>-</v>
      </c>
      <c r="Z241" s="7">
        <f t="shared" ca="1" si="130"/>
        <v>0</v>
      </c>
      <c r="AA241" s="28" t="str">
        <f t="shared" si="125"/>
        <v>ADC</v>
      </c>
      <c r="AB241" s="28"/>
      <c r="AC241" s="12"/>
      <c r="AD241" s="12"/>
    </row>
    <row r="242" spans="1:30" x14ac:dyDescent="0.25">
      <c r="A242" s="5" t="s">
        <v>145</v>
      </c>
      <c r="B242" s="5" t="s">
        <v>219</v>
      </c>
      <c r="C242" s="5" t="s">
        <v>206</v>
      </c>
      <c r="D242" s="6">
        <f t="shared" ca="1" si="120"/>
        <v>86.565217391304344</v>
      </c>
      <c r="E242" s="6">
        <f t="shared" ca="1" si="121"/>
        <v>722.25740331491727</v>
      </c>
      <c r="F242" s="6">
        <f t="shared" ca="1" si="127"/>
        <v>62522.369130434789</v>
      </c>
      <c r="G242" s="6">
        <f t="shared" ca="1" si="127"/>
        <v>108.08695652173914</v>
      </c>
      <c r="H242" s="6">
        <f t="shared" ca="1" si="122"/>
        <v>594.26933628318579</v>
      </c>
      <c r="I242" s="6">
        <f t="shared" ca="1" si="128"/>
        <v>64232.763913043476</v>
      </c>
      <c r="J242" s="6">
        <f t="shared" ca="1" si="128"/>
        <v>4</v>
      </c>
      <c r="K242" s="6">
        <f t="shared" ca="1" si="123"/>
        <v>3416.7525000000001</v>
      </c>
      <c r="L242" s="6">
        <f t="shared" ca="1" si="129"/>
        <v>13667.01</v>
      </c>
      <c r="M242" s="6" t="str">
        <f t="shared" ca="1" si="129"/>
        <v>-</v>
      </c>
      <c r="N242" s="6" t="str">
        <f t="shared" ca="1" si="124"/>
        <v>-</v>
      </c>
      <c r="O242" s="6" t="str">
        <f t="shared" ca="1" si="130"/>
        <v>-</v>
      </c>
      <c r="P242" s="6" t="str">
        <f t="shared" ca="1" si="130"/>
        <v>-</v>
      </c>
      <c r="Q242" s="6" t="str">
        <f t="shared" ca="1" si="130"/>
        <v>-</v>
      </c>
      <c r="R242" s="6" t="str">
        <f t="shared" ca="1" si="130"/>
        <v>-</v>
      </c>
      <c r="S242" s="6" t="str">
        <f t="shared" ca="1" si="130"/>
        <v>-</v>
      </c>
      <c r="T242" s="6" t="str">
        <f t="shared" ca="1" si="130"/>
        <v>-</v>
      </c>
      <c r="U242" s="7" t="str">
        <f t="shared" ca="1" si="130"/>
        <v>-</v>
      </c>
      <c r="V242" s="7">
        <f t="shared" ca="1" si="130"/>
        <v>-0.95379206428930186</v>
      </c>
      <c r="W242" s="7">
        <f t="shared" ca="1" si="130"/>
        <v>-0.78140607609593693</v>
      </c>
      <c r="X242" s="7">
        <f t="shared" ca="1" si="130"/>
        <v>-0.9629927594529365</v>
      </c>
      <c r="Y242" s="7">
        <f t="shared" ca="1" si="130"/>
        <v>-0.78722681125006522</v>
      </c>
      <c r="Z242" s="7">
        <f t="shared" ca="1" si="130"/>
        <v>0</v>
      </c>
      <c r="AA242" s="28" t="str">
        <f t="shared" si="125"/>
        <v>ADC</v>
      </c>
      <c r="AB242" s="28"/>
      <c r="AC242" s="12"/>
      <c r="AD242" s="12"/>
    </row>
    <row r="243" spans="1:30" x14ac:dyDescent="0.25">
      <c r="A243" s="5" t="s">
        <v>145</v>
      </c>
      <c r="B243" s="5" t="s">
        <v>211</v>
      </c>
      <c r="C243" s="5" t="s">
        <v>721</v>
      </c>
      <c r="D243" s="6">
        <f t="shared" ca="1" si="120"/>
        <v>0</v>
      </c>
      <c r="E243" s="6" t="str">
        <f t="shared" ca="1" si="121"/>
        <v>-</v>
      </c>
      <c r="F243" s="6">
        <f t="shared" ca="1" si="127"/>
        <v>0</v>
      </c>
      <c r="G243" s="6">
        <f t="shared" ca="1" si="127"/>
        <v>0</v>
      </c>
      <c r="H243" s="6" t="str">
        <f t="shared" ca="1" si="122"/>
        <v>-</v>
      </c>
      <c r="I243" s="6">
        <f t="shared" ca="1" si="128"/>
        <v>0</v>
      </c>
      <c r="J243" s="6">
        <f t="shared" ca="1" si="128"/>
        <v>2</v>
      </c>
      <c r="K243" s="6">
        <f t="shared" ca="1" si="123"/>
        <v>89.550000000000011</v>
      </c>
      <c r="L243" s="6">
        <f t="shared" ca="1" si="129"/>
        <v>179.10000000000002</v>
      </c>
      <c r="M243" s="6" t="str">
        <f t="shared" ca="1" si="129"/>
        <v>-</v>
      </c>
      <c r="N243" s="6" t="str">
        <f t="shared" ca="1" si="124"/>
        <v>-</v>
      </c>
      <c r="O243" s="6" t="str">
        <f t="shared" ca="1" si="130"/>
        <v>-</v>
      </c>
      <c r="P243" s="6" t="str">
        <f t="shared" ca="1" si="130"/>
        <v>-</v>
      </c>
      <c r="Q243" s="6" t="str">
        <f t="shared" ca="1" si="130"/>
        <v>-</v>
      </c>
      <c r="R243" s="6" t="str">
        <f t="shared" ca="1" si="130"/>
        <v>-</v>
      </c>
      <c r="S243" s="6" t="str">
        <f t="shared" ca="1" si="130"/>
        <v>-</v>
      </c>
      <c r="T243" s="6" t="str">
        <f t="shared" ca="1" si="130"/>
        <v>-</v>
      </c>
      <c r="U243" s="7" t="str">
        <f t="shared" ca="1" si="130"/>
        <v>-</v>
      </c>
      <c r="V243" s="7" t="str">
        <f t="shared" ca="1" si="130"/>
        <v>-</v>
      </c>
      <c r="W243" s="7" t="str">
        <f t="shared" ca="1" si="130"/>
        <v>-</v>
      </c>
      <c r="X243" s="7" t="str">
        <f t="shared" ca="1" si="130"/>
        <v>-</v>
      </c>
      <c r="Y243" s="7" t="str">
        <f t="shared" ca="1" si="130"/>
        <v>-</v>
      </c>
      <c r="Z243" s="7">
        <f t="shared" ca="1" si="130"/>
        <v>0</v>
      </c>
      <c r="AA243" s="28" t="str">
        <f t="shared" si="125"/>
        <v>ADC</v>
      </c>
      <c r="AB243" s="28"/>
      <c r="AC243" s="12"/>
      <c r="AD243" s="12"/>
    </row>
    <row r="244" spans="1:30" x14ac:dyDescent="0.25">
      <c r="A244" s="5" t="s">
        <v>208</v>
      </c>
      <c r="B244" s="5" t="s">
        <v>209</v>
      </c>
      <c r="C244" s="5" t="s">
        <v>224</v>
      </c>
      <c r="D244" s="6">
        <f t="shared" ca="1" si="120"/>
        <v>0</v>
      </c>
      <c r="E244" s="6" t="str">
        <f t="shared" ca="1" si="121"/>
        <v>-</v>
      </c>
      <c r="F244" s="6">
        <f t="shared" ca="1" si="127"/>
        <v>0</v>
      </c>
      <c r="G244" s="6">
        <f t="shared" ca="1" si="127"/>
        <v>0</v>
      </c>
      <c r="H244" s="6" t="str">
        <f t="shared" ca="1" si="122"/>
        <v>-</v>
      </c>
      <c r="I244" s="6">
        <f t="shared" ca="1" si="128"/>
        <v>0</v>
      </c>
      <c r="J244" s="6">
        <f t="shared" ca="1" si="128"/>
        <v>139</v>
      </c>
      <c r="K244" s="6">
        <f t="shared" ca="1" si="123"/>
        <v>347.26438848920867</v>
      </c>
      <c r="L244" s="6">
        <f t="shared" ca="1" si="129"/>
        <v>48269.750000000007</v>
      </c>
      <c r="M244" s="6">
        <f t="shared" ca="1" si="129"/>
        <v>103.01260869565218</v>
      </c>
      <c r="N244" s="6">
        <f t="shared" ca="1" si="124"/>
        <v>424.21010000000001</v>
      </c>
      <c r="O244" s="6">
        <f t="shared" ca="1" si="130"/>
        <v>43698.98903604348</v>
      </c>
      <c r="P244" s="6">
        <f t="shared" ca="1" si="130"/>
        <v>35.987391304347824</v>
      </c>
      <c r="Q244" s="6">
        <f t="shared" ca="1" si="130"/>
        <v>-76.945711510791341</v>
      </c>
      <c r="R244" s="6">
        <f t="shared" ca="1" si="130"/>
        <v>4570.7609639565271</v>
      </c>
      <c r="S244" s="6">
        <f t="shared" ca="1" si="130"/>
        <v>-10695.453899999997</v>
      </c>
      <c r="T244" s="6">
        <f t="shared" ca="1" si="130"/>
        <v>15266.214863956522</v>
      </c>
      <c r="U244" s="7">
        <f t="shared" ca="1" si="130"/>
        <v>1.3493493831485381</v>
      </c>
      <c r="V244" s="7">
        <f t="shared" ca="1" si="130"/>
        <v>1.1045964921565234</v>
      </c>
      <c r="W244" s="7" t="str">
        <f t="shared" ca="1" si="130"/>
        <v>-</v>
      </c>
      <c r="X244" s="7" t="str">
        <f t="shared" ca="1" si="130"/>
        <v>-</v>
      </c>
      <c r="Y244" s="7" t="str">
        <f t="shared" ca="1" si="130"/>
        <v>-</v>
      </c>
      <c r="Z244" s="7" t="str">
        <f t="shared" ca="1" si="130"/>
        <v>-</v>
      </c>
      <c r="AA244" s="28" t="str">
        <f t="shared" si="125"/>
        <v>AFW</v>
      </c>
      <c r="AB244" s="28"/>
      <c r="AC244" s="12"/>
      <c r="AD244" s="12"/>
    </row>
    <row r="245" spans="1:30" x14ac:dyDescent="0.25">
      <c r="A245" s="5" t="s">
        <v>208</v>
      </c>
      <c r="B245" s="5" t="s">
        <v>210</v>
      </c>
      <c r="C245" s="5" t="s">
        <v>226</v>
      </c>
      <c r="D245" s="6">
        <f t="shared" ca="1" si="120"/>
        <v>108</v>
      </c>
      <c r="E245" s="6">
        <f t="shared" ca="1" si="121"/>
        <v>225.75</v>
      </c>
      <c r="F245" s="6">
        <f t="shared" ca="1" si="127"/>
        <v>24381</v>
      </c>
      <c r="G245" s="6">
        <f t="shared" ca="1" si="127"/>
        <v>84</v>
      </c>
      <c r="H245" s="6">
        <f t="shared" ca="1" si="122"/>
        <v>268.36904761904759</v>
      </c>
      <c r="I245" s="6">
        <f t="shared" ca="1" si="128"/>
        <v>22543</v>
      </c>
      <c r="J245" s="6">
        <f t="shared" ca="1" si="128"/>
        <v>127</v>
      </c>
      <c r="K245" s="6">
        <f t="shared" ca="1" si="123"/>
        <v>248.34645669291339</v>
      </c>
      <c r="L245" s="6">
        <f t="shared" ca="1" si="129"/>
        <v>31540</v>
      </c>
      <c r="M245" s="6">
        <f t="shared" ca="1" si="129"/>
        <v>88.784347826086943</v>
      </c>
      <c r="N245" s="6">
        <f t="shared" ca="1" si="124"/>
        <v>276.27540000000005</v>
      </c>
      <c r="O245" s="6">
        <f t="shared" ca="1" si="130"/>
        <v>24528.931209391303</v>
      </c>
      <c r="P245" s="6">
        <f t="shared" ca="1" si="130"/>
        <v>38.215652173913057</v>
      </c>
      <c r="Q245" s="6">
        <f t="shared" ca="1" si="130"/>
        <v>-27.928943307086655</v>
      </c>
      <c r="R245" s="6">
        <f t="shared" ca="1" si="130"/>
        <v>7011.0687906086969</v>
      </c>
      <c r="S245" s="6">
        <f t="shared" ca="1" si="130"/>
        <v>-3546.9758000000052</v>
      </c>
      <c r="T245" s="6">
        <f t="shared" ca="1" si="130"/>
        <v>10558.044590608701</v>
      </c>
      <c r="U245" s="7">
        <f t="shared" ca="1" si="130"/>
        <v>1.4304323127852541</v>
      </c>
      <c r="V245" s="7">
        <f t="shared" ca="1" si="130"/>
        <v>1.2858285479607197</v>
      </c>
      <c r="W245" s="7">
        <f t="shared" ca="1" si="130"/>
        <v>0.17592592592592593</v>
      </c>
      <c r="X245" s="7">
        <f t="shared" ca="1" si="130"/>
        <v>0.29363028587834789</v>
      </c>
      <c r="Y245" s="7">
        <f t="shared" ca="1" si="130"/>
        <v>0.51190476190476186</v>
      </c>
      <c r="Z245" s="7">
        <f t="shared" ca="1" si="130"/>
        <v>0.39910393470256844</v>
      </c>
      <c r="AA245" s="28" t="str">
        <f t="shared" si="125"/>
        <v>AFW</v>
      </c>
      <c r="AB245" s="28"/>
      <c r="AC245" s="12"/>
      <c r="AD245" s="12"/>
    </row>
    <row r="246" spans="1:30" x14ac:dyDescent="0.25">
      <c r="A246" s="5" t="s">
        <v>208</v>
      </c>
      <c r="B246" s="5" t="s">
        <v>211</v>
      </c>
      <c r="C246" s="5" t="s">
        <v>227</v>
      </c>
      <c r="D246" s="6">
        <f t="shared" ca="1" si="120"/>
        <v>34</v>
      </c>
      <c r="E246" s="6">
        <f t="shared" ca="1" si="121"/>
        <v>229.20588235294119</v>
      </c>
      <c r="F246" s="6">
        <f t="shared" ca="1" si="127"/>
        <v>7793</v>
      </c>
      <c r="G246" s="6">
        <f t="shared" ca="1" si="127"/>
        <v>0</v>
      </c>
      <c r="H246" s="6" t="str">
        <f t="shared" ca="1" si="122"/>
        <v>-</v>
      </c>
      <c r="I246" s="6">
        <f t="shared" ca="1" si="128"/>
        <v>0</v>
      </c>
      <c r="J246" s="6">
        <f t="shared" ca="1" si="128"/>
        <v>26</v>
      </c>
      <c r="K246" s="6">
        <f t="shared" ca="1" si="123"/>
        <v>342.4173076923077</v>
      </c>
      <c r="L246" s="6">
        <f t="shared" ca="1" si="129"/>
        <v>8902.85</v>
      </c>
      <c r="M246" s="6">
        <f t="shared" ca="1" si="129"/>
        <v>41.65</v>
      </c>
      <c r="N246" s="6">
        <f t="shared" ca="1" si="124"/>
        <v>255.70170000000002</v>
      </c>
      <c r="O246" s="6">
        <f t="shared" ref="O246:Z255" ca="1" si="131">IFERROR(VLOOKUP($C246,INDIRECT("'"&amp;$AA246&amp;"-"&amp;$C$1&amp;"'!$C:$AH"),O$30,0),0)</f>
        <v>10649.975805</v>
      </c>
      <c r="P246" s="6">
        <f t="shared" ca="1" si="131"/>
        <v>-15.649999999999999</v>
      </c>
      <c r="Q246" s="6">
        <f t="shared" ca="1" si="131"/>
        <v>86.715607692307685</v>
      </c>
      <c r="R246" s="6">
        <f t="shared" ca="1" si="131"/>
        <v>-1747.1258049999997</v>
      </c>
      <c r="S246" s="6">
        <f t="shared" ca="1" si="131"/>
        <v>2254.6057999999998</v>
      </c>
      <c r="T246" s="6">
        <f t="shared" ca="1" si="131"/>
        <v>-4001.7316049999999</v>
      </c>
      <c r="U246" s="7">
        <f t="shared" ca="1" si="131"/>
        <v>0.62424969987995205</v>
      </c>
      <c r="V246" s="7">
        <f t="shared" ca="1" si="131"/>
        <v>0.83595025594520589</v>
      </c>
      <c r="W246" s="7">
        <f t="shared" ca="1" si="131"/>
        <v>-0.23529411764705882</v>
      </c>
      <c r="X246" s="7">
        <f t="shared" ca="1" si="131"/>
        <v>0.14241627101244711</v>
      </c>
      <c r="Y246" s="7" t="str">
        <f t="shared" ca="1" si="131"/>
        <v>-</v>
      </c>
      <c r="Z246" s="7" t="str">
        <f t="shared" ca="1" si="131"/>
        <v>-</v>
      </c>
      <c r="AA246" s="28" t="str">
        <f t="shared" si="125"/>
        <v>AFW</v>
      </c>
      <c r="AB246" s="28"/>
      <c r="AC246" s="12"/>
      <c r="AD246" s="12"/>
    </row>
    <row r="247" spans="1:30" x14ac:dyDescent="0.25">
      <c r="A247" s="5" t="s">
        <v>208</v>
      </c>
      <c r="B247" s="5" t="s">
        <v>212</v>
      </c>
      <c r="C247" s="5" t="s">
        <v>228</v>
      </c>
      <c r="D247" s="6">
        <f t="shared" ca="1" si="120"/>
        <v>0</v>
      </c>
      <c r="E247" s="6" t="str">
        <f t="shared" ca="1" si="121"/>
        <v>-</v>
      </c>
      <c r="F247" s="6">
        <f t="shared" ca="1" si="127"/>
        <v>216</v>
      </c>
      <c r="G247" s="6">
        <f t="shared" ca="1" si="127"/>
        <v>0</v>
      </c>
      <c r="H247" s="6" t="str">
        <f t="shared" ca="1" si="122"/>
        <v>-</v>
      </c>
      <c r="I247" s="6">
        <f t="shared" ca="1" si="128"/>
        <v>0</v>
      </c>
      <c r="J247" s="6">
        <f t="shared" ca="1" si="128"/>
        <v>48</v>
      </c>
      <c r="K247" s="6">
        <f t="shared" ca="1" si="123"/>
        <v>690.11458333333337</v>
      </c>
      <c r="L247" s="6">
        <f t="shared" ca="1" si="129"/>
        <v>33125.5</v>
      </c>
      <c r="M247" s="6">
        <f t="shared" ca="1" si="129"/>
        <v>72.877152173913046</v>
      </c>
      <c r="N247" s="6">
        <f t="shared" ca="1" si="124"/>
        <v>794.5367</v>
      </c>
      <c r="O247" s="6">
        <f t="shared" ca="1" si="131"/>
        <v>57903.571993658697</v>
      </c>
      <c r="P247" s="6">
        <f t="shared" ca="1" si="131"/>
        <v>-24.877152173913046</v>
      </c>
      <c r="Q247" s="6">
        <f t="shared" ca="1" si="131"/>
        <v>-104.42211666666662</v>
      </c>
      <c r="R247" s="6">
        <f t="shared" ca="1" si="131"/>
        <v>-24778.071993658697</v>
      </c>
      <c r="S247" s="6">
        <f t="shared" ca="1" si="131"/>
        <v>-5012.261599999998</v>
      </c>
      <c r="T247" s="6">
        <f t="shared" ca="1" si="131"/>
        <v>-19765.810393658699</v>
      </c>
      <c r="U247" s="7">
        <f t="shared" ca="1" si="131"/>
        <v>0.65864264132403871</v>
      </c>
      <c r="V247" s="7">
        <f t="shared" ca="1" si="131"/>
        <v>0.57208042370214629</v>
      </c>
      <c r="W247" s="7" t="str">
        <f t="shared" ca="1" si="131"/>
        <v>-</v>
      </c>
      <c r="X247" s="7">
        <f t="shared" ca="1" si="131"/>
        <v>152.3587962962963</v>
      </c>
      <c r="Y247" s="7" t="str">
        <f t="shared" ca="1" si="131"/>
        <v>-</v>
      </c>
      <c r="Z247" s="7" t="str">
        <f t="shared" ca="1" si="131"/>
        <v>-</v>
      </c>
      <c r="AA247" s="28" t="str">
        <f t="shared" si="125"/>
        <v>AFW</v>
      </c>
      <c r="AB247" s="28"/>
      <c r="AC247" s="12"/>
      <c r="AD247" s="12"/>
    </row>
    <row r="248" spans="1:30" x14ac:dyDescent="0.25">
      <c r="A248" s="5" t="s">
        <v>207</v>
      </c>
      <c r="B248" s="5" t="s">
        <v>46</v>
      </c>
      <c r="C248" s="5" t="s">
        <v>229</v>
      </c>
      <c r="D248" s="6">
        <f t="shared" ca="1" si="120"/>
        <v>131</v>
      </c>
      <c r="E248" s="6">
        <f t="shared" ca="1" si="121"/>
        <v>387.3435114503817</v>
      </c>
      <c r="F248" s="6">
        <f t="shared" ca="1" si="127"/>
        <v>50742</v>
      </c>
      <c r="G248" s="6">
        <f t="shared" ca="1" si="127"/>
        <v>143</v>
      </c>
      <c r="H248" s="6">
        <f t="shared" ca="1" si="122"/>
        <v>350.53146853146853</v>
      </c>
      <c r="I248" s="6">
        <f t="shared" ca="1" si="128"/>
        <v>50126</v>
      </c>
      <c r="J248" s="6">
        <f t="shared" ca="1" si="128"/>
        <v>184</v>
      </c>
      <c r="K248" s="6">
        <f t="shared" ca="1" si="123"/>
        <v>375.62777173913048</v>
      </c>
      <c r="L248" s="6">
        <f t="shared" ca="1" si="129"/>
        <v>69115.510000000009</v>
      </c>
      <c r="M248" s="6">
        <f t="shared" ca="1" si="129"/>
        <v>166.18608695652171</v>
      </c>
      <c r="N248" s="6">
        <f t="shared" ca="1" si="124"/>
        <v>410</v>
      </c>
      <c r="O248" s="6">
        <f t="shared" ca="1" si="131"/>
        <v>68136.295652173896</v>
      </c>
      <c r="P248" s="6">
        <f t="shared" ca="1" si="131"/>
        <v>17.813913043478294</v>
      </c>
      <c r="Q248" s="6">
        <f t="shared" ca="1" si="131"/>
        <v>-34.37222826086952</v>
      </c>
      <c r="R248" s="6">
        <f t="shared" ca="1" si="131"/>
        <v>979.21434782611323</v>
      </c>
      <c r="S248" s="6">
        <f t="shared" ca="1" si="131"/>
        <v>-6324.4899999999916</v>
      </c>
      <c r="T248" s="6">
        <f t="shared" ca="1" si="131"/>
        <v>7303.7043478261003</v>
      </c>
      <c r="U248" s="7">
        <f t="shared" ca="1" si="131"/>
        <v>1.1071925656937747</v>
      </c>
      <c r="V248" s="7">
        <f t="shared" ca="1" si="131"/>
        <v>1.0143714057016668</v>
      </c>
      <c r="W248" s="7">
        <f t="shared" ca="1" si="131"/>
        <v>0.40458015267175573</v>
      </c>
      <c r="X248" s="7">
        <f t="shared" ca="1" si="131"/>
        <v>0.36209668519175453</v>
      </c>
      <c r="Y248" s="7">
        <f t="shared" ca="1" si="131"/>
        <v>0.28671328671328672</v>
      </c>
      <c r="Z248" s="7">
        <f t="shared" ca="1" si="131"/>
        <v>0.37883553445317819</v>
      </c>
      <c r="AA248" s="28" t="str">
        <f t="shared" si="125"/>
        <v>AFW</v>
      </c>
      <c r="AB248" s="28"/>
      <c r="AC248" s="12"/>
      <c r="AD248" s="12"/>
    </row>
    <row r="249" spans="1:30" x14ac:dyDescent="0.25">
      <c r="A249" s="5" t="s">
        <v>207</v>
      </c>
      <c r="B249" s="5" t="s">
        <v>42</v>
      </c>
      <c r="C249" s="5" t="s">
        <v>230</v>
      </c>
      <c r="D249" s="6">
        <f t="shared" ca="1" si="120"/>
        <v>139</v>
      </c>
      <c r="E249" s="6">
        <f t="shared" ca="1" si="121"/>
        <v>449.38129496402877</v>
      </c>
      <c r="F249" s="6">
        <f t="shared" ca="1" si="127"/>
        <v>62464</v>
      </c>
      <c r="G249" s="6">
        <f t="shared" ca="1" si="127"/>
        <v>170</v>
      </c>
      <c r="H249" s="6">
        <f t="shared" ca="1" si="122"/>
        <v>394.42352941176472</v>
      </c>
      <c r="I249" s="6">
        <f t="shared" ca="1" si="128"/>
        <v>67052</v>
      </c>
      <c r="J249" s="6">
        <f t="shared" ca="1" si="128"/>
        <v>149</v>
      </c>
      <c r="K249" s="6">
        <f t="shared" ca="1" si="123"/>
        <v>420.28516778523488</v>
      </c>
      <c r="L249" s="6">
        <f t="shared" ca="1" si="129"/>
        <v>62622.49</v>
      </c>
      <c r="M249" s="6">
        <f t="shared" ca="1" si="129"/>
        <v>153.66521739130434</v>
      </c>
      <c r="N249" s="6">
        <f t="shared" ca="1" si="124"/>
        <v>489.85000000000008</v>
      </c>
      <c r="O249" s="6">
        <f t="shared" ca="1" si="131"/>
        <v>75272.906739130442</v>
      </c>
      <c r="P249" s="6">
        <f t="shared" ca="1" si="131"/>
        <v>-4.6652173913043384</v>
      </c>
      <c r="Q249" s="6">
        <f t="shared" ca="1" si="131"/>
        <v>-69.564832214765204</v>
      </c>
      <c r="R249" s="6">
        <f t="shared" ca="1" si="131"/>
        <v>-12650.416739130444</v>
      </c>
      <c r="S249" s="6">
        <f t="shared" ca="1" si="131"/>
        <v>-10365.160000000016</v>
      </c>
      <c r="T249" s="6">
        <f t="shared" ca="1" si="131"/>
        <v>-2285.2567391304306</v>
      </c>
      <c r="U249" s="7">
        <f t="shared" ca="1" si="131"/>
        <v>0.96964038140508735</v>
      </c>
      <c r="V249" s="7">
        <f t="shared" ca="1" si="131"/>
        <v>0.83193930874793554</v>
      </c>
      <c r="W249" s="7">
        <f t="shared" ca="1" si="131"/>
        <v>7.1942446043165464E-2</v>
      </c>
      <c r="X249" s="7">
        <f t="shared" ca="1" si="131"/>
        <v>2.5373014856557049E-3</v>
      </c>
      <c r="Y249" s="7">
        <f t="shared" ca="1" si="131"/>
        <v>-0.12352941176470589</v>
      </c>
      <c r="Z249" s="7">
        <f t="shared" ca="1" si="131"/>
        <v>-6.6060818469247773E-2</v>
      </c>
      <c r="AA249" s="28" t="str">
        <f t="shared" si="125"/>
        <v>AFW</v>
      </c>
      <c r="AB249" s="28"/>
      <c r="AC249" s="12"/>
      <c r="AD249" s="12"/>
    </row>
    <row r="250" spans="1:30" x14ac:dyDescent="0.25">
      <c r="A250" s="5" t="s">
        <v>208</v>
      </c>
      <c r="B250" s="5" t="s">
        <v>48</v>
      </c>
      <c r="C250" s="5" t="s">
        <v>236</v>
      </c>
      <c r="D250" s="6">
        <f t="shared" ca="1" si="120"/>
        <v>66</v>
      </c>
      <c r="E250" s="6">
        <f t="shared" ca="1" si="121"/>
        <v>446.63636363636363</v>
      </c>
      <c r="F250" s="6">
        <f t="shared" ca="1" si="127"/>
        <v>29478</v>
      </c>
      <c r="G250" s="6">
        <f t="shared" ca="1" si="127"/>
        <v>85</v>
      </c>
      <c r="H250" s="6">
        <f t="shared" ca="1" si="122"/>
        <v>437.76470588235293</v>
      </c>
      <c r="I250" s="6">
        <f t="shared" ca="1" si="128"/>
        <v>37210</v>
      </c>
      <c r="J250" s="6">
        <f t="shared" ca="1" si="128"/>
        <v>80</v>
      </c>
      <c r="K250" s="6">
        <f t="shared" ca="1" si="123"/>
        <v>572.63250000000005</v>
      </c>
      <c r="L250" s="6">
        <f t="shared" ca="1" si="129"/>
        <v>45810.600000000006</v>
      </c>
      <c r="M250" s="6">
        <f t="shared" ca="1" si="129"/>
        <v>110.4782608695652</v>
      </c>
      <c r="N250" s="6">
        <f t="shared" ca="1" si="124"/>
        <v>514.34249999999997</v>
      </c>
      <c r="O250" s="6">
        <f t="shared" ca="1" si="131"/>
        <v>56823.664891304339</v>
      </c>
      <c r="P250" s="6">
        <f t="shared" ca="1" si="131"/>
        <v>-30.478260869565204</v>
      </c>
      <c r="Q250" s="6">
        <f t="shared" ca="1" si="131"/>
        <v>58.290000000000077</v>
      </c>
      <c r="R250" s="6">
        <f t="shared" ca="1" si="131"/>
        <v>-11013.064891304333</v>
      </c>
      <c r="S250" s="6">
        <f t="shared" ca="1" si="131"/>
        <v>4663.2000000000062</v>
      </c>
      <c r="T250" s="6">
        <f t="shared" ca="1" si="131"/>
        <v>-15676.264891304339</v>
      </c>
      <c r="U250" s="7">
        <f t="shared" ca="1" si="131"/>
        <v>0.72412436048799689</v>
      </c>
      <c r="V250" s="7">
        <f t="shared" ca="1" si="131"/>
        <v>0.80618876110207294</v>
      </c>
      <c r="W250" s="7">
        <f t="shared" ca="1" si="131"/>
        <v>0.21212121212121213</v>
      </c>
      <c r="X250" s="7">
        <f t="shared" ca="1" si="131"/>
        <v>0.55406065540403027</v>
      </c>
      <c r="Y250" s="7">
        <f t="shared" ca="1" si="131"/>
        <v>-5.8823529411764705E-2</v>
      </c>
      <c r="Z250" s="7">
        <f t="shared" ca="1" si="131"/>
        <v>0.23113679118516545</v>
      </c>
      <c r="AA250" s="28" t="str">
        <f t="shared" si="125"/>
        <v>AFW</v>
      </c>
      <c r="AB250" s="28"/>
      <c r="AC250" s="12"/>
      <c r="AD250" s="12"/>
    </row>
    <row r="251" spans="1:30" x14ac:dyDescent="0.25">
      <c r="A251" s="5" t="s">
        <v>207</v>
      </c>
      <c r="B251" s="5" t="s">
        <v>147</v>
      </c>
      <c r="C251" s="5" t="s">
        <v>237</v>
      </c>
      <c r="D251" s="6">
        <f t="shared" ca="1" si="120"/>
        <v>62</v>
      </c>
      <c r="E251" s="6">
        <f t="shared" ca="1" si="121"/>
        <v>642.56451612903231</v>
      </c>
      <c r="F251" s="6">
        <f t="shared" ca="1" si="127"/>
        <v>39839</v>
      </c>
      <c r="G251" s="6">
        <f t="shared" ca="1" si="127"/>
        <v>79</v>
      </c>
      <c r="H251" s="6">
        <f t="shared" ca="1" si="122"/>
        <v>808.43037974683546</v>
      </c>
      <c r="I251" s="6">
        <f t="shared" ca="1" si="128"/>
        <v>63866</v>
      </c>
      <c r="J251" s="6">
        <f t="shared" ca="1" si="128"/>
        <v>14</v>
      </c>
      <c r="K251" s="6">
        <f t="shared" ca="1" si="123"/>
        <v>1871.0285714285717</v>
      </c>
      <c r="L251" s="6">
        <f t="shared" ca="1" si="129"/>
        <v>26194.400000000005</v>
      </c>
      <c r="M251" s="6">
        <f t="shared" ca="1" si="129"/>
        <v>95.795000000000002</v>
      </c>
      <c r="N251" s="6">
        <f t="shared" ca="1" si="124"/>
        <v>973.82179999999994</v>
      </c>
      <c r="O251" s="6">
        <f t="shared" ca="1" si="131"/>
        <v>93287.259330999994</v>
      </c>
      <c r="P251" s="6">
        <f t="shared" ca="1" si="131"/>
        <v>-81.795000000000002</v>
      </c>
      <c r="Q251" s="6">
        <f t="shared" ca="1" si="131"/>
        <v>897.20677142857176</v>
      </c>
      <c r="R251" s="6">
        <f t="shared" ca="1" si="131"/>
        <v>-67092.859330999985</v>
      </c>
      <c r="S251" s="6">
        <f t="shared" ca="1" si="131"/>
        <v>12560.894800000005</v>
      </c>
      <c r="T251" s="6">
        <f t="shared" ca="1" si="131"/>
        <v>-79653.754130999994</v>
      </c>
      <c r="U251" s="7">
        <f t="shared" ca="1" si="131"/>
        <v>0.14614541468761416</v>
      </c>
      <c r="V251" s="7">
        <f t="shared" ca="1" si="131"/>
        <v>0.28079289913596406</v>
      </c>
      <c r="W251" s="7">
        <f t="shared" ca="1" si="131"/>
        <v>-0.77419354838709675</v>
      </c>
      <c r="X251" s="7">
        <f t="shared" ca="1" si="131"/>
        <v>-0.34249353648434938</v>
      </c>
      <c r="Y251" s="7">
        <f t="shared" ca="1" si="131"/>
        <v>-0.82278481012658233</v>
      </c>
      <c r="Z251" s="7">
        <f t="shared" ca="1" si="131"/>
        <v>-0.58985375630225767</v>
      </c>
      <c r="AA251" s="28" t="str">
        <f t="shared" si="125"/>
        <v>AFW</v>
      </c>
      <c r="AB251" s="28"/>
      <c r="AC251" s="12"/>
      <c r="AD251" s="12"/>
    </row>
    <row r="252" spans="1:30" x14ac:dyDescent="0.25">
      <c r="A252" s="5" t="s">
        <v>207</v>
      </c>
      <c r="B252" s="5" t="s">
        <v>210</v>
      </c>
      <c r="C252" s="5" t="s">
        <v>242</v>
      </c>
      <c r="D252" s="6">
        <f t="shared" ca="1" si="120"/>
        <v>0</v>
      </c>
      <c r="E252" s="6" t="str">
        <f t="shared" ca="1" si="121"/>
        <v>-</v>
      </c>
      <c r="F252" s="6">
        <f t="shared" ca="1" si="127"/>
        <v>0</v>
      </c>
      <c r="G252" s="6">
        <f t="shared" ca="1" si="127"/>
        <v>0</v>
      </c>
      <c r="H252" s="6" t="str">
        <f t="shared" ca="1" si="122"/>
        <v>-</v>
      </c>
      <c r="I252" s="6">
        <f t="shared" ca="1" si="128"/>
        <v>0</v>
      </c>
      <c r="J252" s="6">
        <f t="shared" ca="1" si="128"/>
        <v>51</v>
      </c>
      <c r="K252" s="6">
        <f t="shared" ca="1" si="123"/>
        <v>214.19666666666669</v>
      </c>
      <c r="L252" s="6">
        <f t="shared" ca="1" si="129"/>
        <v>10924.03</v>
      </c>
      <c r="M252" s="6">
        <f t="shared" ca="1" si="129"/>
        <v>70.003043478260878</v>
      </c>
      <c r="N252" s="6">
        <f t="shared" ca="1" si="124"/>
        <v>166.54900000000001</v>
      </c>
      <c r="O252" s="6">
        <f t="shared" ca="1" si="131"/>
        <v>11658.936888260871</v>
      </c>
      <c r="P252" s="6">
        <f t="shared" ca="1" si="131"/>
        <v>-19.003043478260878</v>
      </c>
      <c r="Q252" s="6">
        <f t="shared" ca="1" si="131"/>
        <v>47.64766666666668</v>
      </c>
      <c r="R252" s="6">
        <f t="shared" ca="1" si="131"/>
        <v>-734.90688826086989</v>
      </c>
      <c r="S252" s="6">
        <f t="shared" ca="1" si="131"/>
        <v>2430.0310000000009</v>
      </c>
      <c r="T252" s="6">
        <f t="shared" ca="1" si="131"/>
        <v>-3164.9378882608712</v>
      </c>
      <c r="U252" s="7">
        <f t="shared" ca="1" si="131"/>
        <v>0.72853975292999673</v>
      </c>
      <c r="V252" s="7">
        <f t="shared" ca="1" si="131"/>
        <v>0.9369662178203545</v>
      </c>
      <c r="W252" s="7" t="str">
        <f t="shared" ca="1" si="131"/>
        <v>-</v>
      </c>
      <c r="X252" s="7" t="str">
        <f t="shared" ca="1" si="131"/>
        <v>-</v>
      </c>
      <c r="Y252" s="7" t="str">
        <f t="shared" ca="1" si="131"/>
        <v>-</v>
      </c>
      <c r="Z252" s="7" t="str">
        <f t="shared" ca="1" si="131"/>
        <v>-</v>
      </c>
      <c r="AA252" s="28" t="str">
        <f t="shared" si="125"/>
        <v>AFW</v>
      </c>
      <c r="AB252" s="28"/>
      <c r="AC252" s="12"/>
      <c r="AD252" s="12"/>
    </row>
    <row r="253" spans="1:30" x14ac:dyDescent="0.25">
      <c r="A253" s="5" t="s">
        <v>207</v>
      </c>
      <c r="B253" s="5" t="s">
        <v>39</v>
      </c>
      <c r="C253" s="5" t="s">
        <v>244</v>
      </c>
      <c r="D253" s="6">
        <f t="shared" ca="1" si="120"/>
        <v>293</v>
      </c>
      <c r="E253" s="6">
        <f t="shared" ca="1" si="121"/>
        <v>489.6348122866894</v>
      </c>
      <c r="F253" s="6">
        <f t="shared" ca="1" si="127"/>
        <v>143463</v>
      </c>
      <c r="G253" s="6">
        <f t="shared" ca="1" si="127"/>
        <v>295</v>
      </c>
      <c r="H253" s="6">
        <f t="shared" ca="1" si="122"/>
        <v>465.39661016949151</v>
      </c>
      <c r="I253" s="6">
        <f t="shared" ca="1" si="128"/>
        <v>137292</v>
      </c>
      <c r="J253" s="6">
        <f t="shared" ca="1" si="128"/>
        <v>67</v>
      </c>
      <c r="K253" s="6">
        <f t="shared" ca="1" si="123"/>
        <v>404.94641791044768</v>
      </c>
      <c r="L253" s="6">
        <f t="shared" ca="1" si="129"/>
        <v>27131.409999999996</v>
      </c>
      <c r="M253" s="6">
        <f t="shared" ca="1" si="129"/>
        <v>200</v>
      </c>
      <c r="N253" s="6">
        <f t="shared" ca="1" si="124"/>
        <v>510</v>
      </c>
      <c r="O253" s="6">
        <f t="shared" ca="1" si="131"/>
        <v>102000</v>
      </c>
      <c r="P253" s="6">
        <f t="shared" ca="1" si="131"/>
        <v>-133</v>
      </c>
      <c r="Q253" s="6">
        <f t="shared" ca="1" si="131"/>
        <v>-105.05358208955232</v>
      </c>
      <c r="R253" s="6">
        <f t="shared" ca="1" si="131"/>
        <v>-74868.59</v>
      </c>
      <c r="S253" s="6">
        <f t="shared" ca="1" si="131"/>
        <v>-7038.5900000000056</v>
      </c>
      <c r="T253" s="6">
        <f t="shared" ca="1" si="131"/>
        <v>-67830</v>
      </c>
      <c r="U253" s="7">
        <f t="shared" ca="1" si="131"/>
        <v>0.33500000000000002</v>
      </c>
      <c r="V253" s="7">
        <f t="shared" ca="1" si="131"/>
        <v>0.26599421568627446</v>
      </c>
      <c r="W253" s="7">
        <f t="shared" ca="1" si="131"/>
        <v>-0.77133105802047786</v>
      </c>
      <c r="X253" s="7">
        <f t="shared" ca="1" si="131"/>
        <v>-0.81088217868021717</v>
      </c>
      <c r="Y253" s="7">
        <f t="shared" ca="1" si="131"/>
        <v>-0.77288135593220342</v>
      </c>
      <c r="Z253" s="7">
        <f t="shared" ca="1" si="131"/>
        <v>-0.80238171197156427</v>
      </c>
      <c r="AA253" s="28" t="str">
        <f t="shared" si="125"/>
        <v>AFW</v>
      </c>
      <c r="AB253" s="28"/>
      <c r="AC253" s="12"/>
      <c r="AD253" s="12"/>
    </row>
    <row r="254" spans="1:30" x14ac:dyDescent="0.25">
      <c r="A254" s="5" t="s">
        <v>207</v>
      </c>
      <c r="B254" s="5" t="s">
        <v>214</v>
      </c>
      <c r="C254" s="5" t="s">
        <v>245</v>
      </c>
      <c r="D254" s="6">
        <f t="shared" ca="1" si="120"/>
        <v>22</v>
      </c>
      <c r="E254" s="6">
        <f t="shared" ca="1" si="121"/>
        <v>369.45454545454544</v>
      </c>
      <c r="F254" s="6">
        <f t="shared" ca="1" si="127"/>
        <v>8128</v>
      </c>
      <c r="G254" s="6">
        <f t="shared" ca="1" si="127"/>
        <v>31</v>
      </c>
      <c r="H254" s="6">
        <f t="shared" ca="1" si="122"/>
        <v>352.03225806451616</v>
      </c>
      <c r="I254" s="6">
        <f t="shared" ca="1" si="128"/>
        <v>10913</v>
      </c>
      <c r="J254" s="6">
        <f t="shared" ca="1" si="128"/>
        <v>17</v>
      </c>
      <c r="K254" s="6">
        <f t="shared" ca="1" si="123"/>
        <v>503.64235294117645</v>
      </c>
      <c r="L254" s="6">
        <f t="shared" ca="1" si="129"/>
        <v>8561.92</v>
      </c>
      <c r="M254" s="6">
        <f t="shared" ca="1" si="129"/>
        <v>44.392173913043472</v>
      </c>
      <c r="N254" s="6">
        <f t="shared" ca="1" si="124"/>
        <v>452.62139999999999</v>
      </c>
      <c r="O254" s="6">
        <f t="shared" ca="1" si="131"/>
        <v>20092.847905565213</v>
      </c>
      <c r="P254" s="6">
        <f t="shared" ca="1" si="131"/>
        <v>-27.392173913043472</v>
      </c>
      <c r="Q254" s="6">
        <f t="shared" ca="1" si="131"/>
        <v>51.020952941176461</v>
      </c>
      <c r="R254" s="6">
        <f t="shared" ca="1" si="131"/>
        <v>-11530.927905565213</v>
      </c>
      <c r="S254" s="6">
        <f t="shared" ca="1" si="131"/>
        <v>867.35619999999983</v>
      </c>
      <c r="T254" s="6">
        <f t="shared" ca="1" si="131"/>
        <v>-12398.284105565213</v>
      </c>
      <c r="U254" s="7">
        <f t="shared" ca="1" si="131"/>
        <v>0.38295038295038303</v>
      </c>
      <c r="V254" s="7">
        <f t="shared" ca="1" si="131"/>
        <v>0.42611779277085771</v>
      </c>
      <c r="W254" s="7">
        <f t="shared" ca="1" si="131"/>
        <v>-0.22727272727272727</v>
      </c>
      <c r="X254" s="7">
        <f t="shared" ca="1" si="131"/>
        <v>5.3385826771653551E-2</v>
      </c>
      <c r="Y254" s="7">
        <f t="shared" ca="1" si="131"/>
        <v>-0.45161290322580644</v>
      </c>
      <c r="Z254" s="7">
        <f t="shared" ca="1" si="131"/>
        <v>-0.21543846788234217</v>
      </c>
      <c r="AA254" s="28" t="str">
        <f t="shared" si="125"/>
        <v>AFW</v>
      </c>
      <c r="AB254" s="28"/>
      <c r="AC254" s="12"/>
      <c r="AD254" s="12"/>
    </row>
    <row r="255" spans="1:30" x14ac:dyDescent="0.25">
      <c r="A255" s="5" t="s">
        <v>208</v>
      </c>
      <c r="B255" s="5" t="s">
        <v>215</v>
      </c>
      <c r="C255" s="5" t="s">
        <v>246</v>
      </c>
      <c r="D255" s="6">
        <f t="shared" ca="1" si="120"/>
        <v>0</v>
      </c>
      <c r="E255" s="6" t="str">
        <f t="shared" ca="1" si="121"/>
        <v>-</v>
      </c>
      <c r="F255" s="6">
        <f t="shared" ca="1" si="127"/>
        <v>0</v>
      </c>
      <c r="G255" s="6">
        <f t="shared" ca="1" si="127"/>
        <v>0</v>
      </c>
      <c r="H255" s="6" t="str">
        <f t="shared" ca="1" si="122"/>
        <v>-</v>
      </c>
      <c r="I255" s="6">
        <f t="shared" ca="1" si="128"/>
        <v>0</v>
      </c>
      <c r="J255" s="6">
        <f t="shared" ca="1" si="128"/>
        <v>13</v>
      </c>
      <c r="K255" s="6">
        <f t="shared" ca="1" si="123"/>
        <v>4258.0769230769229</v>
      </c>
      <c r="L255" s="6">
        <f t="shared" ca="1" si="129"/>
        <v>55355</v>
      </c>
      <c r="M255" s="6">
        <f t="shared" ca="1" si="129"/>
        <v>30.731812311665959</v>
      </c>
      <c r="N255" s="6">
        <f t="shared" ca="1" si="124"/>
        <v>1212</v>
      </c>
      <c r="O255" s="6">
        <f t="shared" ca="1" si="131"/>
        <v>37246.956521739143</v>
      </c>
      <c r="P255" s="6">
        <f t="shared" ca="1" si="131"/>
        <v>-17.731812311665959</v>
      </c>
      <c r="Q255" s="6">
        <f t="shared" ca="1" si="131"/>
        <v>3046.0769230769229</v>
      </c>
      <c r="R255" s="6">
        <f t="shared" ca="1" si="131"/>
        <v>18108.043478260857</v>
      </c>
      <c r="S255" s="6">
        <f t="shared" ca="1" si="131"/>
        <v>39599</v>
      </c>
      <c r="T255" s="6">
        <f t="shared" ca="1" si="131"/>
        <v>-21490.956521739143</v>
      </c>
      <c r="U255" s="7">
        <f t="shared" ca="1" si="131"/>
        <v>0.42301442779100701</v>
      </c>
      <c r="V255" s="7">
        <f t="shared" ca="1" si="131"/>
        <v>1.4861616939814162</v>
      </c>
      <c r="W255" s="7" t="str">
        <f t="shared" ca="1" si="131"/>
        <v>-</v>
      </c>
      <c r="X255" s="7" t="str">
        <f t="shared" ca="1" si="131"/>
        <v>-</v>
      </c>
      <c r="Y255" s="7" t="str">
        <f t="shared" ca="1" si="131"/>
        <v>-</v>
      </c>
      <c r="Z255" s="7" t="str">
        <f t="shared" ca="1" si="131"/>
        <v>-</v>
      </c>
      <c r="AA255" s="28" t="str">
        <f t="shared" si="125"/>
        <v>AFW</v>
      </c>
      <c r="AB255" s="28"/>
      <c r="AC255" s="12"/>
      <c r="AD255" s="12"/>
    </row>
    <row r="256" spans="1:30" x14ac:dyDescent="0.25">
      <c r="A256" s="5" t="s">
        <v>208</v>
      </c>
      <c r="B256" s="5" t="s">
        <v>216</v>
      </c>
      <c r="C256" s="5" t="s">
        <v>248</v>
      </c>
      <c r="D256" s="6">
        <f t="shared" ca="1" si="120"/>
        <v>21</v>
      </c>
      <c r="E256" s="6">
        <f t="shared" ca="1" si="121"/>
        <v>360.71428571428572</v>
      </c>
      <c r="F256" s="6">
        <f t="shared" ref="F256:G275" ca="1" si="132">IFERROR(VLOOKUP($C256,INDIRECT("'"&amp;$AA256&amp;"-"&amp;$C$1&amp;"'!$C:$AH"),F$30,0),0)</f>
        <v>7575</v>
      </c>
      <c r="G256" s="6">
        <f t="shared" ca="1" si="132"/>
        <v>77</v>
      </c>
      <c r="H256" s="6">
        <f t="shared" ca="1" si="122"/>
        <v>686.37662337662334</v>
      </c>
      <c r="I256" s="6">
        <f t="shared" ref="I256:J275" ca="1" si="133">IFERROR(VLOOKUP($C256,INDIRECT("'"&amp;$AA256&amp;"-"&amp;$C$1&amp;"'!$C:$AH"),I$30,0),0)</f>
        <v>52851</v>
      </c>
      <c r="J256" s="6">
        <f t="shared" ca="1" si="133"/>
        <v>46</v>
      </c>
      <c r="K256" s="6">
        <f t="shared" ca="1" si="123"/>
        <v>589.54347826086962</v>
      </c>
      <c r="L256" s="6">
        <f t="shared" ref="L256:M275" ca="1" si="134">IFERROR(VLOOKUP($C256,INDIRECT("'"&amp;$AA256&amp;"-"&amp;$C$1&amp;"'!$C:$AH"),L$30,0),0)</f>
        <v>27119</v>
      </c>
      <c r="M256" s="6">
        <f t="shared" ca="1" si="134"/>
        <v>58.051304347826083</v>
      </c>
      <c r="N256" s="6">
        <f t="shared" ca="1" si="124"/>
        <v>773.96299999999997</v>
      </c>
      <c r="O256" s="6">
        <f t="shared" ref="O256:Z265" ca="1" si="135">IFERROR(VLOOKUP($C256,INDIRECT("'"&amp;$AA256&amp;"-"&amp;$C$1&amp;"'!$C:$AH"),O$30,0),0)</f>
        <v>44929.561666956513</v>
      </c>
      <c r="P256" s="6">
        <f t="shared" ca="1" si="135"/>
        <v>-12.051304347826083</v>
      </c>
      <c r="Q256" s="6">
        <f t="shared" ca="1" si="135"/>
        <v>-184.41952173913035</v>
      </c>
      <c r="R256" s="6">
        <f t="shared" ca="1" si="135"/>
        <v>-17810.561666956513</v>
      </c>
      <c r="S256" s="6">
        <f t="shared" ca="1" si="135"/>
        <v>-8483.2979999999952</v>
      </c>
      <c r="T256" s="6">
        <f t="shared" ca="1" si="135"/>
        <v>-9327.2636669565181</v>
      </c>
      <c r="U256" s="7">
        <f t="shared" ca="1" si="135"/>
        <v>0.79240252250632881</v>
      </c>
      <c r="V256" s="7">
        <f t="shared" ca="1" si="135"/>
        <v>0.60358924044310658</v>
      </c>
      <c r="W256" s="7">
        <f t="shared" ca="1" si="135"/>
        <v>1.1904761904761905</v>
      </c>
      <c r="X256" s="7">
        <f t="shared" ca="1" si="135"/>
        <v>2.58006600660066</v>
      </c>
      <c r="Y256" s="7">
        <f t="shared" ca="1" si="135"/>
        <v>-0.40259740259740262</v>
      </c>
      <c r="Z256" s="7">
        <f t="shared" ca="1" si="135"/>
        <v>-0.48687820476433746</v>
      </c>
      <c r="AA256" s="28" t="str">
        <f t="shared" si="125"/>
        <v>AFW</v>
      </c>
      <c r="AB256" s="28"/>
      <c r="AC256" s="12"/>
      <c r="AD256" s="12"/>
    </row>
    <row r="257" spans="1:30" x14ac:dyDescent="0.25">
      <c r="A257" s="5" t="s">
        <v>208</v>
      </c>
      <c r="B257" s="5" t="s">
        <v>42</v>
      </c>
      <c r="C257" s="5" t="s">
        <v>249</v>
      </c>
      <c r="D257" s="6">
        <f t="shared" ca="1" si="120"/>
        <v>121</v>
      </c>
      <c r="E257" s="6">
        <f t="shared" ca="1" si="121"/>
        <v>375.57851239669424</v>
      </c>
      <c r="F257" s="6">
        <f t="shared" ca="1" si="132"/>
        <v>45445</v>
      </c>
      <c r="G257" s="6">
        <f t="shared" ca="1" si="132"/>
        <v>139</v>
      </c>
      <c r="H257" s="6">
        <f t="shared" ca="1" si="122"/>
        <v>357.92805755395682</v>
      </c>
      <c r="I257" s="6">
        <f t="shared" ca="1" si="133"/>
        <v>49752</v>
      </c>
      <c r="J257" s="6">
        <f t="shared" ca="1" si="133"/>
        <v>142</v>
      </c>
      <c r="K257" s="6">
        <f t="shared" ca="1" si="123"/>
        <v>334.60218309859158</v>
      </c>
      <c r="L257" s="6">
        <f t="shared" ca="1" si="134"/>
        <v>47513.51</v>
      </c>
      <c r="M257" s="6">
        <f t="shared" ca="1" si="134"/>
        <v>180.98347826086953</v>
      </c>
      <c r="N257" s="6">
        <f t="shared" ca="1" si="124"/>
        <v>385.02209999999997</v>
      </c>
      <c r="O257" s="6">
        <f t="shared" ca="1" si="135"/>
        <v>69682.638865304325</v>
      </c>
      <c r="P257" s="6">
        <f t="shared" ca="1" si="135"/>
        <v>-38.983478260869532</v>
      </c>
      <c r="Q257" s="6">
        <f t="shared" ca="1" si="135"/>
        <v>-50.419916901408385</v>
      </c>
      <c r="R257" s="6">
        <f t="shared" ca="1" si="135"/>
        <v>-22169.128865304323</v>
      </c>
      <c r="S257" s="6">
        <f t="shared" ca="1" si="135"/>
        <v>-7159.628199999991</v>
      </c>
      <c r="T257" s="6">
        <f t="shared" ca="1" si="135"/>
        <v>-15009.500665304333</v>
      </c>
      <c r="U257" s="7">
        <f t="shared" ca="1" si="135"/>
        <v>0.78460200546771042</v>
      </c>
      <c r="V257" s="7">
        <f t="shared" ca="1" si="135"/>
        <v>0.68185577890990934</v>
      </c>
      <c r="W257" s="7">
        <f t="shared" ca="1" si="135"/>
        <v>0.17355371900826447</v>
      </c>
      <c r="X257" s="7">
        <f t="shared" ca="1" si="135"/>
        <v>4.5516778523489974E-2</v>
      </c>
      <c r="Y257" s="7">
        <f t="shared" ca="1" si="135"/>
        <v>2.1582733812949641E-2</v>
      </c>
      <c r="Z257" s="7">
        <f t="shared" ca="1" si="135"/>
        <v>-4.4992965106930335E-2</v>
      </c>
      <c r="AA257" s="28" t="str">
        <f t="shared" si="125"/>
        <v>AFW</v>
      </c>
      <c r="AB257" s="28"/>
      <c r="AC257" s="12"/>
      <c r="AD257" s="12"/>
    </row>
    <row r="258" spans="1:30" x14ac:dyDescent="0.25">
      <c r="A258" s="5" t="s">
        <v>208</v>
      </c>
      <c r="B258" s="5" t="s">
        <v>50</v>
      </c>
      <c r="C258" s="5" t="s">
        <v>251</v>
      </c>
      <c r="D258" s="6">
        <f t="shared" ca="1" si="120"/>
        <v>97</v>
      </c>
      <c r="E258" s="6">
        <f t="shared" ca="1" si="121"/>
        <v>266.8041237113402</v>
      </c>
      <c r="F258" s="6">
        <f t="shared" ca="1" si="132"/>
        <v>25880</v>
      </c>
      <c r="G258" s="6">
        <f t="shared" ca="1" si="132"/>
        <v>71</v>
      </c>
      <c r="H258" s="6">
        <f t="shared" ca="1" si="122"/>
        <v>295.77464788732397</v>
      </c>
      <c r="I258" s="6">
        <f t="shared" ca="1" si="133"/>
        <v>21000</v>
      </c>
      <c r="J258" s="6">
        <f t="shared" ca="1" si="133"/>
        <v>251</v>
      </c>
      <c r="K258" s="6">
        <f t="shared" ca="1" si="123"/>
        <v>297.48183266932278</v>
      </c>
      <c r="L258" s="6">
        <f t="shared" ca="1" si="134"/>
        <v>74667.940000000017</v>
      </c>
      <c r="M258" s="6">
        <f t="shared" ca="1" si="134"/>
        <v>149.68130434782609</v>
      </c>
      <c r="N258" s="6">
        <f t="shared" ca="1" si="124"/>
        <v>304.68670000000003</v>
      </c>
      <c r="O258" s="6">
        <f t="shared" ca="1" si="135"/>
        <v>45605.902673434786</v>
      </c>
      <c r="P258" s="6">
        <f t="shared" ca="1" si="135"/>
        <v>101.31869565217391</v>
      </c>
      <c r="Q258" s="6">
        <f t="shared" ca="1" si="135"/>
        <v>-7.2048673306772457</v>
      </c>
      <c r="R258" s="6">
        <f t="shared" ca="1" si="135"/>
        <v>29062.037326565231</v>
      </c>
      <c r="S258" s="6">
        <f t="shared" ca="1" si="135"/>
        <v>-1808.4216999999887</v>
      </c>
      <c r="T258" s="6">
        <f t="shared" ca="1" si="135"/>
        <v>30870.459026565222</v>
      </c>
      <c r="U258" s="7">
        <f t="shared" ca="1" si="135"/>
        <v>1.6768961300386038</v>
      </c>
      <c r="V258" s="7">
        <f t="shared" ca="1" si="135"/>
        <v>1.637242892321781</v>
      </c>
      <c r="W258" s="7">
        <f t="shared" ca="1" si="135"/>
        <v>1.5876288659793814</v>
      </c>
      <c r="X258" s="7">
        <f t="shared" ca="1" si="135"/>
        <v>1.8851599690880996</v>
      </c>
      <c r="Y258" s="7">
        <f t="shared" ca="1" si="135"/>
        <v>2.535211267605634</v>
      </c>
      <c r="Z258" s="7">
        <f t="shared" ca="1" si="135"/>
        <v>2.5556161904761914</v>
      </c>
      <c r="AA258" s="28" t="str">
        <f t="shared" si="125"/>
        <v>AFW</v>
      </c>
      <c r="AB258" s="28"/>
      <c r="AC258" s="12"/>
      <c r="AD258" s="12"/>
    </row>
    <row r="259" spans="1:30" x14ac:dyDescent="0.25">
      <c r="A259" s="5" t="s">
        <v>207</v>
      </c>
      <c r="B259" s="5" t="s">
        <v>48</v>
      </c>
      <c r="C259" s="5" t="s">
        <v>252</v>
      </c>
      <c r="D259" s="6">
        <f t="shared" ca="1" si="120"/>
        <v>6</v>
      </c>
      <c r="E259" s="6">
        <f t="shared" ca="1" si="121"/>
        <v>314.16666666666669</v>
      </c>
      <c r="F259" s="6">
        <f t="shared" ca="1" si="132"/>
        <v>1885</v>
      </c>
      <c r="G259" s="6">
        <f t="shared" ca="1" si="132"/>
        <v>0</v>
      </c>
      <c r="H259" s="6" t="str">
        <f t="shared" ca="1" si="122"/>
        <v>-</v>
      </c>
      <c r="I259" s="6">
        <f t="shared" ca="1" si="133"/>
        <v>0</v>
      </c>
      <c r="J259" s="6">
        <f t="shared" ca="1" si="133"/>
        <v>47</v>
      </c>
      <c r="K259" s="6">
        <f t="shared" ca="1" si="123"/>
        <v>322.18617021276606</v>
      </c>
      <c r="L259" s="6">
        <f t="shared" ca="1" si="134"/>
        <v>15142.750000000004</v>
      </c>
      <c r="M259" s="6">
        <f t="shared" ca="1" si="134"/>
        <v>107.1304347826087</v>
      </c>
      <c r="N259" s="6">
        <f t="shared" ca="1" si="124"/>
        <v>404.61610000000007</v>
      </c>
      <c r="O259" s="6">
        <f t="shared" ca="1" si="135"/>
        <v>43346.698713043486</v>
      </c>
      <c r="P259" s="6">
        <f t="shared" ca="1" si="135"/>
        <v>-60.130434782608702</v>
      </c>
      <c r="Q259" s="6">
        <f t="shared" ca="1" si="135"/>
        <v>-82.429929787234016</v>
      </c>
      <c r="R259" s="6">
        <f t="shared" ca="1" si="135"/>
        <v>-28203.948713043483</v>
      </c>
      <c r="S259" s="6">
        <f t="shared" ca="1" si="135"/>
        <v>-3874.2066999999988</v>
      </c>
      <c r="T259" s="6">
        <f t="shared" ca="1" si="135"/>
        <v>-24329.742013043484</v>
      </c>
      <c r="U259" s="7">
        <f t="shared" ca="1" si="135"/>
        <v>0.43871753246753242</v>
      </c>
      <c r="V259" s="7">
        <f t="shared" ca="1" si="135"/>
        <v>0.34934032924272934</v>
      </c>
      <c r="W259" s="7">
        <f t="shared" ca="1" si="135"/>
        <v>6.833333333333333</v>
      </c>
      <c r="X259" s="7">
        <f t="shared" ca="1" si="135"/>
        <v>7.0332891246684373</v>
      </c>
      <c r="Y259" s="7" t="str">
        <f t="shared" ca="1" si="135"/>
        <v>-</v>
      </c>
      <c r="Z259" s="7" t="str">
        <f t="shared" ca="1" si="135"/>
        <v>-</v>
      </c>
      <c r="AA259" s="28" t="str">
        <f t="shared" si="125"/>
        <v>AFW</v>
      </c>
      <c r="AB259" s="28"/>
      <c r="AC259" s="12"/>
      <c r="AD259" s="12"/>
    </row>
    <row r="260" spans="1:30" x14ac:dyDescent="0.25">
      <c r="A260" s="5" t="s">
        <v>208</v>
      </c>
      <c r="B260" s="5" t="s">
        <v>147</v>
      </c>
      <c r="C260" s="5" t="s">
        <v>254</v>
      </c>
      <c r="D260" s="6">
        <f t="shared" ca="1" si="120"/>
        <v>72</v>
      </c>
      <c r="E260" s="6">
        <f t="shared" ca="1" si="121"/>
        <v>714.72222222222217</v>
      </c>
      <c r="F260" s="6">
        <f t="shared" ca="1" si="132"/>
        <v>51460</v>
      </c>
      <c r="G260" s="6">
        <f t="shared" ca="1" si="132"/>
        <v>71</v>
      </c>
      <c r="H260" s="6">
        <f t="shared" ca="1" si="122"/>
        <v>569.94366197183103</v>
      </c>
      <c r="I260" s="6">
        <f t="shared" ca="1" si="133"/>
        <v>40466</v>
      </c>
      <c r="J260" s="6">
        <f t="shared" ca="1" si="133"/>
        <v>85</v>
      </c>
      <c r="K260" s="6">
        <f t="shared" ca="1" si="123"/>
        <v>589.63717647058832</v>
      </c>
      <c r="L260" s="6">
        <f t="shared" ca="1" si="134"/>
        <v>50119.16</v>
      </c>
      <c r="M260" s="6">
        <f t="shared" ca="1" si="134"/>
        <v>113.82608695652173</v>
      </c>
      <c r="N260" s="6">
        <f t="shared" ca="1" si="124"/>
        <v>803.00000000000011</v>
      </c>
      <c r="O260" s="6">
        <f t="shared" ca="1" si="135"/>
        <v>91402.34782608696</v>
      </c>
      <c r="P260" s="6">
        <f t="shared" ca="1" si="135"/>
        <v>-28.826086956521735</v>
      </c>
      <c r="Q260" s="6">
        <f t="shared" ca="1" si="135"/>
        <v>-213.3628235294118</v>
      </c>
      <c r="R260" s="6">
        <f t="shared" ca="1" si="135"/>
        <v>-41283.187826086956</v>
      </c>
      <c r="S260" s="6">
        <f t="shared" ca="1" si="135"/>
        <v>-18135.840000000004</v>
      </c>
      <c r="T260" s="6">
        <f t="shared" ca="1" si="135"/>
        <v>-23147.347826086956</v>
      </c>
      <c r="U260" s="7">
        <f t="shared" ca="1" si="135"/>
        <v>0.74675324675324684</v>
      </c>
      <c r="V260" s="7">
        <f t="shared" ca="1" si="135"/>
        <v>0.54833558647052161</v>
      </c>
      <c r="W260" s="7">
        <f t="shared" ca="1" si="135"/>
        <v>0.18055555555555555</v>
      </c>
      <c r="X260" s="7">
        <f t="shared" ca="1" si="135"/>
        <v>-2.6055965798678516E-2</v>
      </c>
      <c r="Y260" s="7">
        <f t="shared" ca="1" si="135"/>
        <v>0.19718309859154928</v>
      </c>
      <c r="Z260" s="7">
        <f t="shared" ca="1" si="135"/>
        <v>0.23854989373795293</v>
      </c>
      <c r="AA260" s="28" t="str">
        <f t="shared" si="125"/>
        <v>AFW</v>
      </c>
      <c r="AB260" s="28"/>
      <c r="AC260" s="12"/>
      <c r="AD260" s="12"/>
    </row>
    <row r="261" spans="1:30" x14ac:dyDescent="0.25">
      <c r="A261" s="5" t="s">
        <v>207</v>
      </c>
      <c r="B261" s="5" t="s">
        <v>217</v>
      </c>
      <c r="C261" s="5" t="s">
        <v>255</v>
      </c>
      <c r="D261" s="6">
        <f t="shared" ca="1" si="120"/>
        <v>41</v>
      </c>
      <c r="E261" s="6">
        <f t="shared" ca="1" si="121"/>
        <v>521.1219512195122</v>
      </c>
      <c r="F261" s="6">
        <f t="shared" ca="1" si="132"/>
        <v>21366</v>
      </c>
      <c r="G261" s="6">
        <f t="shared" ca="1" si="132"/>
        <v>54</v>
      </c>
      <c r="H261" s="6">
        <f t="shared" ca="1" si="122"/>
        <v>464.59259259259261</v>
      </c>
      <c r="I261" s="6">
        <f t="shared" ca="1" si="133"/>
        <v>25088</v>
      </c>
      <c r="J261" s="6">
        <f t="shared" ca="1" si="133"/>
        <v>15</v>
      </c>
      <c r="K261" s="6">
        <f t="shared" ca="1" si="123"/>
        <v>396.34266666666662</v>
      </c>
      <c r="L261" s="6">
        <f t="shared" ca="1" si="134"/>
        <v>5945.1399999999994</v>
      </c>
      <c r="M261" s="6">
        <f t="shared" ca="1" si="134"/>
        <v>52.984750000000005</v>
      </c>
      <c r="N261" s="6">
        <f t="shared" ca="1" si="124"/>
        <v>678.93209999999999</v>
      </c>
      <c r="O261" s="6">
        <f t="shared" ca="1" si="135"/>
        <v>35973.047585475004</v>
      </c>
      <c r="P261" s="6">
        <f t="shared" ca="1" si="135"/>
        <v>-37.984750000000005</v>
      </c>
      <c r="Q261" s="6">
        <f t="shared" ca="1" si="135"/>
        <v>-282.58943333333337</v>
      </c>
      <c r="R261" s="6">
        <f t="shared" ca="1" si="135"/>
        <v>-30027.907585475004</v>
      </c>
      <c r="S261" s="6">
        <f t="shared" ca="1" si="135"/>
        <v>-4238.8415000000005</v>
      </c>
      <c r="T261" s="6">
        <f t="shared" ca="1" si="135"/>
        <v>-25789.066085475002</v>
      </c>
      <c r="U261" s="7">
        <f t="shared" ca="1" si="135"/>
        <v>0.2831003260372088</v>
      </c>
      <c r="V261" s="7">
        <f t="shared" ca="1" si="135"/>
        <v>0.16526650920731262</v>
      </c>
      <c r="W261" s="7">
        <f t="shared" ca="1" si="135"/>
        <v>-0.63414634146341464</v>
      </c>
      <c r="X261" s="7">
        <f t="shared" ca="1" si="135"/>
        <v>-0.72174763643171391</v>
      </c>
      <c r="Y261" s="7">
        <f t="shared" ca="1" si="135"/>
        <v>-0.72222222222222221</v>
      </c>
      <c r="Z261" s="7">
        <f t="shared" ca="1" si="135"/>
        <v>-0.7630285395408164</v>
      </c>
      <c r="AA261" s="28" t="str">
        <f t="shared" si="125"/>
        <v>AFW</v>
      </c>
      <c r="AB261" s="28"/>
      <c r="AC261" s="12"/>
      <c r="AD261" s="12"/>
    </row>
    <row r="262" spans="1:30" x14ac:dyDescent="0.25">
      <c r="A262" s="5" t="s">
        <v>207</v>
      </c>
      <c r="B262" s="5" t="s">
        <v>209</v>
      </c>
      <c r="C262" s="5" t="s">
        <v>256</v>
      </c>
      <c r="D262" s="6">
        <f t="shared" ca="1" si="120"/>
        <v>62</v>
      </c>
      <c r="E262" s="6">
        <f t="shared" ca="1" si="121"/>
        <v>405.38709677419354</v>
      </c>
      <c r="F262" s="6">
        <f t="shared" ca="1" si="132"/>
        <v>25134</v>
      </c>
      <c r="G262" s="6">
        <f t="shared" ca="1" si="132"/>
        <v>16</v>
      </c>
      <c r="H262" s="6">
        <f t="shared" ca="1" si="122"/>
        <v>399.6875</v>
      </c>
      <c r="I262" s="6">
        <f t="shared" ca="1" si="133"/>
        <v>6395</v>
      </c>
      <c r="J262" s="6">
        <f t="shared" ca="1" si="133"/>
        <v>153</v>
      </c>
      <c r="K262" s="6">
        <f t="shared" ca="1" si="123"/>
        <v>333.82973856209151</v>
      </c>
      <c r="L262" s="6">
        <f t="shared" ca="1" si="134"/>
        <v>51075.95</v>
      </c>
      <c r="M262" s="6">
        <f t="shared" ca="1" si="134"/>
        <v>89.353478260869551</v>
      </c>
      <c r="N262" s="6">
        <f t="shared" ca="1" si="124"/>
        <v>382.08300000000003</v>
      </c>
      <c r="O262" s="6">
        <f t="shared" ca="1" si="135"/>
        <v>34140.445034347824</v>
      </c>
      <c r="P262" s="6">
        <f t="shared" ca="1" si="135"/>
        <v>63.646521739130449</v>
      </c>
      <c r="Q262" s="6">
        <f t="shared" ca="1" si="135"/>
        <v>-48.25326143790852</v>
      </c>
      <c r="R262" s="6">
        <f t="shared" ca="1" si="135"/>
        <v>16935.504965652173</v>
      </c>
      <c r="S262" s="6">
        <f t="shared" ca="1" si="135"/>
        <v>-7382.7490000000034</v>
      </c>
      <c r="T262" s="6">
        <f t="shared" ca="1" si="135"/>
        <v>24318.25396565218</v>
      </c>
      <c r="U262" s="7">
        <f t="shared" ca="1" si="135"/>
        <v>1.7123004384150884</v>
      </c>
      <c r="V262" s="7">
        <f t="shared" ca="1" si="135"/>
        <v>1.4960540188803573</v>
      </c>
      <c r="W262" s="7">
        <f t="shared" ca="1" si="135"/>
        <v>1.467741935483871</v>
      </c>
      <c r="X262" s="7">
        <f t="shared" ca="1" si="135"/>
        <v>1.0321456990530753</v>
      </c>
      <c r="Y262" s="7">
        <f t="shared" ca="1" si="135"/>
        <v>8.5625</v>
      </c>
      <c r="Z262" s="7">
        <f t="shared" ca="1" si="135"/>
        <v>6.9868569194683339</v>
      </c>
      <c r="AA262" s="28" t="str">
        <f t="shared" si="125"/>
        <v>AFW</v>
      </c>
      <c r="AB262" s="28"/>
      <c r="AC262" s="12"/>
      <c r="AD262" s="12"/>
    </row>
    <row r="263" spans="1:30" x14ac:dyDescent="0.25">
      <c r="A263" s="5" t="s">
        <v>208</v>
      </c>
      <c r="B263" s="5" t="s">
        <v>40</v>
      </c>
      <c r="C263" s="5" t="s">
        <v>257</v>
      </c>
      <c r="D263" s="6">
        <f t="shared" ca="1" si="120"/>
        <v>112</v>
      </c>
      <c r="E263" s="6">
        <f t="shared" ca="1" si="121"/>
        <v>200.11607142857142</v>
      </c>
      <c r="F263" s="6">
        <f t="shared" ca="1" si="132"/>
        <v>22413</v>
      </c>
      <c r="G263" s="6">
        <f t="shared" ca="1" si="132"/>
        <v>105</v>
      </c>
      <c r="H263" s="6">
        <f t="shared" ca="1" si="122"/>
        <v>179.25714285714287</v>
      </c>
      <c r="I263" s="6">
        <f t="shared" ca="1" si="133"/>
        <v>18822</v>
      </c>
      <c r="J263" s="6">
        <f t="shared" ca="1" si="133"/>
        <v>235</v>
      </c>
      <c r="K263" s="6">
        <f t="shared" ca="1" si="123"/>
        <v>214.69063829787234</v>
      </c>
      <c r="L263" s="6">
        <f t="shared" ca="1" si="134"/>
        <v>50452.3</v>
      </c>
      <c r="M263" s="6">
        <f t="shared" ca="1" si="134"/>
        <v>160.49478260869563</v>
      </c>
      <c r="N263" s="6">
        <f t="shared" ca="1" si="124"/>
        <v>203.77759999999998</v>
      </c>
      <c r="O263" s="6">
        <f t="shared" ca="1" si="135"/>
        <v>32705.241612521731</v>
      </c>
      <c r="P263" s="6">
        <f t="shared" ca="1" si="135"/>
        <v>74.50521739130437</v>
      </c>
      <c r="Q263" s="6">
        <f t="shared" ca="1" si="135"/>
        <v>10.913038297872362</v>
      </c>
      <c r="R263" s="6">
        <f t="shared" ca="1" si="135"/>
        <v>17747.058387478271</v>
      </c>
      <c r="S263" s="6">
        <f t="shared" ca="1" si="135"/>
        <v>2564.5640000000049</v>
      </c>
      <c r="T263" s="6">
        <f t="shared" ca="1" si="135"/>
        <v>15182.494387478264</v>
      </c>
      <c r="U263" s="7">
        <f t="shared" ca="1" si="135"/>
        <v>1.4642220524573468</v>
      </c>
      <c r="V263" s="7">
        <f t="shared" ca="1" si="135"/>
        <v>1.5426365167314198</v>
      </c>
      <c r="W263" s="7">
        <f t="shared" ca="1" si="135"/>
        <v>1.0982142857142858</v>
      </c>
      <c r="X263" s="7">
        <f t="shared" ca="1" si="135"/>
        <v>1.2510284210056666</v>
      </c>
      <c r="Y263" s="7">
        <f t="shared" ca="1" si="135"/>
        <v>1.2380952380952381</v>
      </c>
      <c r="Z263" s="7">
        <f t="shared" ca="1" si="135"/>
        <v>1.6804962278185105</v>
      </c>
      <c r="AA263" s="28" t="str">
        <f t="shared" si="125"/>
        <v>AFW</v>
      </c>
      <c r="AB263" s="28"/>
      <c r="AC263" s="12"/>
      <c r="AD263" s="12"/>
    </row>
    <row r="264" spans="1:30" x14ac:dyDescent="0.25">
      <c r="A264" s="5" t="s">
        <v>208</v>
      </c>
      <c r="B264" s="5" t="s">
        <v>52</v>
      </c>
      <c r="C264" s="5" t="s">
        <v>258</v>
      </c>
      <c r="D264" s="6">
        <f t="shared" ca="1" si="120"/>
        <v>92</v>
      </c>
      <c r="E264" s="6">
        <f t="shared" ca="1" si="121"/>
        <v>497.41304347826087</v>
      </c>
      <c r="F264" s="6">
        <f t="shared" ca="1" si="132"/>
        <v>45762</v>
      </c>
      <c r="G264" s="6">
        <f t="shared" ca="1" si="132"/>
        <v>118</v>
      </c>
      <c r="H264" s="6">
        <f t="shared" ca="1" si="122"/>
        <v>519.76271186440681</v>
      </c>
      <c r="I264" s="6">
        <f t="shared" ca="1" si="133"/>
        <v>61332</v>
      </c>
      <c r="J264" s="6">
        <f t="shared" ca="1" si="133"/>
        <v>122</v>
      </c>
      <c r="K264" s="6">
        <f t="shared" ca="1" si="123"/>
        <v>505.36762295081968</v>
      </c>
      <c r="L264" s="6">
        <f t="shared" ca="1" si="134"/>
        <v>61654.85</v>
      </c>
      <c r="M264" s="6">
        <f t="shared" ca="1" si="134"/>
        <v>167.89347826086959</v>
      </c>
      <c r="N264" s="6">
        <f t="shared" ca="1" si="124"/>
        <v>541.84199999999998</v>
      </c>
      <c r="O264" s="6">
        <f t="shared" ca="1" si="135"/>
        <v>90971.738047826089</v>
      </c>
      <c r="P264" s="6">
        <f t="shared" ca="1" si="135"/>
        <v>-45.893478260869585</v>
      </c>
      <c r="Q264" s="6">
        <f t="shared" ca="1" si="135"/>
        <v>-36.474377049180305</v>
      </c>
      <c r="R264" s="6">
        <f t="shared" ca="1" si="135"/>
        <v>-29316.888047826091</v>
      </c>
      <c r="S264" s="6">
        <f t="shared" ca="1" si="135"/>
        <v>-4449.8739999999971</v>
      </c>
      <c r="T264" s="6">
        <f t="shared" ca="1" si="135"/>
        <v>-24867.014047826098</v>
      </c>
      <c r="U264" s="7">
        <f t="shared" ca="1" si="135"/>
        <v>0.72665121518561193</v>
      </c>
      <c r="V264" s="7">
        <f t="shared" ca="1" si="135"/>
        <v>0.67773630935342277</v>
      </c>
      <c r="W264" s="7">
        <f t="shared" ca="1" si="135"/>
        <v>0.32608695652173914</v>
      </c>
      <c r="X264" s="7">
        <f t="shared" ca="1" si="135"/>
        <v>0.34729360604868664</v>
      </c>
      <c r="Y264" s="7">
        <f t="shared" ca="1" si="135"/>
        <v>3.3898305084745763E-2</v>
      </c>
      <c r="Z264" s="7">
        <f t="shared" ca="1" si="135"/>
        <v>5.263973129850625E-3</v>
      </c>
      <c r="AA264" s="28" t="str">
        <f t="shared" si="125"/>
        <v>AFW</v>
      </c>
      <c r="AB264" s="28"/>
      <c r="AC264" s="12"/>
      <c r="AD264" s="12"/>
    </row>
    <row r="265" spans="1:30" x14ac:dyDescent="0.25">
      <c r="A265" s="5" t="s">
        <v>208</v>
      </c>
      <c r="B265" s="5" t="s">
        <v>42</v>
      </c>
      <c r="C265" s="5" t="s">
        <v>259</v>
      </c>
      <c r="D265" s="6">
        <f t="shared" ca="1" si="120"/>
        <v>55</v>
      </c>
      <c r="E265" s="6">
        <f t="shared" ca="1" si="121"/>
        <v>361.94545454545454</v>
      </c>
      <c r="F265" s="6">
        <f t="shared" ca="1" si="132"/>
        <v>19907</v>
      </c>
      <c r="G265" s="6">
        <f t="shared" ca="1" si="132"/>
        <v>70</v>
      </c>
      <c r="H265" s="6">
        <f t="shared" ca="1" si="122"/>
        <v>304.14285714285717</v>
      </c>
      <c r="I265" s="6">
        <f t="shared" ca="1" si="133"/>
        <v>21290</v>
      </c>
      <c r="J265" s="6">
        <f t="shared" ca="1" si="133"/>
        <v>41</v>
      </c>
      <c r="K265" s="6">
        <f t="shared" ca="1" si="123"/>
        <v>279.21219512195125</v>
      </c>
      <c r="L265" s="6">
        <f t="shared" ca="1" si="134"/>
        <v>11447.7</v>
      </c>
      <c r="M265" s="6">
        <f t="shared" ca="1" si="134"/>
        <v>93.571739130434779</v>
      </c>
      <c r="N265" s="6">
        <f t="shared" ca="1" si="124"/>
        <v>367.38749999999999</v>
      </c>
      <c r="O265" s="6">
        <f t="shared" ca="1" si="135"/>
        <v>34377.087309782604</v>
      </c>
      <c r="P265" s="6">
        <f t="shared" ca="1" si="135"/>
        <v>-52.571739130434779</v>
      </c>
      <c r="Q265" s="6">
        <f t="shared" ca="1" si="135"/>
        <v>-88.175304878048735</v>
      </c>
      <c r="R265" s="6">
        <f t="shared" ca="1" si="135"/>
        <v>-22929.387309782604</v>
      </c>
      <c r="S265" s="6">
        <f t="shared" ca="1" si="135"/>
        <v>-3615.1874999999982</v>
      </c>
      <c r="T265" s="6">
        <f t="shared" ca="1" si="135"/>
        <v>-19314.199809782607</v>
      </c>
      <c r="U265" s="7">
        <f t="shared" ca="1" si="135"/>
        <v>0.43816648467811259</v>
      </c>
      <c r="V265" s="7">
        <f t="shared" ca="1" si="135"/>
        <v>0.33300377943137599</v>
      </c>
      <c r="W265" s="7">
        <f t="shared" ca="1" si="135"/>
        <v>-0.25454545454545452</v>
      </c>
      <c r="X265" s="7">
        <f t="shared" ca="1" si="135"/>
        <v>-0.42494097553624349</v>
      </c>
      <c r="Y265" s="7">
        <f t="shared" ca="1" si="135"/>
        <v>-0.41428571428571431</v>
      </c>
      <c r="Z265" s="7">
        <f t="shared" ca="1" si="135"/>
        <v>-0.46229685298262091</v>
      </c>
      <c r="AA265" s="28" t="str">
        <f t="shared" si="125"/>
        <v>AFW</v>
      </c>
      <c r="AB265" s="28"/>
      <c r="AC265" s="12"/>
      <c r="AD265" s="12"/>
    </row>
    <row r="266" spans="1:30" x14ac:dyDescent="0.25">
      <c r="A266" s="5" t="s">
        <v>208</v>
      </c>
      <c r="B266" s="5" t="s">
        <v>46</v>
      </c>
      <c r="C266" s="5" t="s">
        <v>261</v>
      </c>
      <c r="D266" s="6">
        <f t="shared" ca="1" si="120"/>
        <v>117</v>
      </c>
      <c r="E266" s="6">
        <f t="shared" ca="1" si="121"/>
        <v>443.32478632478632</v>
      </c>
      <c r="F266" s="6">
        <f t="shared" ca="1" si="132"/>
        <v>51869</v>
      </c>
      <c r="G266" s="6">
        <f t="shared" ca="1" si="132"/>
        <v>128</v>
      </c>
      <c r="H266" s="6">
        <f t="shared" ca="1" si="122"/>
        <v>388.8125</v>
      </c>
      <c r="I266" s="6">
        <f t="shared" ca="1" si="133"/>
        <v>49768</v>
      </c>
      <c r="J266" s="6">
        <f t="shared" ca="1" si="133"/>
        <v>130</v>
      </c>
      <c r="K266" s="6">
        <f t="shared" ca="1" si="123"/>
        <v>412.45023076923076</v>
      </c>
      <c r="L266" s="6">
        <f t="shared" ca="1" si="134"/>
        <v>53618.53</v>
      </c>
      <c r="M266" s="6">
        <f t="shared" ca="1" si="134"/>
        <v>137.7295652173913</v>
      </c>
      <c r="N266" s="6">
        <f t="shared" ca="1" si="124"/>
        <v>486.14487117160922</v>
      </c>
      <c r="O266" s="6">
        <f t="shared" ref="O266:Z275" ca="1" si="136">IFERROR(VLOOKUP($C266,INDIRECT("'"&amp;$AA266&amp;"-"&amp;$C$1&amp;"'!$C:$AH"),O$30,0),0)</f>
        <v>66956.521739130447</v>
      </c>
      <c r="P266" s="6">
        <f t="shared" ca="1" si="136"/>
        <v>-7.729565217391297</v>
      </c>
      <c r="Q266" s="6">
        <f t="shared" ca="1" si="136"/>
        <v>-73.694640402378468</v>
      </c>
      <c r="R266" s="6">
        <f t="shared" ca="1" si="136"/>
        <v>-13337.991739130448</v>
      </c>
      <c r="S266" s="6">
        <f t="shared" ca="1" si="136"/>
        <v>-9580.3032523092006</v>
      </c>
      <c r="T266" s="6">
        <f t="shared" ca="1" si="136"/>
        <v>-3757.6884868212437</v>
      </c>
      <c r="U266" s="7">
        <f t="shared" ca="1" si="136"/>
        <v>0.94387867844357887</v>
      </c>
      <c r="V266" s="7">
        <f t="shared" ca="1" si="136"/>
        <v>0.80079622727272715</v>
      </c>
      <c r="W266" s="7">
        <f t="shared" ca="1" si="136"/>
        <v>0.1111111111111111</v>
      </c>
      <c r="X266" s="7">
        <f t="shared" ca="1" si="136"/>
        <v>3.372978079392313E-2</v>
      </c>
      <c r="Y266" s="7">
        <f t="shared" ca="1" si="136"/>
        <v>1.5625E-2</v>
      </c>
      <c r="Z266" s="7">
        <f t="shared" ca="1" si="136"/>
        <v>7.7369594920430773E-2</v>
      </c>
      <c r="AA266" s="28" t="str">
        <f t="shared" si="125"/>
        <v>AFW</v>
      </c>
      <c r="AB266" s="28"/>
      <c r="AC266" s="12"/>
      <c r="AD266" s="12"/>
    </row>
    <row r="267" spans="1:30" x14ac:dyDescent="0.25">
      <c r="A267" s="5" t="s">
        <v>207</v>
      </c>
      <c r="B267" s="5" t="s">
        <v>218</v>
      </c>
      <c r="C267" s="5" t="s">
        <v>265</v>
      </c>
      <c r="D267" s="6">
        <f t="shared" ca="1" si="120"/>
        <v>0</v>
      </c>
      <c r="E267" s="6" t="str">
        <f t="shared" ca="1" si="121"/>
        <v>-</v>
      </c>
      <c r="F267" s="6">
        <f t="shared" ca="1" si="132"/>
        <v>0</v>
      </c>
      <c r="G267" s="6">
        <f t="shared" ca="1" si="132"/>
        <v>0</v>
      </c>
      <c r="H267" s="6" t="str">
        <f t="shared" ca="1" si="122"/>
        <v>-</v>
      </c>
      <c r="I267" s="6">
        <f t="shared" ca="1" si="133"/>
        <v>0</v>
      </c>
      <c r="J267" s="6">
        <f t="shared" ca="1" si="133"/>
        <v>0</v>
      </c>
      <c r="K267" s="6" t="str">
        <f t="shared" ca="1" si="123"/>
        <v>-</v>
      </c>
      <c r="L267" s="6">
        <f t="shared" ca="1" si="134"/>
        <v>0</v>
      </c>
      <c r="M267" s="6">
        <f t="shared" ca="1" si="134"/>
        <v>30.290909090909093</v>
      </c>
      <c r="N267" s="6">
        <f t="shared" ca="1" si="124"/>
        <v>734.77499999999998</v>
      </c>
      <c r="O267" s="6">
        <f t="shared" ca="1" si="136"/>
        <v>22257.002727272727</v>
      </c>
      <c r="P267" s="6">
        <f t="shared" ca="1" si="136"/>
        <v>-30.290909090909093</v>
      </c>
      <c r="Q267" s="6" t="str">
        <f t="shared" ca="1" si="136"/>
        <v>-</v>
      </c>
      <c r="R267" s="6">
        <f t="shared" ca="1" si="136"/>
        <v>-22257.002727272727</v>
      </c>
      <c r="S267" s="6" t="str">
        <f t="shared" ca="1" si="136"/>
        <v>-</v>
      </c>
      <c r="T267" s="6">
        <f t="shared" ca="1" si="136"/>
        <v>-22257.002727272727</v>
      </c>
      <c r="U267" s="7">
        <f t="shared" ca="1" si="136"/>
        <v>0</v>
      </c>
      <c r="V267" s="7">
        <f t="shared" ca="1" si="136"/>
        <v>0</v>
      </c>
      <c r="W267" s="7" t="str">
        <f t="shared" ca="1" si="136"/>
        <v>-</v>
      </c>
      <c r="X267" s="7" t="str">
        <f t="shared" ca="1" si="136"/>
        <v>-</v>
      </c>
      <c r="Y267" s="7" t="str">
        <f t="shared" ca="1" si="136"/>
        <v>-</v>
      </c>
      <c r="Z267" s="7" t="str">
        <f t="shared" ca="1" si="136"/>
        <v>-</v>
      </c>
      <c r="AA267" s="28" t="str">
        <f t="shared" si="125"/>
        <v>AFW</v>
      </c>
      <c r="AB267" s="28"/>
      <c r="AC267" s="12"/>
      <c r="AD267" s="12"/>
    </row>
    <row r="268" spans="1:30" x14ac:dyDescent="0.25">
      <c r="A268" s="5" t="s">
        <v>208</v>
      </c>
      <c r="B268" s="5" t="s">
        <v>41</v>
      </c>
      <c r="C268" s="5" t="s">
        <v>99</v>
      </c>
      <c r="D268" s="6">
        <f t="shared" ca="1" si="120"/>
        <v>52</v>
      </c>
      <c r="E268" s="6">
        <f t="shared" ca="1" si="121"/>
        <v>681.51923076923072</v>
      </c>
      <c r="F268" s="6">
        <f t="shared" ca="1" si="132"/>
        <v>35439</v>
      </c>
      <c r="G268" s="6">
        <f t="shared" ca="1" si="132"/>
        <v>56</v>
      </c>
      <c r="H268" s="6">
        <f t="shared" ca="1" si="122"/>
        <v>283.16071428571428</v>
      </c>
      <c r="I268" s="6">
        <f t="shared" ca="1" si="133"/>
        <v>15857</v>
      </c>
      <c r="J268" s="6">
        <f t="shared" ca="1" si="133"/>
        <v>101</v>
      </c>
      <c r="K268" s="6">
        <f t="shared" ca="1" si="123"/>
        <v>506.73168316831686</v>
      </c>
      <c r="L268" s="6">
        <f t="shared" ca="1" si="134"/>
        <v>51179.9</v>
      </c>
      <c r="M268" s="6">
        <f t="shared" ca="1" si="134"/>
        <v>93.337391304347818</v>
      </c>
      <c r="N268" s="6">
        <f t="shared" ca="1" si="124"/>
        <v>823.00292869440443</v>
      </c>
      <c r="O268" s="6">
        <f t="shared" ca="1" si="136"/>
        <v>76816.946400173896</v>
      </c>
      <c r="P268" s="6">
        <f t="shared" ca="1" si="136"/>
        <v>7.6626086956521817</v>
      </c>
      <c r="Q268" s="6">
        <f t="shared" ca="1" si="136"/>
        <v>-316.27124552608757</v>
      </c>
      <c r="R268" s="6">
        <f t="shared" ca="1" si="136"/>
        <v>-25637.046400173895</v>
      </c>
      <c r="S268" s="6">
        <f t="shared" ca="1" si="136"/>
        <v>-31943.395798134843</v>
      </c>
      <c r="T268" s="6">
        <f t="shared" ca="1" si="136"/>
        <v>6306.3493979609557</v>
      </c>
      <c r="U268" s="7">
        <f t="shared" ca="1" si="136"/>
        <v>1.0820958094989659</v>
      </c>
      <c r="V268" s="7">
        <f t="shared" ca="1" si="136"/>
        <v>0.66625793393792265</v>
      </c>
      <c r="W268" s="7">
        <f t="shared" ca="1" si="136"/>
        <v>0.94230769230769229</v>
      </c>
      <c r="X268" s="7">
        <f t="shared" ca="1" si="136"/>
        <v>0.44416885352295499</v>
      </c>
      <c r="Y268" s="7">
        <f t="shared" ca="1" si="136"/>
        <v>0.8035714285714286</v>
      </c>
      <c r="Z268" s="7">
        <f t="shared" ca="1" si="136"/>
        <v>2.2275903386516998</v>
      </c>
      <c r="AA268" s="28" t="str">
        <f t="shared" si="125"/>
        <v>AFW</v>
      </c>
      <c r="AB268" s="28"/>
      <c r="AC268" s="12"/>
      <c r="AD268" s="12"/>
    </row>
    <row r="269" spans="1:30" x14ac:dyDescent="0.25">
      <c r="A269" s="5" t="s">
        <v>207</v>
      </c>
      <c r="B269" s="5" t="s">
        <v>209</v>
      </c>
      <c r="C269" s="5" t="s">
        <v>266</v>
      </c>
      <c r="D269" s="6">
        <f t="shared" ca="1" si="120"/>
        <v>45</v>
      </c>
      <c r="E269" s="6">
        <f t="shared" ca="1" si="121"/>
        <v>305.2</v>
      </c>
      <c r="F269" s="6">
        <f t="shared" ca="1" si="132"/>
        <v>13734</v>
      </c>
      <c r="G269" s="6">
        <f t="shared" ca="1" si="132"/>
        <v>48</v>
      </c>
      <c r="H269" s="6">
        <f t="shared" ca="1" si="122"/>
        <v>330.35416666666669</v>
      </c>
      <c r="I269" s="6">
        <f t="shared" ca="1" si="133"/>
        <v>15857</v>
      </c>
      <c r="J269" s="6">
        <f t="shared" ca="1" si="133"/>
        <v>64</v>
      </c>
      <c r="K269" s="6">
        <f t="shared" ca="1" si="123"/>
        <v>418.82593750000001</v>
      </c>
      <c r="L269" s="6">
        <f t="shared" ca="1" si="134"/>
        <v>26804.86</v>
      </c>
      <c r="M269" s="6">
        <f t="shared" ca="1" si="134"/>
        <v>63.173478260869572</v>
      </c>
      <c r="N269" s="6">
        <f t="shared" ca="1" si="124"/>
        <v>364.44839999999999</v>
      </c>
      <c r="O269" s="6">
        <f t="shared" ca="1" si="136"/>
        <v>23023.473074608697</v>
      </c>
      <c r="P269" s="6">
        <f t="shared" ca="1" si="136"/>
        <v>0.82652173913042759</v>
      </c>
      <c r="Q269" s="6">
        <f t="shared" ca="1" si="136"/>
        <v>54.377537500000017</v>
      </c>
      <c r="R269" s="6">
        <f t="shared" ca="1" si="136"/>
        <v>3781.3869253913035</v>
      </c>
      <c r="S269" s="6">
        <f t="shared" ca="1" si="136"/>
        <v>3480.1624000000011</v>
      </c>
      <c r="T269" s="6">
        <f t="shared" ca="1" si="136"/>
        <v>301.22452539130171</v>
      </c>
      <c r="U269" s="7">
        <f t="shared" ca="1" si="136"/>
        <v>1.0130833660245424</v>
      </c>
      <c r="V269" s="7">
        <f t="shared" ca="1" si="136"/>
        <v>1.1642405085078837</v>
      </c>
      <c r="W269" s="7">
        <f t="shared" ca="1" si="136"/>
        <v>0.42222222222222222</v>
      </c>
      <c r="X269" s="7">
        <f t="shared" ca="1" si="136"/>
        <v>0.95171545070627639</v>
      </c>
      <c r="Y269" s="7">
        <f t="shared" ca="1" si="136"/>
        <v>0.33333333333333331</v>
      </c>
      <c r="Z269" s="7">
        <f t="shared" ca="1" si="136"/>
        <v>0.6904118055117614</v>
      </c>
      <c r="AA269" s="28" t="str">
        <f t="shared" si="125"/>
        <v>AFW</v>
      </c>
      <c r="AB269" s="28"/>
      <c r="AC269" s="12"/>
      <c r="AD269" s="12"/>
    </row>
    <row r="270" spans="1:30" x14ac:dyDescent="0.25">
      <c r="A270" s="5" t="s">
        <v>207</v>
      </c>
      <c r="B270" s="5" t="s">
        <v>219</v>
      </c>
      <c r="C270" s="5" t="s">
        <v>267</v>
      </c>
      <c r="D270" s="6">
        <f t="shared" ca="1" si="120"/>
        <v>58</v>
      </c>
      <c r="E270" s="6">
        <f t="shared" ca="1" si="121"/>
        <v>429.91379310344826</v>
      </c>
      <c r="F270" s="6">
        <f t="shared" ca="1" si="132"/>
        <v>24935</v>
      </c>
      <c r="G270" s="6">
        <f t="shared" ca="1" si="132"/>
        <v>51</v>
      </c>
      <c r="H270" s="6">
        <f t="shared" ca="1" si="122"/>
        <v>360.98039215686276</v>
      </c>
      <c r="I270" s="6">
        <f t="shared" ca="1" si="133"/>
        <v>18410</v>
      </c>
      <c r="J270" s="6">
        <f t="shared" ca="1" si="133"/>
        <v>72</v>
      </c>
      <c r="K270" s="6">
        <f t="shared" ca="1" si="123"/>
        <v>422.1629166666666</v>
      </c>
      <c r="L270" s="6">
        <f t="shared" ca="1" si="134"/>
        <v>30395.729999999996</v>
      </c>
      <c r="M270" s="6">
        <f t="shared" ca="1" si="134"/>
        <v>101.87434782608696</v>
      </c>
      <c r="N270" s="6">
        <f t="shared" ca="1" si="124"/>
        <v>409.51459999999997</v>
      </c>
      <c r="O270" s="6">
        <f t="shared" ca="1" si="136"/>
        <v>41719.032800260866</v>
      </c>
      <c r="P270" s="6">
        <f t="shared" ca="1" si="136"/>
        <v>-29.874347826086961</v>
      </c>
      <c r="Q270" s="6">
        <f t="shared" ca="1" si="136"/>
        <v>12.648316666666631</v>
      </c>
      <c r="R270" s="6">
        <f t="shared" ca="1" si="136"/>
        <v>-11323.30280026087</v>
      </c>
      <c r="S270" s="6">
        <f t="shared" ca="1" si="136"/>
        <v>910.67879999999741</v>
      </c>
      <c r="T270" s="6">
        <f t="shared" ca="1" si="136"/>
        <v>-12233.981600260871</v>
      </c>
      <c r="U270" s="7">
        <f t="shared" ca="1" si="136"/>
        <v>0.70675299068332254</v>
      </c>
      <c r="V270" s="7">
        <f t="shared" ca="1" si="136"/>
        <v>0.7285818476551531</v>
      </c>
      <c r="W270" s="7">
        <f t="shared" ca="1" si="136"/>
        <v>0.2413793103448276</v>
      </c>
      <c r="X270" s="7">
        <f t="shared" ca="1" si="136"/>
        <v>0.21899859635051117</v>
      </c>
      <c r="Y270" s="7">
        <f t="shared" ca="1" si="136"/>
        <v>0.41176470588235292</v>
      </c>
      <c r="Z270" s="7">
        <f t="shared" ca="1" si="136"/>
        <v>0.65104454101032028</v>
      </c>
      <c r="AA270" s="28" t="str">
        <f t="shared" si="125"/>
        <v>AFW</v>
      </c>
      <c r="AB270" s="28"/>
      <c r="AC270" s="12"/>
      <c r="AD270" s="12"/>
    </row>
    <row r="271" spans="1:30" x14ac:dyDescent="0.25">
      <c r="A271" s="5" t="s">
        <v>207</v>
      </c>
      <c r="B271" s="5" t="s">
        <v>217</v>
      </c>
      <c r="C271" s="5" t="s">
        <v>268</v>
      </c>
      <c r="D271" s="6">
        <f t="shared" ca="1" si="120"/>
        <v>0</v>
      </c>
      <c r="E271" s="6" t="str">
        <f t="shared" ca="1" si="121"/>
        <v>-</v>
      </c>
      <c r="F271" s="6">
        <f t="shared" ca="1" si="132"/>
        <v>0</v>
      </c>
      <c r="G271" s="6">
        <f t="shared" ca="1" si="132"/>
        <v>76</v>
      </c>
      <c r="H271" s="6">
        <f t="shared" ca="1" si="122"/>
        <v>480.10526315789474</v>
      </c>
      <c r="I271" s="6">
        <f t="shared" ca="1" si="133"/>
        <v>36488</v>
      </c>
      <c r="J271" s="6">
        <f t="shared" ca="1" si="133"/>
        <v>46</v>
      </c>
      <c r="K271" s="6">
        <f t="shared" ca="1" si="123"/>
        <v>563.72413043478275</v>
      </c>
      <c r="L271" s="6">
        <f t="shared" ca="1" si="134"/>
        <v>25931.310000000005</v>
      </c>
      <c r="M271" s="6">
        <f t="shared" ca="1" si="134"/>
        <v>74.556086956521739</v>
      </c>
      <c r="N271" s="6">
        <f t="shared" ca="1" si="124"/>
        <v>592.71850000000006</v>
      </c>
      <c r="O271" s="6">
        <f t="shared" ca="1" si="136"/>
        <v>44190.772026739134</v>
      </c>
      <c r="P271" s="6">
        <f t="shared" ca="1" si="136"/>
        <v>-28.556086956521739</v>
      </c>
      <c r="Q271" s="6">
        <f t="shared" ca="1" si="136"/>
        <v>-28.994369565217312</v>
      </c>
      <c r="R271" s="6">
        <f t="shared" ca="1" si="136"/>
        <v>-18259.462026739129</v>
      </c>
      <c r="S271" s="6">
        <f t="shared" ca="1" si="136"/>
        <v>-1333.7409999999963</v>
      </c>
      <c r="T271" s="6">
        <f t="shared" ca="1" si="136"/>
        <v>-16925.721026739131</v>
      </c>
      <c r="U271" s="7">
        <f t="shared" ca="1" si="136"/>
        <v>0.61698517019576737</v>
      </c>
      <c r="V271" s="7">
        <f t="shared" ca="1" si="136"/>
        <v>0.58680373323890744</v>
      </c>
      <c r="W271" s="7" t="str">
        <f t="shared" ca="1" si="136"/>
        <v>-</v>
      </c>
      <c r="X271" s="7" t="str">
        <f t="shared" ca="1" si="136"/>
        <v>-</v>
      </c>
      <c r="Y271" s="7">
        <f t="shared" ca="1" si="136"/>
        <v>-0.39473684210526316</v>
      </c>
      <c r="Z271" s="7">
        <f t="shared" ca="1" si="136"/>
        <v>-0.28931950230212661</v>
      </c>
      <c r="AA271" s="28" t="str">
        <f t="shared" si="125"/>
        <v>AFW</v>
      </c>
      <c r="AB271" s="28"/>
      <c r="AC271" s="12"/>
      <c r="AD271" s="12"/>
    </row>
    <row r="272" spans="1:30" x14ac:dyDescent="0.25">
      <c r="A272" s="5" t="s">
        <v>207</v>
      </c>
      <c r="B272" s="5" t="s">
        <v>50</v>
      </c>
      <c r="C272" s="5" t="s">
        <v>269</v>
      </c>
      <c r="D272" s="6">
        <f t="shared" ca="1" si="120"/>
        <v>0</v>
      </c>
      <c r="E272" s="6" t="str">
        <f t="shared" ca="1" si="121"/>
        <v>-</v>
      </c>
      <c r="F272" s="6">
        <f t="shared" ca="1" si="132"/>
        <v>0</v>
      </c>
      <c r="G272" s="6">
        <f t="shared" ca="1" si="132"/>
        <v>0</v>
      </c>
      <c r="H272" s="6" t="str">
        <f t="shared" ca="1" si="122"/>
        <v>-</v>
      </c>
      <c r="I272" s="6">
        <f t="shared" ca="1" si="133"/>
        <v>0</v>
      </c>
      <c r="J272" s="6">
        <f t="shared" ca="1" si="133"/>
        <v>180</v>
      </c>
      <c r="K272" s="6">
        <f t="shared" ca="1" si="123"/>
        <v>356.64722222222218</v>
      </c>
      <c r="L272" s="6">
        <f t="shared" ca="1" si="134"/>
        <v>64196.499999999993</v>
      </c>
      <c r="M272" s="6">
        <f t="shared" ca="1" si="134"/>
        <v>136.87826086956522</v>
      </c>
      <c r="N272" s="6">
        <f t="shared" ca="1" si="124"/>
        <v>396.77849999999995</v>
      </c>
      <c r="O272" s="6">
        <f t="shared" ca="1" si="136"/>
        <v>54310.35103043478</v>
      </c>
      <c r="P272" s="6">
        <f t="shared" ca="1" si="136"/>
        <v>43.121739130434776</v>
      </c>
      <c r="Q272" s="6">
        <f t="shared" ca="1" si="136"/>
        <v>-40.131277777777768</v>
      </c>
      <c r="R272" s="6">
        <f t="shared" ca="1" si="136"/>
        <v>9886.1489695652126</v>
      </c>
      <c r="S272" s="6">
        <f t="shared" ca="1" si="136"/>
        <v>-7223.6299999999983</v>
      </c>
      <c r="T272" s="6">
        <f t="shared" ca="1" si="136"/>
        <v>17109.778969565214</v>
      </c>
      <c r="U272" s="7">
        <f t="shared" ca="1" si="136"/>
        <v>1.3150371640937677</v>
      </c>
      <c r="V272" s="7">
        <f t="shared" ca="1" si="136"/>
        <v>1.1820306586496772</v>
      </c>
      <c r="W272" s="7" t="str">
        <f t="shared" ca="1" si="136"/>
        <v>-</v>
      </c>
      <c r="X272" s="7" t="str">
        <f t="shared" ca="1" si="136"/>
        <v>-</v>
      </c>
      <c r="Y272" s="7" t="str">
        <f t="shared" ca="1" si="136"/>
        <v>-</v>
      </c>
      <c r="Z272" s="7" t="str">
        <f t="shared" ca="1" si="136"/>
        <v>-</v>
      </c>
      <c r="AA272" s="28" t="str">
        <f t="shared" si="125"/>
        <v>AFW</v>
      </c>
      <c r="AB272" s="28"/>
      <c r="AC272" s="12"/>
      <c r="AD272" s="12"/>
    </row>
    <row r="273" spans="1:30" x14ac:dyDescent="0.25">
      <c r="A273" s="5" t="s">
        <v>208</v>
      </c>
      <c r="B273" s="5" t="s">
        <v>219</v>
      </c>
      <c r="C273" s="5" t="s">
        <v>271</v>
      </c>
      <c r="D273" s="6">
        <f t="shared" ca="1" si="120"/>
        <v>0</v>
      </c>
      <c r="E273" s="6" t="str">
        <f t="shared" ca="1" si="121"/>
        <v>-</v>
      </c>
      <c r="F273" s="6">
        <f t="shared" ca="1" si="132"/>
        <v>0</v>
      </c>
      <c r="G273" s="6">
        <f t="shared" ca="1" si="132"/>
        <v>0</v>
      </c>
      <c r="H273" s="6" t="str">
        <f t="shared" ca="1" si="122"/>
        <v>-</v>
      </c>
      <c r="I273" s="6">
        <f t="shared" ca="1" si="133"/>
        <v>0</v>
      </c>
      <c r="J273" s="6">
        <f t="shared" ca="1" si="133"/>
        <v>58</v>
      </c>
      <c r="K273" s="6">
        <f t="shared" ca="1" si="123"/>
        <v>500.76896551724144</v>
      </c>
      <c r="L273" s="6">
        <f t="shared" ca="1" si="134"/>
        <v>29044.600000000002</v>
      </c>
      <c r="M273" s="6">
        <f t="shared" ca="1" si="134"/>
        <v>59.758695652173905</v>
      </c>
      <c r="N273" s="6">
        <f t="shared" ca="1" si="124"/>
        <v>409.51459999999997</v>
      </c>
      <c r="O273" s="6">
        <f t="shared" ca="1" si="136"/>
        <v>24472.058346521735</v>
      </c>
      <c r="P273" s="6">
        <f t="shared" ca="1" si="136"/>
        <v>-1.7586956521739054</v>
      </c>
      <c r="Q273" s="6">
        <f t="shared" ca="1" si="136"/>
        <v>91.254365517241467</v>
      </c>
      <c r="R273" s="6">
        <f t="shared" ca="1" si="136"/>
        <v>4572.5416534782671</v>
      </c>
      <c r="S273" s="6">
        <f t="shared" ca="1" si="136"/>
        <v>5292.7532000000047</v>
      </c>
      <c r="T273" s="6">
        <f t="shared" ca="1" si="136"/>
        <v>-720.21154652173595</v>
      </c>
      <c r="U273" s="7">
        <f t="shared" ca="1" si="136"/>
        <v>0.97057004620029841</v>
      </c>
      <c r="V273" s="7">
        <f t="shared" ca="1" si="136"/>
        <v>1.1868474481685016</v>
      </c>
      <c r="W273" s="7" t="str">
        <f t="shared" ca="1" si="136"/>
        <v>-</v>
      </c>
      <c r="X273" s="7" t="str">
        <f t="shared" ca="1" si="136"/>
        <v>-</v>
      </c>
      <c r="Y273" s="7" t="str">
        <f t="shared" ca="1" si="136"/>
        <v>-</v>
      </c>
      <c r="Z273" s="7" t="str">
        <f t="shared" ca="1" si="136"/>
        <v>-</v>
      </c>
      <c r="AA273" s="28" t="str">
        <f t="shared" si="125"/>
        <v>AFW</v>
      </c>
      <c r="AB273" s="28"/>
      <c r="AC273" s="12"/>
      <c r="AD273" s="12"/>
    </row>
    <row r="274" spans="1:30" x14ac:dyDescent="0.25">
      <c r="A274" s="5" t="s">
        <v>207</v>
      </c>
      <c r="B274" s="5" t="s">
        <v>209</v>
      </c>
      <c r="C274" s="5" t="s">
        <v>712</v>
      </c>
      <c r="D274" s="6">
        <f t="shared" ca="1" si="120"/>
        <v>25</v>
      </c>
      <c r="E274" s="6">
        <f t="shared" ca="1" si="121"/>
        <v>661.8</v>
      </c>
      <c r="F274" s="6">
        <f t="shared" ca="1" si="132"/>
        <v>16545</v>
      </c>
      <c r="G274" s="6">
        <f t="shared" ca="1" si="132"/>
        <v>21</v>
      </c>
      <c r="H274" s="6">
        <f t="shared" ca="1" si="122"/>
        <v>640.71428571428567</v>
      </c>
      <c r="I274" s="6">
        <f t="shared" ca="1" si="133"/>
        <v>13455</v>
      </c>
      <c r="J274" s="6">
        <f t="shared" ca="1" si="133"/>
        <v>57</v>
      </c>
      <c r="K274" s="6">
        <f t="shared" ca="1" si="123"/>
        <v>241.8140350877193</v>
      </c>
      <c r="L274" s="6">
        <f t="shared" ca="1" si="134"/>
        <v>13783.4</v>
      </c>
      <c r="M274" s="6">
        <f t="shared" ca="1" si="134"/>
        <v>73.986956521739131</v>
      </c>
      <c r="N274" s="6">
        <f t="shared" ca="1" si="124"/>
        <v>290.97089999999997</v>
      </c>
      <c r="O274" s="6">
        <f t="shared" ca="1" si="136"/>
        <v>21528.051327391302</v>
      </c>
      <c r="P274" s="6">
        <f t="shared" ca="1" si="136"/>
        <v>-16.986956521739131</v>
      </c>
      <c r="Q274" s="6">
        <f t="shared" ca="1" si="136"/>
        <v>-49.156864912280668</v>
      </c>
      <c r="R274" s="6">
        <f t="shared" ca="1" si="136"/>
        <v>-7744.6513273913024</v>
      </c>
      <c r="S274" s="6">
        <f t="shared" ca="1" si="136"/>
        <v>-2801.9412999999981</v>
      </c>
      <c r="T274" s="6">
        <f t="shared" ca="1" si="136"/>
        <v>-4942.7100273913038</v>
      </c>
      <c r="U274" s="7">
        <f t="shared" ca="1" si="136"/>
        <v>0.77040606452371152</v>
      </c>
      <c r="V274" s="7">
        <f t="shared" ca="1" si="136"/>
        <v>0.64025302570988563</v>
      </c>
      <c r="W274" s="7">
        <f t="shared" ca="1" si="136"/>
        <v>1.28</v>
      </c>
      <c r="X274" s="7">
        <f t="shared" ca="1" si="136"/>
        <v>-0.16691447567240861</v>
      </c>
      <c r="Y274" s="7">
        <f t="shared" ca="1" si="136"/>
        <v>1.7142857142857142</v>
      </c>
      <c r="Z274" s="7">
        <f t="shared" ca="1" si="136"/>
        <v>2.4407283537718292E-2</v>
      </c>
      <c r="AA274" s="28" t="str">
        <f t="shared" si="125"/>
        <v>AFW</v>
      </c>
      <c r="AB274" s="28"/>
      <c r="AC274" s="12"/>
      <c r="AD274" s="12"/>
    </row>
    <row r="275" spans="1:30" x14ac:dyDescent="0.25">
      <c r="A275" s="5" t="s">
        <v>207</v>
      </c>
      <c r="B275" s="5" t="s">
        <v>216</v>
      </c>
      <c r="C275" s="5" t="s">
        <v>273</v>
      </c>
      <c r="D275" s="6">
        <f t="shared" ca="1" si="120"/>
        <v>0</v>
      </c>
      <c r="E275" s="6" t="str">
        <f t="shared" ca="1" si="121"/>
        <v>-</v>
      </c>
      <c r="F275" s="6">
        <f t="shared" ca="1" si="132"/>
        <v>0</v>
      </c>
      <c r="G275" s="6">
        <f t="shared" ca="1" si="132"/>
        <v>0</v>
      </c>
      <c r="H275" s="6" t="str">
        <f t="shared" ca="1" si="122"/>
        <v>-</v>
      </c>
      <c r="I275" s="6">
        <f t="shared" ca="1" si="133"/>
        <v>0</v>
      </c>
      <c r="J275" s="6">
        <f t="shared" ca="1" si="133"/>
        <v>31</v>
      </c>
      <c r="K275" s="6">
        <f t="shared" ca="1" si="123"/>
        <v>558.78516129032255</v>
      </c>
      <c r="L275" s="6">
        <f t="shared" ca="1" si="134"/>
        <v>17322.34</v>
      </c>
      <c r="M275" s="6">
        <f t="shared" ca="1" si="134"/>
        <v>52.929130434782607</v>
      </c>
      <c r="N275" s="6">
        <f t="shared" ca="1" si="124"/>
        <v>600.55610000000001</v>
      </c>
      <c r="O275" s="6">
        <f t="shared" ca="1" si="136"/>
        <v>31786.912150304346</v>
      </c>
      <c r="P275" s="6">
        <f t="shared" ca="1" si="136"/>
        <v>-21.929130434782607</v>
      </c>
      <c r="Q275" s="6">
        <f t="shared" ca="1" si="136"/>
        <v>-41.770938709677466</v>
      </c>
      <c r="R275" s="6">
        <f t="shared" ca="1" si="136"/>
        <v>-14464.572150304346</v>
      </c>
      <c r="S275" s="6">
        <f t="shared" ca="1" si="136"/>
        <v>-1294.8991000000015</v>
      </c>
      <c r="T275" s="6">
        <f t="shared" ca="1" si="136"/>
        <v>-13169.673050304347</v>
      </c>
      <c r="U275" s="7">
        <f t="shared" ca="1" si="136"/>
        <v>0.58568882098293862</v>
      </c>
      <c r="V275" s="7">
        <f t="shared" ca="1" si="136"/>
        <v>0.54495195752551717</v>
      </c>
      <c r="W275" s="7" t="str">
        <f t="shared" ca="1" si="136"/>
        <v>-</v>
      </c>
      <c r="X275" s="7" t="str">
        <f t="shared" ca="1" si="136"/>
        <v>-</v>
      </c>
      <c r="Y275" s="7" t="str">
        <f t="shared" ca="1" si="136"/>
        <v>-</v>
      </c>
      <c r="Z275" s="7" t="str">
        <f t="shared" ca="1" si="136"/>
        <v>-</v>
      </c>
      <c r="AA275" s="28" t="str">
        <f t="shared" si="125"/>
        <v>AFW</v>
      </c>
      <c r="AB275" s="28"/>
      <c r="AC275" s="12"/>
      <c r="AD275" s="12"/>
    </row>
    <row r="276" spans="1:30" x14ac:dyDescent="0.25">
      <c r="A276" s="5" t="s">
        <v>208</v>
      </c>
      <c r="B276" s="5" t="s">
        <v>210</v>
      </c>
      <c r="C276" s="5" t="s">
        <v>274</v>
      </c>
      <c r="D276" s="6">
        <f t="shared" ca="1" si="120"/>
        <v>52</v>
      </c>
      <c r="E276" s="6">
        <f t="shared" ca="1" si="121"/>
        <v>194.65384615384616</v>
      </c>
      <c r="F276" s="6">
        <f t="shared" ref="F276:G295" ca="1" si="137">IFERROR(VLOOKUP($C276,INDIRECT("'"&amp;$AA276&amp;"-"&amp;$C$1&amp;"'!$C:$AH"),F$30,0),0)</f>
        <v>10122</v>
      </c>
      <c r="G276" s="6">
        <f t="shared" ca="1" si="137"/>
        <v>44</v>
      </c>
      <c r="H276" s="6">
        <f t="shared" ca="1" si="122"/>
        <v>290.06818181818181</v>
      </c>
      <c r="I276" s="6">
        <f t="shared" ref="I276:J295" ca="1" si="138">IFERROR(VLOOKUP($C276,INDIRECT("'"&amp;$AA276&amp;"-"&amp;$C$1&amp;"'!$C:$AH"),I$30,0),0)</f>
        <v>12763</v>
      </c>
      <c r="J276" s="6">
        <f t="shared" ca="1" si="138"/>
        <v>21</v>
      </c>
      <c r="K276" s="6">
        <f t="shared" ca="1" si="123"/>
        <v>186.33333333333334</v>
      </c>
      <c r="L276" s="6">
        <f t="shared" ref="L276:M295" ca="1" si="139">IFERROR(VLOOKUP($C276,INDIRECT("'"&amp;$AA276&amp;"-"&amp;$C$1&amp;"'!$C:$AH"),L$30,0),0)</f>
        <v>3913</v>
      </c>
      <c r="M276" s="6">
        <f t="shared" ca="1" si="139"/>
        <v>56.343913043478253</v>
      </c>
      <c r="N276" s="6">
        <f t="shared" ca="1" si="124"/>
        <v>276.27540000000005</v>
      </c>
      <c r="O276" s="6">
        <f t="shared" ref="O276:Z285" ca="1" si="140">IFERROR(VLOOKUP($C276,INDIRECT("'"&amp;$AA276&amp;"-"&amp;$C$1&amp;"'!$C:$AH"),O$30,0),0)</f>
        <v>15566.437113652175</v>
      </c>
      <c r="P276" s="6">
        <f t="shared" ca="1" si="140"/>
        <v>-35.343913043478253</v>
      </c>
      <c r="Q276" s="6">
        <f t="shared" ca="1" si="140"/>
        <v>-89.942066666666705</v>
      </c>
      <c r="R276" s="6">
        <f t="shared" ca="1" si="140"/>
        <v>-11653.437113652175</v>
      </c>
      <c r="S276" s="6">
        <f t="shared" ca="1" si="140"/>
        <v>-1888.7834000000007</v>
      </c>
      <c r="T276" s="6">
        <f t="shared" ca="1" si="140"/>
        <v>-9764.6537136521729</v>
      </c>
      <c r="U276" s="7">
        <f t="shared" ca="1" si="140"/>
        <v>0.37271106789823372</v>
      </c>
      <c r="V276" s="7">
        <f t="shared" ca="1" si="140"/>
        <v>0.2513741565543085</v>
      </c>
      <c r="W276" s="7">
        <f t="shared" ca="1" si="140"/>
        <v>-0.59615384615384615</v>
      </c>
      <c r="X276" s="7">
        <f t="shared" ca="1" si="140"/>
        <v>-0.61341632088520059</v>
      </c>
      <c r="Y276" s="7">
        <f t="shared" ca="1" si="140"/>
        <v>-0.52272727272727271</v>
      </c>
      <c r="Z276" s="7">
        <f t="shared" ca="1" si="140"/>
        <v>-0.69341064013163045</v>
      </c>
      <c r="AA276" s="28" t="str">
        <f t="shared" si="125"/>
        <v>AFW</v>
      </c>
      <c r="AB276" s="28"/>
      <c r="AC276" s="12"/>
      <c r="AD276" s="12"/>
    </row>
    <row r="277" spans="1:30" x14ac:dyDescent="0.25">
      <c r="A277" s="5" t="s">
        <v>208</v>
      </c>
      <c r="B277" s="5" t="s">
        <v>209</v>
      </c>
      <c r="C277" s="5" t="s">
        <v>276</v>
      </c>
      <c r="D277" s="6">
        <f t="shared" ca="1" si="120"/>
        <v>63</v>
      </c>
      <c r="E277" s="6">
        <f t="shared" ca="1" si="121"/>
        <v>453.28571428571428</v>
      </c>
      <c r="F277" s="6">
        <f t="shared" ca="1" si="137"/>
        <v>28557</v>
      </c>
      <c r="G277" s="6">
        <f t="shared" ca="1" si="137"/>
        <v>78</v>
      </c>
      <c r="H277" s="6">
        <f t="shared" ca="1" si="122"/>
        <v>454.53846153846155</v>
      </c>
      <c r="I277" s="6">
        <f t="shared" ca="1" si="138"/>
        <v>35454</v>
      </c>
      <c r="J277" s="6">
        <f t="shared" ca="1" si="138"/>
        <v>132</v>
      </c>
      <c r="K277" s="6">
        <f t="shared" ca="1" si="123"/>
        <v>411.08136363636356</v>
      </c>
      <c r="L277" s="6">
        <f t="shared" ca="1" si="139"/>
        <v>54262.739999999991</v>
      </c>
      <c r="M277" s="6">
        <f t="shared" ca="1" si="139"/>
        <v>101.30521739130435</v>
      </c>
      <c r="N277" s="6">
        <f t="shared" ca="1" si="124"/>
        <v>515</v>
      </c>
      <c r="O277" s="6">
        <f t="shared" ca="1" si="140"/>
        <v>52172.186956521742</v>
      </c>
      <c r="P277" s="6">
        <f t="shared" ca="1" si="140"/>
        <v>30.694782608695647</v>
      </c>
      <c r="Q277" s="6">
        <f t="shared" ca="1" si="140"/>
        <v>-103.91863636363644</v>
      </c>
      <c r="R277" s="6">
        <f t="shared" ca="1" si="140"/>
        <v>2090.5530434782486</v>
      </c>
      <c r="S277" s="6">
        <f t="shared" ca="1" si="140"/>
        <v>-13717.260000000009</v>
      </c>
      <c r="T277" s="6">
        <f t="shared" ca="1" si="140"/>
        <v>15807.813043478258</v>
      </c>
      <c r="U277" s="7">
        <f t="shared" ca="1" si="140"/>
        <v>1.3029931073553016</v>
      </c>
      <c r="V277" s="7">
        <f t="shared" ca="1" si="140"/>
        <v>1.040070258991068</v>
      </c>
      <c r="W277" s="7">
        <f t="shared" ca="1" si="140"/>
        <v>1.0952380952380953</v>
      </c>
      <c r="X277" s="7">
        <f t="shared" ca="1" si="140"/>
        <v>0.90015547851665056</v>
      </c>
      <c r="Y277" s="7">
        <f t="shared" ca="1" si="140"/>
        <v>0.69230769230769229</v>
      </c>
      <c r="Z277" s="7">
        <f t="shared" ca="1" si="140"/>
        <v>0.53051108478591957</v>
      </c>
      <c r="AA277" s="28" t="str">
        <f t="shared" si="125"/>
        <v>AFW</v>
      </c>
      <c r="AB277" s="28"/>
      <c r="AC277" s="12"/>
      <c r="AD277" s="12"/>
    </row>
    <row r="278" spans="1:30" x14ac:dyDescent="0.25">
      <c r="A278" s="5" t="s">
        <v>208</v>
      </c>
      <c r="B278" s="5" t="s">
        <v>216</v>
      </c>
      <c r="C278" s="5" t="s">
        <v>277</v>
      </c>
      <c r="D278" s="6">
        <f t="shared" ca="1" si="120"/>
        <v>77</v>
      </c>
      <c r="E278" s="6">
        <f t="shared" ca="1" si="121"/>
        <v>515.53246753246754</v>
      </c>
      <c r="F278" s="6">
        <f t="shared" ca="1" si="137"/>
        <v>39696</v>
      </c>
      <c r="G278" s="6">
        <f t="shared" ca="1" si="137"/>
        <v>77</v>
      </c>
      <c r="H278" s="6">
        <f t="shared" ca="1" si="122"/>
        <v>759.2987012987013</v>
      </c>
      <c r="I278" s="6">
        <f t="shared" ca="1" si="138"/>
        <v>58466</v>
      </c>
      <c r="J278" s="6">
        <f t="shared" ca="1" si="138"/>
        <v>67</v>
      </c>
      <c r="K278" s="6">
        <f t="shared" ca="1" si="123"/>
        <v>699.54477611940297</v>
      </c>
      <c r="L278" s="6">
        <f t="shared" ca="1" si="139"/>
        <v>46869.5</v>
      </c>
      <c r="M278" s="6">
        <f t="shared" ca="1" si="139"/>
        <v>76.263478260869562</v>
      </c>
      <c r="N278" s="6">
        <f t="shared" ca="1" si="124"/>
        <v>707.34340000000009</v>
      </c>
      <c r="O278" s="6">
        <f t="shared" ca="1" si="140"/>
        <v>53944.468008869568</v>
      </c>
      <c r="P278" s="6">
        <f t="shared" ca="1" si="140"/>
        <v>-9.2634782608695616</v>
      </c>
      <c r="Q278" s="6">
        <f t="shared" ca="1" si="140"/>
        <v>-7.7986238805971198</v>
      </c>
      <c r="R278" s="6">
        <f t="shared" ca="1" si="140"/>
        <v>-7074.9680088695677</v>
      </c>
      <c r="S278" s="6">
        <f t="shared" ca="1" si="140"/>
        <v>-522.50780000000702</v>
      </c>
      <c r="T278" s="6">
        <f t="shared" ca="1" si="140"/>
        <v>-6552.4602088695638</v>
      </c>
      <c r="U278" s="7">
        <f t="shared" ca="1" si="140"/>
        <v>0.87853323147440798</v>
      </c>
      <c r="V278" s="7">
        <f t="shared" ca="1" si="140"/>
        <v>0.86884720027813978</v>
      </c>
      <c r="W278" s="7">
        <f t="shared" ca="1" si="140"/>
        <v>-0.12987012987012986</v>
      </c>
      <c r="X278" s="7">
        <f t="shared" ca="1" si="140"/>
        <v>0.18071090286174929</v>
      </c>
      <c r="Y278" s="7">
        <f t="shared" ca="1" si="140"/>
        <v>-0.12987012987012986</v>
      </c>
      <c r="Z278" s="7">
        <f t="shared" ca="1" si="140"/>
        <v>-0.19834604727533953</v>
      </c>
      <c r="AA278" s="28" t="str">
        <f t="shared" si="125"/>
        <v>AFW</v>
      </c>
      <c r="AB278" s="28"/>
      <c r="AC278" s="12"/>
      <c r="AD278" s="12"/>
    </row>
    <row r="279" spans="1:30" x14ac:dyDescent="0.25">
      <c r="A279" s="5" t="s">
        <v>207</v>
      </c>
      <c r="B279" s="5" t="s">
        <v>41</v>
      </c>
      <c r="C279" s="5" t="s">
        <v>260</v>
      </c>
      <c r="D279" s="6">
        <f t="shared" ca="1" si="120"/>
        <v>0</v>
      </c>
      <c r="E279" s="6" t="str">
        <f t="shared" ca="1" si="121"/>
        <v>-</v>
      </c>
      <c r="F279" s="6">
        <f t="shared" ca="1" si="137"/>
        <v>0</v>
      </c>
      <c r="G279" s="6">
        <f t="shared" ca="1" si="137"/>
        <v>0</v>
      </c>
      <c r="H279" s="6" t="str">
        <f t="shared" ca="1" si="122"/>
        <v>-</v>
      </c>
      <c r="I279" s="6">
        <f t="shared" ca="1" si="138"/>
        <v>0</v>
      </c>
      <c r="J279" s="6">
        <f t="shared" ca="1" si="138"/>
        <v>10</v>
      </c>
      <c r="K279" s="6">
        <f t="shared" ca="1" si="123"/>
        <v>895.827</v>
      </c>
      <c r="L279" s="6">
        <f t="shared" ca="1" si="139"/>
        <v>8958.27</v>
      </c>
      <c r="M279" s="6">
        <f t="shared" ca="1" si="139"/>
        <v>55.956521739130437</v>
      </c>
      <c r="N279" s="6">
        <f t="shared" ca="1" si="124"/>
        <v>440.86500000000001</v>
      </c>
      <c r="O279" s="6">
        <f t="shared" ca="1" si="140"/>
        <v>24669.271956521741</v>
      </c>
      <c r="P279" s="6">
        <f t="shared" ca="1" si="140"/>
        <v>-45.956521739130437</v>
      </c>
      <c r="Q279" s="6">
        <f t="shared" ca="1" si="140"/>
        <v>454.96199999999999</v>
      </c>
      <c r="R279" s="6">
        <f t="shared" ca="1" si="140"/>
        <v>-15711.001956521741</v>
      </c>
      <c r="S279" s="6">
        <f t="shared" ca="1" si="140"/>
        <v>4549.62</v>
      </c>
      <c r="T279" s="6">
        <f t="shared" ca="1" si="140"/>
        <v>-20260.62195652174</v>
      </c>
      <c r="U279" s="7">
        <f t="shared" ca="1" si="140"/>
        <v>0.17871017871017869</v>
      </c>
      <c r="V279" s="7">
        <f t="shared" ca="1" si="140"/>
        <v>0.36313475386661054</v>
      </c>
      <c r="W279" s="7" t="str">
        <f t="shared" ca="1" si="140"/>
        <v>-</v>
      </c>
      <c r="X279" s="7" t="str">
        <f t="shared" ca="1" si="140"/>
        <v>-</v>
      </c>
      <c r="Y279" s="7" t="str">
        <f t="shared" ca="1" si="140"/>
        <v>-</v>
      </c>
      <c r="Z279" s="7" t="str">
        <f t="shared" ca="1" si="140"/>
        <v>-</v>
      </c>
      <c r="AA279" s="28" t="str">
        <f t="shared" si="125"/>
        <v>AFW</v>
      </c>
      <c r="AB279" s="28"/>
      <c r="AC279" s="12"/>
      <c r="AD279" s="12"/>
    </row>
    <row r="280" spans="1:30" x14ac:dyDescent="0.25">
      <c r="A280" s="5" t="s">
        <v>207</v>
      </c>
      <c r="B280" s="5" t="s">
        <v>45</v>
      </c>
      <c r="C280" s="5" t="s">
        <v>262</v>
      </c>
      <c r="D280" s="6">
        <f t="shared" ca="1" si="120"/>
        <v>0</v>
      </c>
      <c r="E280" s="6" t="str">
        <f t="shared" ca="1" si="121"/>
        <v>-</v>
      </c>
      <c r="F280" s="6">
        <f t="shared" ca="1" si="137"/>
        <v>0</v>
      </c>
      <c r="G280" s="6">
        <f t="shared" ca="1" si="137"/>
        <v>0</v>
      </c>
      <c r="H280" s="6" t="str">
        <f t="shared" ca="1" si="122"/>
        <v>-</v>
      </c>
      <c r="I280" s="6">
        <f t="shared" ca="1" si="138"/>
        <v>0</v>
      </c>
      <c r="J280" s="6">
        <f t="shared" ca="1" si="138"/>
        <v>16</v>
      </c>
      <c r="K280" s="6">
        <f t="shared" ca="1" si="123"/>
        <v>588.58375000000001</v>
      </c>
      <c r="L280" s="6">
        <f t="shared" ca="1" si="139"/>
        <v>9417.34</v>
      </c>
      <c r="M280" s="6">
        <f t="shared" ca="1" si="139"/>
        <v>82.799416492753636</v>
      </c>
      <c r="N280" s="6">
        <f t="shared" ca="1" si="124"/>
        <v>449.99999999999994</v>
      </c>
      <c r="O280" s="6">
        <f t="shared" ca="1" si="140"/>
        <v>37259.737421739133</v>
      </c>
      <c r="P280" s="6">
        <f t="shared" ca="1" si="140"/>
        <v>-66.799416492753636</v>
      </c>
      <c r="Q280" s="6">
        <f t="shared" ca="1" si="140"/>
        <v>138.58375000000007</v>
      </c>
      <c r="R280" s="6">
        <f t="shared" ca="1" si="140"/>
        <v>-27842.397421739133</v>
      </c>
      <c r="S280" s="6">
        <f t="shared" ca="1" si="140"/>
        <v>2217.3400000000011</v>
      </c>
      <c r="T280" s="6">
        <f t="shared" ca="1" si="140"/>
        <v>-30059.737421739133</v>
      </c>
      <c r="U280" s="7">
        <f t="shared" ca="1" si="140"/>
        <v>0.19323807676108773</v>
      </c>
      <c r="V280" s="7">
        <f t="shared" ca="1" si="140"/>
        <v>0.25274842636184197</v>
      </c>
      <c r="W280" s="7" t="str">
        <f t="shared" ca="1" si="140"/>
        <v>-</v>
      </c>
      <c r="X280" s="7" t="str">
        <f t="shared" ca="1" si="140"/>
        <v>-</v>
      </c>
      <c r="Y280" s="7" t="str">
        <f t="shared" ca="1" si="140"/>
        <v>-</v>
      </c>
      <c r="Z280" s="7" t="str">
        <f t="shared" ca="1" si="140"/>
        <v>-</v>
      </c>
      <c r="AA280" s="28" t="str">
        <f t="shared" si="125"/>
        <v>AFW</v>
      </c>
      <c r="AB280" s="28"/>
      <c r="AC280" s="12"/>
      <c r="AD280" s="12"/>
    </row>
    <row r="281" spans="1:30" x14ac:dyDescent="0.25">
      <c r="A281" s="5" t="s">
        <v>207</v>
      </c>
      <c r="B281" s="5" t="s">
        <v>715</v>
      </c>
      <c r="C281" s="5" t="s">
        <v>715</v>
      </c>
      <c r="D281" s="6">
        <f t="shared" ca="1" si="120"/>
        <v>0</v>
      </c>
      <c r="E281" s="6" t="str">
        <f t="shared" ca="1" si="121"/>
        <v>-</v>
      </c>
      <c r="F281" s="6">
        <f t="shared" ca="1" si="137"/>
        <v>0</v>
      </c>
      <c r="G281" s="6">
        <f t="shared" ca="1" si="137"/>
        <v>0</v>
      </c>
      <c r="H281" s="6" t="str">
        <f t="shared" ca="1" si="122"/>
        <v>-</v>
      </c>
      <c r="I281" s="6">
        <f t="shared" ca="1" si="138"/>
        <v>0</v>
      </c>
      <c r="J281" s="6">
        <f t="shared" ca="1" si="138"/>
        <v>0</v>
      </c>
      <c r="K281" s="6" t="str">
        <f t="shared" ca="1" si="123"/>
        <v>-</v>
      </c>
      <c r="L281" s="6">
        <f t="shared" ca="1" si="139"/>
        <v>0</v>
      </c>
      <c r="M281" s="6">
        <f t="shared" ca="1" si="139"/>
        <v>0</v>
      </c>
      <c r="N281" s="6" t="str">
        <f t="shared" ca="1" si="124"/>
        <v>-</v>
      </c>
      <c r="O281" s="6">
        <f t="shared" ca="1" si="140"/>
        <v>0</v>
      </c>
      <c r="P281" s="6">
        <f t="shared" ca="1" si="140"/>
        <v>0</v>
      </c>
      <c r="Q281" s="6" t="str">
        <f t="shared" ca="1" si="140"/>
        <v>-</v>
      </c>
      <c r="R281" s="6">
        <f t="shared" ca="1" si="140"/>
        <v>0</v>
      </c>
      <c r="S281" s="6" t="str">
        <f t="shared" ca="1" si="140"/>
        <v>-</v>
      </c>
      <c r="T281" s="6" t="str">
        <f t="shared" ca="1" si="140"/>
        <v>-</v>
      </c>
      <c r="U281" s="7" t="str">
        <f t="shared" ca="1" si="140"/>
        <v>-</v>
      </c>
      <c r="V281" s="7" t="str">
        <f t="shared" ca="1" si="140"/>
        <v>-</v>
      </c>
      <c r="W281" s="7" t="str">
        <f t="shared" ca="1" si="140"/>
        <v>-</v>
      </c>
      <c r="X281" s="7" t="str">
        <f t="shared" ca="1" si="140"/>
        <v>-</v>
      </c>
      <c r="Y281" s="7" t="str">
        <f t="shared" ca="1" si="140"/>
        <v>-</v>
      </c>
      <c r="Z281" s="7" t="str">
        <f t="shared" ca="1" si="140"/>
        <v>-</v>
      </c>
      <c r="AA281" s="28" t="str">
        <f t="shared" si="125"/>
        <v>AFW</v>
      </c>
      <c r="AB281" s="28"/>
      <c r="AC281" s="12"/>
      <c r="AD281" s="12"/>
    </row>
    <row r="282" spans="1:30" x14ac:dyDescent="0.25">
      <c r="A282" s="5" t="s">
        <v>207</v>
      </c>
      <c r="B282" s="5" t="s">
        <v>52</v>
      </c>
      <c r="C282" s="5" t="s">
        <v>231</v>
      </c>
      <c r="D282" s="6">
        <f t="shared" ca="1" si="120"/>
        <v>0</v>
      </c>
      <c r="E282" s="6" t="str">
        <f t="shared" ca="1" si="121"/>
        <v>-</v>
      </c>
      <c r="F282" s="6">
        <f t="shared" ca="1" si="137"/>
        <v>0</v>
      </c>
      <c r="G282" s="6">
        <f t="shared" ca="1" si="137"/>
        <v>0</v>
      </c>
      <c r="H282" s="6" t="str">
        <f t="shared" ca="1" si="122"/>
        <v>-</v>
      </c>
      <c r="I282" s="6">
        <f t="shared" ca="1" si="138"/>
        <v>0</v>
      </c>
      <c r="J282" s="6">
        <f t="shared" ca="1" si="138"/>
        <v>11</v>
      </c>
      <c r="K282" s="6">
        <f t="shared" ca="1" si="123"/>
        <v>402.93818181818182</v>
      </c>
      <c r="L282" s="6">
        <f t="shared" ca="1" si="139"/>
        <v>4432.32</v>
      </c>
      <c r="M282" s="6">
        <f t="shared" ca="1" si="139"/>
        <v>64.680000000000007</v>
      </c>
      <c r="N282" s="6">
        <f t="shared" ca="1" si="124"/>
        <v>406.38149999999996</v>
      </c>
      <c r="O282" s="6">
        <f t="shared" ca="1" si="140"/>
        <v>26284.755420000001</v>
      </c>
      <c r="P282" s="6">
        <f t="shared" ca="1" si="140"/>
        <v>-53.680000000000007</v>
      </c>
      <c r="Q282" s="6">
        <f t="shared" ca="1" si="140"/>
        <v>-3.4433181818181424</v>
      </c>
      <c r="R282" s="6">
        <f t="shared" ca="1" si="140"/>
        <v>-21852.435420000002</v>
      </c>
      <c r="S282" s="6">
        <f t="shared" ca="1" si="140"/>
        <v>-37.876499999999567</v>
      </c>
      <c r="T282" s="6">
        <f t="shared" ca="1" si="140"/>
        <v>-21814.558919999999</v>
      </c>
      <c r="U282" s="7">
        <f t="shared" ca="1" si="140"/>
        <v>0.17006802721088435</v>
      </c>
      <c r="V282" s="7">
        <f t="shared" ca="1" si="140"/>
        <v>0.16862702084066034</v>
      </c>
      <c r="W282" s="7" t="str">
        <f t="shared" ca="1" si="140"/>
        <v>-</v>
      </c>
      <c r="X282" s="7" t="str">
        <f t="shared" ca="1" si="140"/>
        <v>-</v>
      </c>
      <c r="Y282" s="7" t="str">
        <f t="shared" ca="1" si="140"/>
        <v>-</v>
      </c>
      <c r="Z282" s="7" t="str">
        <f t="shared" ca="1" si="140"/>
        <v>-</v>
      </c>
      <c r="AA282" s="28" t="str">
        <f t="shared" si="125"/>
        <v>AFW</v>
      </c>
      <c r="AB282" s="28"/>
      <c r="AC282" s="12"/>
      <c r="AD282" s="12"/>
    </row>
    <row r="283" spans="1:30" x14ac:dyDescent="0.25">
      <c r="A283" s="5" t="s">
        <v>207</v>
      </c>
      <c r="B283" s="5" t="s">
        <v>215</v>
      </c>
      <c r="C283" s="5" t="s">
        <v>272</v>
      </c>
      <c r="D283" s="6">
        <f t="shared" ca="1" si="120"/>
        <v>0</v>
      </c>
      <c r="E283" s="6" t="str">
        <f t="shared" ca="1" si="121"/>
        <v>-</v>
      </c>
      <c r="F283" s="6">
        <f t="shared" ca="1" si="137"/>
        <v>0</v>
      </c>
      <c r="G283" s="6">
        <f t="shared" ca="1" si="137"/>
        <v>0</v>
      </c>
      <c r="H283" s="6" t="str">
        <f t="shared" ca="1" si="122"/>
        <v>-</v>
      </c>
      <c r="I283" s="6">
        <f t="shared" ca="1" si="138"/>
        <v>0</v>
      </c>
      <c r="J283" s="6">
        <f t="shared" ca="1" si="138"/>
        <v>11</v>
      </c>
      <c r="K283" s="6">
        <f t="shared" ca="1" si="123"/>
        <v>1820.8627272727274</v>
      </c>
      <c r="L283" s="6">
        <f t="shared" ca="1" si="139"/>
        <v>20029.490000000002</v>
      </c>
      <c r="M283" s="6">
        <f t="shared" ca="1" si="139"/>
        <v>20.469565217391303</v>
      </c>
      <c r="N283" s="6">
        <f t="shared" ca="1" si="124"/>
        <v>1212</v>
      </c>
      <c r="O283" s="6">
        <f t="shared" ca="1" si="140"/>
        <v>24809.113043478257</v>
      </c>
      <c r="P283" s="6">
        <f t="shared" ca="1" si="140"/>
        <v>-9.4695652173913025</v>
      </c>
      <c r="Q283" s="6">
        <f t="shared" ca="1" si="140"/>
        <v>608.8627272727274</v>
      </c>
      <c r="R283" s="6">
        <f t="shared" ca="1" si="140"/>
        <v>-4779.6230434782556</v>
      </c>
      <c r="S283" s="6">
        <f t="shared" ca="1" si="140"/>
        <v>6697.4900000000016</v>
      </c>
      <c r="T283" s="6">
        <f t="shared" ca="1" si="140"/>
        <v>-11477.113043478259</v>
      </c>
      <c r="U283" s="7">
        <f t="shared" ca="1" si="140"/>
        <v>0.53738317757009346</v>
      </c>
      <c r="V283" s="7">
        <f t="shared" ca="1" si="140"/>
        <v>0.80734405800393139</v>
      </c>
      <c r="W283" s="7" t="str">
        <f t="shared" ca="1" si="140"/>
        <v>-</v>
      </c>
      <c r="X283" s="7" t="str">
        <f t="shared" ca="1" si="140"/>
        <v>-</v>
      </c>
      <c r="Y283" s="7" t="str">
        <f t="shared" ca="1" si="140"/>
        <v>-</v>
      </c>
      <c r="Z283" s="7" t="str">
        <f t="shared" ca="1" si="140"/>
        <v>-</v>
      </c>
      <c r="AA283" s="28" t="str">
        <f t="shared" si="125"/>
        <v>AFW</v>
      </c>
      <c r="AB283" s="28"/>
      <c r="AC283" s="12"/>
      <c r="AD283" s="12"/>
    </row>
    <row r="284" spans="1:30" x14ac:dyDescent="0.25">
      <c r="A284" s="5" t="s">
        <v>208</v>
      </c>
      <c r="B284" s="5" t="s">
        <v>209</v>
      </c>
      <c r="C284" s="5" t="s">
        <v>241</v>
      </c>
      <c r="D284" s="6">
        <f t="shared" ca="1" si="120"/>
        <v>162</v>
      </c>
      <c r="E284" s="6">
        <f t="shared" ca="1" si="121"/>
        <v>105.46296296296296</v>
      </c>
      <c r="F284" s="6">
        <f t="shared" ca="1" si="137"/>
        <v>17085</v>
      </c>
      <c r="G284" s="6">
        <f t="shared" ca="1" si="137"/>
        <v>78</v>
      </c>
      <c r="H284" s="6">
        <f t="shared" ca="1" si="122"/>
        <v>200.44871794871796</v>
      </c>
      <c r="I284" s="6">
        <f t="shared" ca="1" si="138"/>
        <v>15635</v>
      </c>
      <c r="J284" s="6">
        <f t="shared" ca="1" si="138"/>
        <v>121</v>
      </c>
      <c r="K284" s="6">
        <f t="shared" ca="1" si="123"/>
        <v>83.971487603305775</v>
      </c>
      <c r="L284" s="6">
        <f t="shared" ca="1" si="139"/>
        <v>10160.549999999999</v>
      </c>
      <c r="M284" s="6" t="str">
        <f t="shared" ca="1" si="139"/>
        <v>-</v>
      </c>
      <c r="N284" s="6" t="str">
        <f t="shared" ca="1" si="124"/>
        <v>-</v>
      </c>
      <c r="O284" s="6" t="str">
        <f t="shared" ca="1" si="140"/>
        <v>-</v>
      </c>
      <c r="P284" s="6" t="str">
        <f t="shared" ca="1" si="140"/>
        <v>-</v>
      </c>
      <c r="Q284" s="6" t="str">
        <f t="shared" ca="1" si="140"/>
        <v>-</v>
      </c>
      <c r="R284" s="6" t="str">
        <f t="shared" ca="1" si="140"/>
        <v>-</v>
      </c>
      <c r="S284" s="6" t="str">
        <f t="shared" ca="1" si="140"/>
        <v>-</v>
      </c>
      <c r="T284" s="6" t="str">
        <f t="shared" ca="1" si="140"/>
        <v>-</v>
      </c>
      <c r="U284" s="7" t="str">
        <f t="shared" ca="1" si="140"/>
        <v>-</v>
      </c>
      <c r="V284" s="7" t="str">
        <f t="shared" ca="1" si="140"/>
        <v>-</v>
      </c>
      <c r="W284" s="7">
        <f t="shared" ca="1" si="140"/>
        <v>-0.25308641975308643</v>
      </c>
      <c r="X284" s="7">
        <f t="shared" ca="1" si="140"/>
        <v>-0.40529411764705886</v>
      </c>
      <c r="Y284" s="7">
        <f t="shared" ca="1" si="140"/>
        <v>0.55128205128205132</v>
      </c>
      <c r="Z284" s="7">
        <f t="shared" ca="1" si="140"/>
        <v>-0.35014070994563484</v>
      </c>
      <c r="AA284" s="28" t="str">
        <f t="shared" si="125"/>
        <v>AFW</v>
      </c>
      <c r="AB284" s="28"/>
      <c r="AC284" s="12"/>
      <c r="AD284" s="12"/>
    </row>
    <row r="285" spans="1:30" x14ac:dyDescent="0.25">
      <c r="A285" s="5" t="s">
        <v>208</v>
      </c>
      <c r="B285" s="5" t="s">
        <v>209</v>
      </c>
      <c r="C285" s="5" t="s">
        <v>240</v>
      </c>
      <c r="D285" s="6">
        <f t="shared" ca="1" si="120"/>
        <v>23</v>
      </c>
      <c r="E285" s="6">
        <f t="shared" ca="1" si="121"/>
        <v>216.60869565217391</v>
      </c>
      <c r="F285" s="6">
        <f t="shared" ca="1" si="137"/>
        <v>4982</v>
      </c>
      <c r="G285" s="6">
        <f t="shared" ca="1" si="137"/>
        <v>3</v>
      </c>
      <c r="H285" s="6">
        <f t="shared" ca="1" si="122"/>
        <v>1534.3333333333333</v>
      </c>
      <c r="I285" s="6">
        <f t="shared" ca="1" si="138"/>
        <v>4603</v>
      </c>
      <c r="J285" s="6">
        <f t="shared" ca="1" si="138"/>
        <v>67</v>
      </c>
      <c r="K285" s="6">
        <f t="shared" ca="1" si="123"/>
        <v>59.768656716417908</v>
      </c>
      <c r="L285" s="6">
        <f t="shared" ca="1" si="139"/>
        <v>4004.5</v>
      </c>
      <c r="M285" s="6" t="str">
        <f t="shared" ca="1" si="139"/>
        <v>-</v>
      </c>
      <c r="N285" s="6" t="str">
        <f t="shared" ca="1" si="124"/>
        <v>-</v>
      </c>
      <c r="O285" s="6" t="str">
        <f t="shared" ca="1" si="140"/>
        <v>-</v>
      </c>
      <c r="P285" s="6" t="str">
        <f t="shared" ca="1" si="140"/>
        <v>-</v>
      </c>
      <c r="Q285" s="6" t="str">
        <f t="shared" ca="1" si="140"/>
        <v>-</v>
      </c>
      <c r="R285" s="6" t="str">
        <f t="shared" ca="1" si="140"/>
        <v>-</v>
      </c>
      <c r="S285" s="6" t="str">
        <f t="shared" ca="1" si="140"/>
        <v>-</v>
      </c>
      <c r="T285" s="6" t="str">
        <f t="shared" ca="1" si="140"/>
        <v>-</v>
      </c>
      <c r="U285" s="7" t="str">
        <f t="shared" ca="1" si="140"/>
        <v>-</v>
      </c>
      <c r="V285" s="7" t="str">
        <f t="shared" ca="1" si="140"/>
        <v>-</v>
      </c>
      <c r="W285" s="7">
        <f t="shared" ca="1" si="140"/>
        <v>1.9130434782608696</v>
      </c>
      <c r="X285" s="7">
        <f t="shared" ca="1" si="140"/>
        <v>-0.19620634283420313</v>
      </c>
      <c r="Y285" s="7">
        <f t="shared" ca="1" si="140"/>
        <v>21.333333333333332</v>
      </c>
      <c r="Z285" s="7">
        <f t="shared" ca="1" si="140"/>
        <v>-0.13002389745817944</v>
      </c>
      <c r="AA285" s="28" t="str">
        <f t="shared" si="125"/>
        <v>AFW</v>
      </c>
      <c r="AB285" s="28"/>
      <c r="AC285" s="12"/>
      <c r="AD285" s="12"/>
    </row>
    <row r="286" spans="1:30" x14ac:dyDescent="0.25">
      <c r="A286" s="5" t="s">
        <v>208</v>
      </c>
      <c r="B286" s="5" t="s">
        <v>46</v>
      </c>
      <c r="C286" s="5" t="s">
        <v>253</v>
      </c>
      <c r="D286" s="6">
        <f t="shared" ca="1" si="120"/>
        <v>0</v>
      </c>
      <c r="E286" s="6" t="str">
        <f t="shared" ca="1" si="121"/>
        <v>-</v>
      </c>
      <c r="F286" s="6">
        <f t="shared" ca="1" si="137"/>
        <v>208</v>
      </c>
      <c r="G286" s="6">
        <f t="shared" ca="1" si="137"/>
        <v>0</v>
      </c>
      <c r="H286" s="6" t="str">
        <f t="shared" ca="1" si="122"/>
        <v>-</v>
      </c>
      <c r="I286" s="6">
        <f t="shared" ca="1" si="138"/>
        <v>0</v>
      </c>
      <c r="J286" s="6">
        <f t="shared" ca="1" si="138"/>
        <v>1</v>
      </c>
      <c r="K286" s="6">
        <f t="shared" ca="1" si="123"/>
        <v>0</v>
      </c>
      <c r="L286" s="6">
        <f t="shared" ca="1" si="139"/>
        <v>0</v>
      </c>
      <c r="M286" s="6" t="str">
        <f t="shared" ca="1" si="139"/>
        <v>-</v>
      </c>
      <c r="N286" s="6" t="str">
        <f t="shared" ca="1" si="124"/>
        <v>-</v>
      </c>
      <c r="O286" s="6" t="str">
        <f t="shared" ref="O286:Z295" ca="1" si="141">IFERROR(VLOOKUP($C286,INDIRECT("'"&amp;$AA286&amp;"-"&amp;$C$1&amp;"'!$C:$AH"),O$30,0),0)</f>
        <v>-</v>
      </c>
      <c r="P286" s="6" t="str">
        <f t="shared" ca="1" si="141"/>
        <v>-</v>
      </c>
      <c r="Q286" s="6" t="str">
        <f t="shared" ca="1" si="141"/>
        <v>-</v>
      </c>
      <c r="R286" s="6" t="str">
        <f t="shared" ca="1" si="141"/>
        <v>-</v>
      </c>
      <c r="S286" s="6" t="str">
        <f t="shared" ca="1" si="141"/>
        <v>-</v>
      </c>
      <c r="T286" s="6" t="str">
        <f t="shared" ca="1" si="141"/>
        <v>-</v>
      </c>
      <c r="U286" s="7" t="str">
        <f t="shared" ca="1" si="141"/>
        <v>-</v>
      </c>
      <c r="V286" s="7" t="str">
        <f t="shared" ca="1" si="141"/>
        <v>-</v>
      </c>
      <c r="W286" s="7" t="str">
        <f t="shared" ca="1" si="141"/>
        <v>-</v>
      </c>
      <c r="X286" s="7">
        <f t="shared" ca="1" si="141"/>
        <v>-1</v>
      </c>
      <c r="Y286" s="7" t="str">
        <f t="shared" ca="1" si="141"/>
        <v>-</v>
      </c>
      <c r="Z286" s="7" t="str">
        <f t="shared" ca="1" si="141"/>
        <v>-</v>
      </c>
      <c r="AA286" s="28" t="str">
        <f t="shared" si="125"/>
        <v>AFW</v>
      </c>
      <c r="AB286" s="28"/>
      <c r="AC286" s="12"/>
      <c r="AD286" s="12"/>
    </row>
    <row r="287" spans="1:30" x14ac:dyDescent="0.25">
      <c r="A287" s="5" t="s">
        <v>207</v>
      </c>
      <c r="B287" s="5" t="s">
        <v>47</v>
      </c>
      <c r="C287" s="5" t="s">
        <v>275</v>
      </c>
      <c r="D287" s="6">
        <f t="shared" ca="1" si="120"/>
        <v>0</v>
      </c>
      <c r="E287" s="6" t="str">
        <f t="shared" ca="1" si="121"/>
        <v>-</v>
      </c>
      <c r="F287" s="6">
        <f t="shared" ca="1" si="137"/>
        <v>0</v>
      </c>
      <c r="G287" s="6">
        <f t="shared" ca="1" si="137"/>
        <v>0</v>
      </c>
      <c r="H287" s="6" t="str">
        <f t="shared" ca="1" si="122"/>
        <v>-</v>
      </c>
      <c r="I287" s="6">
        <f t="shared" ca="1" si="138"/>
        <v>0</v>
      </c>
      <c r="J287" s="6">
        <f t="shared" ca="1" si="138"/>
        <v>41</v>
      </c>
      <c r="K287" s="6">
        <f t="shared" ca="1" si="123"/>
        <v>155.29170731707316</v>
      </c>
      <c r="L287" s="6">
        <f t="shared" ca="1" si="139"/>
        <v>6366.96</v>
      </c>
      <c r="M287" s="6" t="str">
        <f t="shared" ca="1" si="139"/>
        <v>-</v>
      </c>
      <c r="N287" s="6" t="str">
        <f t="shared" ca="1" si="124"/>
        <v>-</v>
      </c>
      <c r="O287" s="6" t="str">
        <f t="shared" ca="1" si="141"/>
        <v>-</v>
      </c>
      <c r="P287" s="6" t="str">
        <f t="shared" ca="1" si="141"/>
        <v>-</v>
      </c>
      <c r="Q287" s="6" t="str">
        <f t="shared" ca="1" si="141"/>
        <v>-</v>
      </c>
      <c r="R287" s="6" t="str">
        <f t="shared" ca="1" si="141"/>
        <v>-</v>
      </c>
      <c r="S287" s="6" t="str">
        <f t="shared" ca="1" si="141"/>
        <v>-</v>
      </c>
      <c r="T287" s="6" t="str">
        <f t="shared" ca="1" si="141"/>
        <v>-</v>
      </c>
      <c r="U287" s="7" t="str">
        <f t="shared" ca="1" si="141"/>
        <v>-</v>
      </c>
      <c r="V287" s="7" t="str">
        <f t="shared" ca="1" si="141"/>
        <v>-</v>
      </c>
      <c r="W287" s="7" t="str">
        <f t="shared" ca="1" si="141"/>
        <v>-</v>
      </c>
      <c r="X287" s="7" t="str">
        <f t="shared" ca="1" si="141"/>
        <v>-</v>
      </c>
      <c r="Y287" s="7" t="str">
        <f t="shared" ca="1" si="141"/>
        <v>-</v>
      </c>
      <c r="Z287" s="7" t="str">
        <f t="shared" ca="1" si="141"/>
        <v>-</v>
      </c>
      <c r="AA287" s="28" t="str">
        <f t="shared" si="125"/>
        <v>AFW</v>
      </c>
      <c r="AB287" s="28"/>
      <c r="AC287" s="12"/>
      <c r="AD287" s="12"/>
    </row>
    <row r="288" spans="1:30" x14ac:dyDescent="0.25">
      <c r="A288" s="5" t="s">
        <v>207</v>
      </c>
      <c r="B288" s="5" t="s">
        <v>49</v>
      </c>
      <c r="C288" s="5" t="s">
        <v>264</v>
      </c>
      <c r="D288" s="6">
        <f t="shared" ref="D288:D351" ca="1" si="142">IFERROR(VLOOKUP($C288,INDIRECT("'"&amp;$AA288&amp;"-"&amp;$C$1&amp;"'!$C:$AH"),D$30,0),0)</f>
        <v>0</v>
      </c>
      <c r="E288" s="6" t="str">
        <f t="shared" ca="1" si="121"/>
        <v>-</v>
      </c>
      <c r="F288" s="6">
        <f t="shared" ca="1" si="137"/>
        <v>23190</v>
      </c>
      <c r="G288" s="6">
        <f t="shared" ca="1" si="137"/>
        <v>0</v>
      </c>
      <c r="H288" s="6" t="str">
        <f t="shared" ca="1" si="122"/>
        <v>-</v>
      </c>
      <c r="I288" s="6">
        <f t="shared" ca="1" si="138"/>
        <v>18713</v>
      </c>
      <c r="J288" s="6">
        <f t="shared" ca="1" si="138"/>
        <v>0</v>
      </c>
      <c r="K288" s="6" t="str">
        <f t="shared" ca="1" si="123"/>
        <v>-</v>
      </c>
      <c r="L288" s="6">
        <f t="shared" ca="1" si="139"/>
        <v>13007.669999999998</v>
      </c>
      <c r="M288" s="6" t="str">
        <f t="shared" ca="1" si="139"/>
        <v>-</v>
      </c>
      <c r="N288" s="6" t="str">
        <f t="shared" ca="1" si="124"/>
        <v>-</v>
      </c>
      <c r="O288" s="6" t="str">
        <f t="shared" ca="1" si="141"/>
        <v>-</v>
      </c>
      <c r="P288" s="6" t="str">
        <f t="shared" ca="1" si="141"/>
        <v>-</v>
      </c>
      <c r="Q288" s="6" t="str">
        <f t="shared" ca="1" si="141"/>
        <v>-</v>
      </c>
      <c r="R288" s="6" t="str">
        <f t="shared" ca="1" si="141"/>
        <v>-</v>
      </c>
      <c r="S288" s="6" t="str">
        <f t="shared" ca="1" si="141"/>
        <v>-</v>
      </c>
      <c r="T288" s="6" t="str">
        <f t="shared" ca="1" si="141"/>
        <v>-</v>
      </c>
      <c r="U288" s="7" t="str">
        <f t="shared" ca="1" si="141"/>
        <v>-</v>
      </c>
      <c r="V288" s="7" t="str">
        <f t="shared" ca="1" si="141"/>
        <v>-</v>
      </c>
      <c r="W288" s="7" t="str">
        <f t="shared" ca="1" si="141"/>
        <v>-</v>
      </c>
      <c r="X288" s="7">
        <f t="shared" ca="1" si="141"/>
        <v>-0.43908279430789143</v>
      </c>
      <c r="Y288" s="7" t="str">
        <f t="shared" ca="1" si="141"/>
        <v>-</v>
      </c>
      <c r="Z288" s="7">
        <f t="shared" ca="1" si="141"/>
        <v>-0.30488590819216599</v>
      </c>
      <c r="AA288" s="28" t="str">
        <f t="shared" si="125"/>
        <v>AFW</v>
      </c>
      <c r="AB288" s="28"/>
      <c r="AC288" s="12"/>
      <c r="AD288" s="12"/>
    </row>
    <row r="289" spans="1:30" x14ac:dyDescent="0.25">
      <c r="A289" s="5" t="s">
        <v>207</v>
      </c>
      <c r="B289" s="5" t="s">
        <v>213</v>
      </c>
      <c r="C289" s="5" t="s">
        <v>239</v>
      </c>
      <c r="D289" s="6">
        <f t="shared" ca="1" si="142"/>
        <v>0</v>
      </c>
      <c r="E289" s="6" t="str">
        <f t="shared" ref="E289:E350" ca="1" si="143">IFERROR(F289/D289,"-")</f>
        <v>-</v>
      </c>
      <c r="F289" s="6">
        <f t="shared" ca="1" si="137"/>
        <v>0</v>
      </c>
      <c r="G289" s="6">
        <f t="shared" ca="1" si="137"/>
        <v>0</v>
      </c>
      <c r="H289" s="6" t="str">
        <f t="shared" ref="H289:H350" ca="1" si="144">IFERROR(I289/G289,"-")</f>
        <v>-</v>
      </c>
      <c r="I289" s="6">
        <f t="shared" ca="1" si="138"/>
        <v>0</v>
      </c>
      <c r="J289" s="6">
        <f t="shared" ca="1" si="138"/>
        <v>43</v>
      </c>
      <c r="K289" s="6">
        <f t="shared" ref="K289:K350" ca="1" si="145">IFERROR(L289/J289,"-")</f>
        <v>464.96813953488368</v>
      </c>
      <c r="L289" s="6">
        <f t="shared" ca="1" si="139"/>
        <v>19993.629999999997</v>
      </c>
      <c r="M289" s="6" t="str">
        <f t="shared" ca="1" si="139"/>
        <v>-</v>
      </c>
      <c r="N289" s="6" t="str">
        <f t="shared" ref="N289:N350" ca="1" si="146">IFERROR(O289/M289,"-")</f>
        <v>-</v>
      </c>
      <c r="O289" s="6" t="str">
        <f t="shared" ca="1" si="141"/>
        <v>-</v>
      </c>
      <c r="P289" s="6" t="str">
        <f t="shared" ca="1" si="141"/>
        <v>-</v>
      </c>
      <c r="Q289" s="6" t="str">
        <f t="shared" ca="1" si="141"/>
        <v>-</v>
      </c>
      <c r="R289" s="6" t="str">
        <f t="shared" ca="1" si="141"/>
        <v>-</v>
      </c>
      <c r="S289" s="6" t="str">
        <f t="shared" ca="1" si="141"/>
        <v>-</v>
      </c>
      <c r="T289" s="6" t="str">
        <f t="shared" ca="1" si="141"/>
        <v>-</v>
      </c>
      <c r="U289" s="7" t="str">
        <f t="shared" ca="1" si="141"/>
        <v>-</v>
      </c>
      <c r="V289" s="7" t="str">
        <f t="shared" ca="1" si="141"/>
        <v>-</v>
      </c>
      <c r="W289" s="7" t="str">
        <f t="shared" ca="1" si="141"/>
        <v>-</v>
      </c>
      <c r="X289" s="7" t="str">
        <f t="shared" ca="1" si="141"/>
        <v>-</v>
      </c>
      <c r="Y289" s="7" t="str">
        <f t="shared" ca="1" si="141"/>
        <v>-</v>
      </c>
      <c r="Z289" s="7" t="str">
        <f t="shared" ca="1" si="141"/>
        <v>-</v>
      </c>
      <c r="AA289" s="28" t="str">
        <f t="shared" ref="AA289:AA350" si="147">VLOOKUP(A289,$AC$96:$AD$104,2,0)</f>
        <v>AFW</v>
      </c>
      <c r="AB289" s="28"/>
      <c r="AC289" s="12"/>
      <c r="AD289" s="12"/>
    </row>
    <row r="290" spans="1:30" x14ac:dyDescent="0.25">
      <c r="A290" s="5" t="s">
        <v>207</v>
      </c>
      <c r="B290" s="5" t="s">
        <v>213</v>
      </c>
      <c r="C290" s="5" t="s">
        <v>59</v>
      </c>
      <c r="D290" s="6">
        <f t="shared" ca="1" si="142"/>
        <v>0</v>
      </c>
      <c r="E290" s="6" t="str">
        <f t="shared" ca="1" si="143"/>
        <v>-</v>
      </c>
      <c r="F290" s="6">
        <f t="shared" ca="1" si="137"/>
        <v>0</v>
      </c>
      <c r="G290" s="6">
        <f t="shared" ca="1" si="137"/>
        <v>0</v>
      </c>
      <c r="H290" s="6" t="str">
        <f t="shared" ca="1" si="144"/>
        <v>-</v>
      </c>
      <c r="I290" s="6">
        <f t="shared" ca="1" si="138"/>
        <v>0</v>
      </c>
      <c r="J290" s="6">
        <f t="shared" ca="1" si="138"/>
        <v>44</v>
      </c>
      <c r="K290" s="6">
        <f t="shared" ca="1" si="145"/>
        <v>470.27931818181821</v>
      </c>
      <c r="L290" s="6">
        <f t="shared" ca="1" si="139"/>
        <v>20692.29</v>
      </c>
      <c r="M290" s="6" t="str">
        <f t="shared" ca="1" si="139"/>
        <v>-</v>
      </c>
      <c r="N290" s="6" t="str">
        <f t="shared" ca="1" si="146"/>
        <v>-</v>
      </c>
      <c r="O290" s="6" t="str">
        <f t="shared" ca="1" si="141"/>
        <v>-</v>
      </c>
      <c r="P290" s="6" t="str">
        <f t="shared" ca="1" si="141"/>
        <v>-</v>
      </c>
      <c r="Q290" s="6" t="str">
        <f t="shared" ca="1" si="141"/>
        <v>-</v>
      </c>
      <c r="R290" s="6" t="str">
        <f t="shared" ca="1" si="141"/>
        <v>-</v>
      </c>
      <c r="S290" s="6" t="str">
        <f t="shared" ca="1" si="141"/>
        <v>-</v>
      </c>
      <c r="T290" s="6" t="str">
        <f t="shared" ca="1" si="141"/>
        <v>-</v>
      </c>
      <c r="U290" s="7" t="str">
        <f t="shared" ca="1" si="141"/>
        <v>-</v>
      </c>
      <c r="V290" s="7" t="str">
        <f t="shared" ca="1" si="141"/>
        <v>-</v>
      </c>
      <c r="W290" s="7" t="str">
        <f t="shared" ca="1" si="141"/>
        <v>-</v>
      </c>
      <c r="X290" s="7" t="str">
        <f t="shared" ca="1" si="141"/>
        <v>-</v>
      </c>
      <c r="Y290" s="7" t="str">
        <f t="shared" ca="1" si="141"/>
        <v>-</v>
      </c>
      <c r="Z290" s="7" t="str">
        <f t="shared" ca="1" si="141"/>
        <v>-</v>
      </c>
      <c r="AA290" s="28" t="str">
        <f t="shared" si="147"/>
        <v>AFW</v>
      </c>
      <c r="AB290" s="28"/>
      <c r="AC290" s="12"/>
      <c r="AD290" s="12"/>
    </row>
    <row r="291" spans="1:30" x14ac:dyDescent="0.25">
      <c r="A291" s="5" t="s">
        <v>207</v>
      </c>
      <c r="B291" s="5" t="s">
        <v>210</v>
      </c>
      <c r="C291" s="5" t="s">
        <v>235</v>
      </c>
      <c r="D291" s="6">
        <f t="shared" ca="1" si="142"/>
        <v>0</v>
      </c>
      <c r="E291" s="6" t="str">
        <f t="shared" ca="1" si="143"/>
        <v>-</v>
      </c>
      <c r="F291" s="6">
        <f t="shared" ca="1" si="137"/>
        <v>0</v>
      </c>
      <c r="G291" s="6">
        <f t="shared" ca="1" si="137"/>
        <v>0</v>
      </c>
      <c r="H291" s="6" t="str">
        <f t="shared" ca="1" si="144"/>
        <v>-</v>
      </c>
      <c r="I291" s="6">
        <f t="shared" ca="1" si="138"/>
        <v>0</v>
      </c>
      <c r="J291" s="6">
        <f t="shared" ca="1" si="138"/>
        <v>13</v>
      </c>
      <c r="K291" s="6">
        <f t="shared" ca="1" si="145"/>
        <v>16.079999999999998</v>
      </c>
      <c r="L291" s="6">
        <f t="shared" ca="1" si="139"/>
        <v>209.04</v>
      </c>
      <c r="M291" s="6" t="str">
        <f t="shared" ca="1" si="139"/>
        <v>-</v>
      </c>
      <c r="N291" s="6" t="str">
        <f t="shared" ca="1" si="146"/>
        <v>-</v>
      </c>
      <c r="O291" s="6" t="str">
        <f t="shared" ca="1" si="141"/>
        <v>-</v>
      </c>
      <c r="P291" s="6" t="str">
        <f t="shared" ca="1" si="141"/>
        <v>-</v>
      </c>
      <c r="Q291" s="6" t="str">
        <f t="shared" ca="1" si="141"/>
        <v>-</v>
      </c>
      <c r="R291" s="6" t="str">
        <f t="shared" ca="1" si="141"/>
        <v>-</v>
      </c>
      <c r="S291" s="6" t="str">
        <f t="shared" ca="1" si="141"/>
        <v>-</v>
      </c>
      <c r="T291" s="6" t="str">
        <f t="shared" ca="1" si="141"/>
        <v>-</v>
      </c>
      <c r="U291" s="7" t="str">
        <f t="shared" ca="1" si="141"/>
        <v>-</v>
      </c>
      <c r="V291" s="7" t="str">
        <f t="shared" ca="1" si="141"/>
        <v>-</v>
      </c>
      <c r="W291" s="7" t="str">
        <f t="shared" ca="1" si="141"/>
        <v>-</v>
      </c>
      <c r="X291" s="7" t="str">
        <f t="shared" ca="1" si="141"/>
        <v>-</v>
      </c>
      <c r="Y291" s="7" t="str">
        <f t="shared" ca="1" si="141"/>
        <v>-</v>
      </c>
      <c r="Z291" s="7" t="str">
        <f t="shared" ca="1" si="141"/>
        <v>-</v>
      </c>
      <c r="AA291" s="28" t="str">
        <f t="shared" si="147"/>
        <v>AFW</v>
      </c>
      <c r="AB291" s="28"/>
      <c r="AC291" s="12"/>
      <c r="AD291" s="12"/>
    </row>
    <row r="292" spans="1:30" x14ac:dyDescent="0.25">
      <c r="A292" s="5" t="s">
        <v>207</v>
      </c>
      <c r="B292" s="5" t="s">
        <v>209</v>
      </c>
      <c r="C292" s="5" t="s">
        <v>233</v>
      </c>
      <c r="D292" s="6">
        <f t="shared" ca="1" si="142"/>
        <v>0</v>
      </c>
      <c r="E292" s="6" t="str">
        <f t="shared" ca="1" si="143"/>
        <v>-</v>
      </c>
      <c r="F292" s="6">
        <f t="shared" ca="1" si="137"/>
        <v>0</v>
      </c>
      <c r="G292" s="6">
        <f t="shared" ca="1" si="137"/>
        <v>0</v>
      </c>
      <c r="H292" s="6" t="str">
        <f t="shared" ca="1" si="144"/>
        <v>-</v>
      </c>
      <c r="I292" s="6">
        <f t="shared" ca="1" si="138"/>
        <v>0</v>
      </c>
      <c r="J292" s="6">
        <f t="shared" ca="1" si="138"/>
        <v>150</v>
      </c>
      <c r="K292" s="6">
        <f t="shared" ca="1" si="145"/>
        <v>284.18746666666664</v>
      </c>
      <c r="L292" s="6">
        <f t="shared" ca="1" si="139"/>
        <v>42628.119999999995</v>
      </c>
      <c r="M292" s="6" t="str">
        <f t="shared" ca="1" si="139"/>
        <v>-</v>
      </c>
      <c r="N292" s="6" t="str">
        <f t="shared" ca="1" si="146"/>
        <v>-</v>
      </c>
      <c r="O292" s="6" t="str">
        <f t="shared" ca="1" si="141"/>
        <v>-</v>
      </c>
      <c r="P292" s="6" t="str">
        <f t="shared" ca="1" si="141"/>
        <v>-</v>
      </c>
      <c r="Q292" s="6" t="str">
        <f t="shared" ca="1" si="141"/>
        <v>-</v>
      </c>
      <c r="R292" s="6" t="str">
        <f t="shared" ca="1" si="141"/>
        <v>-</v>
      </c>
      <c r="S292" s="6" t="str">
        <f t="shared" ca="1" si="141"/>
        <v>-</v>
      </c>
      <c r="T292" s="6" t="str">
        <f t="shared" ca="1" si="141"/>
        <v>-</v>
      </c>
      <c r="U292" s="7" t="str">
        <f t="shared" ca="1" si="141"/>
        <v>-</v>
      </c>
      <c r="V292" s="7" t="str">
        <f t="shared" ca="1" si="141"/>
        <v>-</v>
      </c>
      <c r="W292" s="7" t="str">
        <f t="shared" ca="1" si="141"/>
        <v>-</v>
      </c>
      <c r="X292" s="7" t="str">
        <f t="shared" ca="1" si="141"/>
        <v>-</v>
      </c>
      <c r="Y292" s="7" t="str">
        <f t="shared" ca="1" si="141"/>
        <v>-</v>
      </c>
      <c r="Z292" s="7" t="str">
        <f t="shared" ca="1" si="141"/>
        <v>-</v>
      </c>
      <c r="AA292" s="28" t="str">
        <f t="shared" si="147"/>
        <v>AFW</v>
      </c>
      <c r="AB292" s="28"/>
      <c r="AC292" s="12"/>
      <c r="AD292" s="12"/>
    </row>
    <row r="293" spans="1:30" x14ac:dyDescent="0.25">
      <c r="A293" s="5" t="s">
        <v>208</v>
      </c>
      <c r="B293" s="5" t="s">
        <v>209</v>
      </c>
      <c r="C293" s="5" t="s">
        <v>234</v>
      </c>
      <c r="D293" s="6">
        <f t="shared" ca="1" si="142"/>
        <v>0</v>
      </c>
      <c r="E293" s="6" t="str">
        <f t="shared" ca="1" si="143"/>
        <v>-</v>
      </c>
      <c r="F293" s="6">
        <f t="shared" ca="1" si="137"/>
        <v>0</v>
      </c>
      <c r="G293" s="6">
        <f t="shared" ca="1" si="137"/>
        <v>0</v>
      </c>
      <c r="H293" s="6" t="str">
        <f t="shared" ca="1" si="144"/>
        <v>-</v>
      </c>
      <c r="I293" s="6">
        <f t="shared" ca="1" si="138"/>
        <v>0</v>
      </c>
      <c r="J293" s="6">
        <f t="shared" ca="1" si="138"/>
        <v>38</v>
      </c>
      <c r="K293" s="6">
        <f t="shared" ca="1" si="145"/>
        <v>199.56578947368422</v>
      </c>
      <c r="L293" s="6">
        <f t="shared" ca="1" si="139"/>
        <v>7583.5</v>
      </c>
      <c r="M293" s="6" t="str">
        <f t="shared" ca="1" si="139"/>
        <v>-</v>
      </c>
      <c r="N293" s="6" t="str">
        <f t="shared" ca="1" si="146"/>
        <v>-</v>
      </c>
      <c r="O293" s="6" t="str">
        <f t="shared" ca="1" si="141"/>
        <v>-</v>
      </c>
      <c r="P293" s="6" t="str">
        <f t="shared" ca="1" si="141"/>
        <v>-</v>
      </c>
      <c r="Q293" s="6" t="str">
        <f t="shared" ca="1" si="141"/>
        <v>-</v>
      </c>
      <c r="R293" s="6" t="str">
        <f t="shared" ca="1" si="141"/>
        <v>-</v>
      </c>
      <c r="S293" s="6" t="str">
        <f t="shared" ca="1" si="141"/>
        <v>-</v>
      </c>
      <c r="T293" s="6" t="str">
        <f t="shared" ca="1" si="141"/>
        <v>-</v>
      </c>
      <c r="U293" s="7" t="str">
        <f t="shared" ca="1" si="141"/>
        <v>-</v>
      </c>
      <c r="V293" s="7" t="str">
        <f t="shared" ca="1" si="141"/>
        <v>-</v>
      </c>
      <c r="W293" s="7" t="str">
        <f t="shared" ca="1" si="141"/>
        <v>-</v>
      </c>
      <c r="X293" s="7" t="str">
        <f t="shared" ca="1" si="141"/>
        <v>-</v>
      </c>
      <c r="Y293" s="7" t="str">
        <f t="shared" ca="1" si="141"/>
        <v>-</v>
      </c>
      <c r="Z293" s="7" t="str">
        <f t="shared" ca="1" si="141"/>
        <v>-</v>
      </c>
      <c r="AA293" s="28" t="str">
        <f t="shared" si="147"/>
        <v>AFW</v>
      </c>
      <c r="AB293" s="28"/>
      <c r="AC293" s="12"/>
      <c r="AD293" s="12"/>
    </row>
    <row r="294" spans="1:30" x14ac:dyDescent="0.25">
      <c r="A294" s="5" t="s">
        <v>208</v>
      </c>
      <c r="B294" s="5" t="s">
        <v>44</v>
      </c>
      <c r="C294" s="5" t="s">
        <v>238</v>
      </c>
      <c r="D294" s="6">
        <f t="shared" ca="1" si="142"/>
        <v>0</v>
      </c>
      <c r="E294" s="6" t="str">
        <f t="shared" ca="1" si="143"/>
        <v>-</v>
      </c>
      <c r="F294" s="6">
        <f t="shared" ca="1" si="137"/>
        <v>0</v>
      </c>
      <c r="G294" s="6">
        <f t="shared" ca="1" si="137"/>
        <v>0</v>
      </c>
      <c r="H294" s="6" t="str">
        <f t="shared" ca="1" si="144"/>
        <v>-</v>
      </c>
      <c r="I294" s="6">
        <f t="shared" ca="1" si="138"/>
        <v>0</v>
      </c>
      <c r="J294" s="6">
        <f t="shared" ca="1" si="138"/>
        <v>8</v>
      </c>
      <c r="K294" s="6">
        <f t="shared" ca="1" si="145"/>
        <v>445.28750000000002</v>
      </c>
      <c r="L294" s="6">
        <f t="shared" ca="1" si="139"/>
        <v>3562.3</v>
      </c>
      <c r="M294" s="6" t="str">
        <f t="shared" ca="1" si="139"/>
        <v>-</v>
      </c>
      <c r="N294" s="6" t="str">
        <f t="shared" ca="1" si="146"/>
        <v>-</v>
      </c>
      <c r="O294" s="6" t="str">
        <f t="shared" ca="1" si="141"/>
        <v>-</v>
      </c>
      <c r="P294" s="6" t="str">
        <f t="shared" ca="1" si="141"/>
        <v>-</v>
      </c>
      <c r="Q294" s="6" t="str">
        <f t="shared" ca="1" si="141"/>
        <v>-</v>
      </c>
      <c r="R294" s="6" t="str">
        <f t="shared" ca="1" si="141"/>
        <v>-</v>
      </c>
      <c r="S294" s="6" t="str">
        <f t="shared" ca="1" si="141"/>
        <v>-</v>
      </c>
      <c r="T294" s="6" t="str">
        <f t="shared" ca="1" si="141"/>
        <v>-</v>
      </c>
      <c r="U294" s="7" t="str">
        <f t="shared" ca="1" si="141"/>
        <v>-</v>
      </c>
      <c r="V294" s="7" t="str">
        <f t="shared" ca="1" si="141"/>
        <v>-</v>
      </c>
      <c r="W294" s="7" t="str">
        <f t="shared" ca="1" si="141"/>
        <v>-</v>
      </c>
      <c r="X294" s="7" t="str">
        <f t="shared" ca="1" si="141"/>
        <v>-</v>
      </c>
      <c r="Y294" s="7" t="str">
        <f t="shared" ca="1" si="141"/>
        <v>-</v>
      </c>
      <c r="Z294" s="7" t="str">
        <f t="shared" ca="1" si="141"/>
        <v>-</v>
      </c>
      <c r="AA294" s="28" t="str">
        <f t="shared" si="147"/>
        <v>AFW</v>
      </c>
      <c r="AB294" s="28"/>
      <c r="AC294" s="12"/>
      <c r="AD294" s="12"/>
    </row>
    <row r="295" spans="1:30" x14ac:dyDescent="0.25">
      <c r="A295" s="5" t="s">
        <v>207</v>
      </c>
      <c r="B295" s="5" t="s">
        <v>213</v>
      </c>
      <c r="C295" s="5" t="s">
        <v>232</v>
      </c>
      <c r="D295" s="6">
        <f t="shared" ca="1" si="142"/>
        <v>0</v>
      </c>
      <c r="E295" s="6" t="str">
        <f t="shared" ca="1" si="143"/>
        <v>-</v>
      </c>
      <c r="F295" s="6">
        <f t="shared" ca="1" si="137"/>
        <v>0</v>
      </c>
      <c r="G295" s="6">
        <f t="shared" ca="1" si="137"/>
        <v>0</v>
      </c>
      <c r="H295" s="6" t="str">
        <f t="shared" ca="1" si="144"/>
        <v>-</v>
      </c>
      <c r="I295" s="6">
        <f t="shared" ca="1" si="138"/>
        <v>0</v>
      </c>
      <c r="J295" s="6">
        <f t="shared" ca="1" si="138"/>
        <v>2</v>
      </c>
      <c r="K295" s="6">
        <f t="shared" ca="1" si="145"/>
        <v>6.45</v>
      </c>
      <c r="L295" s="6">
        <f t="shared" ca="1" si="139"/>
        <v>12.9</v>
      </c>
      <c r="M295" s="6" t="str">
        <f t="shared" ca="1" si="139"/>
        <v>-</v>
      </c>
      <c r="N295" s="6" t="str">
        <f t="shared" ca="1" si="146"/>
        <v>-</v>
      </c>
      <c r="O295" s="6" t="str">
        <f t="shared" ca="1" si="141"/>
        <v>-</v>
      </c>
      <c r="P295" s="6" t="str">
        <f t="shared" ca="1" si="141"/>
        <v>-</v>
      </c>
      <c r="Q295" s="6" t="str">
        <f t="shared" ca="1" si="141"/>
        <v>-</v>
      </c>
      <c r="R295" s="6" t="str">
        <f t="shared" ca="1" si="141"/>
        <v>-</v>
      </c>
      <c r="S295" s="6" t="str">
        <f t="shared" ca="1" si="141"/>
        <v>-</v>
      </c>
      <c r="T295" s="6" t="str">
        <f t="shared" ca="1" si="141"/>
        <v>-</v>
      </c>
      <c r="U295" s="7" t="str">
        <f t="shared" ca="1" si="141"/>
        <v>-</v>
      </c>
      <c r="V295" s="7" t="str">
        <f t="shared" ca="1" si="141"/>
        <v>-</v>
      </c>
      <c r="W295" s="7" t="str">
        <f t="shared" ca="1" si="141"/>
        <v>-</v>
      </c>
      <c r="X295" s="7" t="str">
        <f t="shared" ca="1" si="141"/>
        <v>-</v>
      </c>
      <c r="Y295" s="7" t="str">
        <f t="shared" ca="1" si="141"/>
        <v>-</v>
      </c>
      <c r="Z295" s="7" t="str">
        <f t="shared" ca="1" si="141"/>
        <v>-</v>
      </c>
      <c r="AA295" s="28" t="str">
        <f t="shared" si="147"/>
        <v>AFW</v>
      </c>
      <c r="AB295" s="28"/>
      <c r="AC295" s="12"/>
      <c r="AD295" s="12"/>
    </row>
    <row r="296" spans="1:30" x14ac:dyDescent="0.25">
      <c r="A296" s="5" t="s">
        <v>207</v>
      </c>
      <c r="B296" s="5" t="s">
        <v>39</v>
      </c>
      <c r="C296" s="5" t="s">
        <v>243</v>
      </c>
      <c r="D296" s="6">
        <f t="shared" ca="1" si="142"/>
        <v>6</v>
      </c>
      <c r="E296" s="6">
        <f t="shared" ca="1" si="143"/>
        <v>121</v>
      </c>
      <c r="F296" s="6">
        <f t="shared" ref="F296:G315" ca="1" si="148">IFERROR(VLOOKUP($C296,INDIRECT("'"&amp;$AA296&amp;"-"&amp;$C$1&amp;"'!$C:$AH"),F$30,0),0)</f>
        <v>726</v>
      </c>
      <c r="G296" s="6">
        <f t="shared" ca="1" si="148"/>
        <v>17</v>
      </c>
      <c r="H296" s="6">
        <f t="shared" ca="1" si="144"/>
        <v>190</v>
      </c>
      <c r="I296" s="6">
        <f t="shared" ref="I296:J315" ca="1" si="149">IFERROR(VLOOKUP($C296,INDIRECT("'"&amp;$AA296&amp;"-"&amp;$C$1&amp;"'!$C:$AH"),I$30,0),0)</f>
        <v>3230</v>
      </c>
      <c r="J296" s="6">
        <f t="shared" ca="1" si="149"/>
        <v>0</v>
      </c>
      <c r="K296" s="6" t="str">
        <f t="shared" ca="1" si="145"/>
        <v>-</v>
      </c>
      <c r="L296" s="6">
        <f t="shared" ref="L296:M315" ca="1" si="150">IFERROR(VLOOKUP($C296,INDIRECT("'"&amp;$AA296&amp;"-"&amp;$C$1&amp;"'!$C:$AH"),L$30,0),0)</f>
        <v>599</v>
      </c>
      <c r="M296" s="6" t="str">
        <f t="shared" ca="1" si="150"/>
        <v>-</v>
      </c>
      <c r="N296" s="6" t="str">
        <f t="shared" ca="1" si="146"/>
        <v>-</v>
      </c>
      <c r="O296" s="6" t="str">
        <f t="shared" ref="O296:Z305" ca="1" si="151">IFERROR(VLOOKUP($C296,INDIRECT("'"&amp;$AA296&amp;"-"&amp;$C$1&amp;"'!$C:$AH"),O$30,0),0)</f>
        <v>-</v>
      </c>
      <c r="P296" s="6" t="str">
        <f t="shared" ca="1" si="151"/>
        <v>-</v>
      </c>
      <c r="Q296" s="6" t="str">
        <f t="shared" ca="1" si="151"/>
        <v>-</v>
      </c>
      <c r="R296" s="6" t="str">
        <f t="shared" ca="1" si="151"/>
        <v>-</v>
      </c>
      <c r="S296" s="6" t="str">
        <f t="shared" ca="1" si="151"/>
        <v>-</v>
      </c>
      <c r="T296" s="6" t="str">
        <f t="shared" ca="1" si="151"/>
        <v>-</v>
      </c>
      <c r="U296" s="7" t="str">
        <f t="shared" ca="1" si="151"/>
        <v>-</v>
      </c>
      <c r="V296" s="7" t="str">
        <f t="shared" ca="1" si="151"/>
        <v>-</v>
      </c>
      <c r="W296" s="7">
        <f t="shared" ca="1" si="151"/>
        <v>-1</v>
      </c>
      <c r="X296" s="7">
        <f t="shared" ca="1" si="151"/>
        <v>-0.17493112947658401</v>
      </c>
      <c r="Y296" s="7">
        <f t="shared" ca="1" si="151"/>
        <v>-1</v>
      </c>
      <c r="Z296" s="7">
        <f t="shared" ca="1" si="151"/>
        <v>-0.81455108359133122</v>
      </c>
      <c r="AA296" s="28" t="str">
        <f t="shared" si="147"/>
        <v>AFW</v>
      </c>
      <c r="AB296" s="28"/>
      <c r="AC296" s="12"/>
      <c r="AD296" s="12"/>
    </row>
    <row r="297" spans="1:30" x14ac:dyDescent="0.25">
      <c r="A297" s="5" t="s">
        <v>208</v>
      </c>
      <c r="B297" s="5" t="s">
        <v>222</v>
      </c>
      <c r="C297" s="5" t="s">
        <v>247</v>
      </c>
      <c r="D297" s="6">
        <f t="shared" ca="1" si="142"/>
        <v>0</v>
      </c>
      <c r="E297" s="6" t="str">
        <f t="shared" ca="1" si="143"/>
        <v>-</v>
      </c>
      <c r="F297" s="6">
        <f t="shared" ca="1" si="148"/>
        <v>0</v>
      </c>
      <c r="G297" s="6">
        <f t="shared" ca="1" si="148"/>
        <v>0</v>
      </c>
      <c r="H297" s="6" t="str">
        <f t="shared" ca="1" si="144"/>
        <v>-</v>
      </c>
      <c r="I297" s="6">
        <f t="shared" ca="1" si="149"/>
        <v>0</v>
      </c>
      <c r="J297" s="6">
        <f t="shared" ca="1" si="149"/>
        <v>29</v>
      </c>
      <c r="K297" s="6">
        <f t="shared" ca="1" si="145"/>
        <v>87.241379310344826</v>
      </c>
      <c r="L297" s="6">
        <f t="shared" ca="1" si="150"/>
        <v>2530</v>
      </c>
      <c r="M297" s="6" t="str">
        <f t="shared" ca="1" si="150"/>
        <v>-</v>
      </c>
      <c r="N297" s="6" t="str">
        <f t="shared" ca="1" si="146"/>
        <v>-</v>
      </c>
      <c r="O297" s="6" t="str">
        <f t="shared" ca="1" si="151"/>
        <v>-</v>
      </c>
      <c r="P297" s="6" t="str">
        <f t="shared" ca="1" si="151"/>
        <v>-</v>
      </c>
      <c r="Q297" s="6" t="str">
        <f t="shared" ca="1" si="151"/>
        <v>-</v>
      </c>
      <c r="R297" s="6" t="str">
        <f t="shared" ca="1" si="151"/>
        <v>-</v>
      </c>
      <c r="S297" s="6" t="str">
        <f t="shared" ca="1" si="151"/>
        <v>-</v>
      </c>
      <c r="T297" s="6" t="str">
        <f t="shared" ca="1" si="151"/>
        <v>-</v>
      </c>
      <c r="U297" s="7" t="str">
        <f t="shared" ca="1" si="151"/>
        <v>-</v>
      </c>
      <c r="V297" s="7" t="str">
        <f t="shared" ca="1" si="151"/>
        <v>-</v>
      </c>
      <c r="W297" s="7" t="str">
        <f t="shared" ca="1" si="151"/>
        <v>-</v>
      </c>
      <c r="X297" s="7" t="str">
        <f t="shared" ca="1" si="151"/>
        <v>-</v>
      </c>
      <c r="Y297" s="7" t="str">
        <f t="shared" ca="1" si="151"/>
        <v>-</v>
      </c>
      <c r="Z297" s="7" t="str">
        <f t="shared" ca="1" si="151"/>
        <v>-</v>
      </c>
      <c r="AA297" s="28" t="str">
        <f t="shared" si="147"/>
        <v>AFW</v>
      </c>
      <c r="AB297" s="28"/>
      <c r="AC297" s="12"/>
      <c r="AD297" s="12"/>
    </row>
    <row r="298" spans="1:30" x14ac:dyDescent="0.25">
      <c r="A298" s="5" t="s">
        <v>208</v>
      </c>
      <c r="B298" s="5" t="s">
        <v>210</v>
      </c>
      <c r="C298" s="5" t="s">
        <v>225</v>
      </c>
      <c r="D298" s="6">
        <f t="shared" ca="1" si="142"/>
        <v>0</v>
      </c>
      <c r="E298" s="6" t="str">
        <f t="shared" ca="1" si="143"/>
        <v>-</v>
      </c>
      <c r="F298" s="6">
        <f t="shared" ca="1" si="148"/>
        <v>0</v>
      </c>
      <c r="G298" s="6">
        <f t="shared" ca="1" si="148"/>
        <v>0</v>
      </c>
      <c r="H298" s="6" t="str">
        <f t="shared" ca="1" si="144"/>
        <v>-</v>
      </c>
      <c r="I298" s="6">
        <f t="shared" ca="1" si="149"/>
        <v>0</v>
      </c>
      <c r="J298" s="6">
        <f t="shared" ca="1" si="149"/>
        <v>11</v>
      </c>
      <c r="K298" s="6">
        <f t="shared" ca="1" si="145"/>
        <v>111.36363636363636</v>
      </c>
      <c r="L298" s="6">
        <f t="shared" ca="1" si="150"/>
        <v>1225</v>
      </c>
      <c r="M298" s="6" t="str">
        <f t="shared" ca="1" si="150"/>
        <v>-</v>
      </c>
      <c r="N298" s="6" t="str">
        <f t="shared" ca="1" si="146"/>
        <v>-</v>
      </c>
      <c r="O298" s="6" t="str">
        <f t="shared" ca="1" si="151"/>
        <v>-</v>
      </c>
      <c r="P298" s="6" t="str">
        <f t="shared" ca="1" si="151"/>
        <v>-</v>
      </c>
      <c r="Q298" s="6" t="str">
        <f t="shared" ca="1" si="151"/>
        <v>-</v>
      </c>
      <c r="R298" s="6" t="str">
        <f t="shared" ca="1" si="151"/>
        <v>-</v>
      </c>
      <c r="S298" s="6" t="str">
        <f t="shared" ca="1" si="151"/>
        <v>-</v>
      </c>
      <c r="T298" s="6" t="str">
        <f t="shared" ca="1" si="151"/>
        <v>-</v>
      </c>
      <c r="U298" s="7" t="str">
        <f t="shared" ca="1" si="151"/>
        <v>-</v>
      </c>
      <c r="V298" s="7" t="str">
        <f t="shared" ca="1" si="151"/>
        <v>-</v>
      </c>
      <c r="W298" s="7" t="str">
        <f t="shared" ca="1" si="151"/>
        <v>-</v>
      </c>
      <c r="X298" s="7" t="str">
        <f t="shared" ca="1" si="151"/>
        <v>-</v>
      </c>
      <c r="Y298" s="7" t="str">
        <f t="shared" ca="1" si="151"/>
        <v>-</v>
      </c>
      <c r="Z298" s="7" t="str">
        <f t="shared" ca="1" si="151"/>
        <v>-</v>
      </c>
      <c r="AA298" s="28" t="str">
        <f t="shared" si="147"/>
        <v>AFW</v>
      </c>
      <c r="AB298" s="28"/>
      <c r="AC298" s="12"/>
      <c r="AD298" s="12"/>
    </row>
    <row r="299" spans="1:30" x14ac:dyDescent="0.25">
      <c r="A299" s="5" t="s">
        <v>207</v>
      </c>
      <c r="B299" s="5" t="s">
        <v>221</v>
      </c>
      <c r="C299" s="5" t="s">
        <v>250</v>
      </c>
      <c r="D299" s="6">
        <f t="shared" ca="1" si="142"/>
        <v>0</v>
      </c>
      <c r="E299" s="6" t="str">
        <f t="shared" ca="1" si="143"/>
        <v>-</v>
      </c>
      <c r="F299" s="6">
        <f t="shared" ca="1" si="148"/>
        <v>0</v>
      </c>
      <c r="G299" s="6">
        <f t="shared" ca="1" si="148"/>
        <v>0</v>
      </c>
      <c r="H299" s="6" t="str">
        <f t="shared" ca="1" si="144"/>
        <v>-</v>
      </c>
      <c r="I299" s="6">
        <f t="shared" ca="1" si="149"/>
        <v>0</v>
      </c>
      <c r="J299" s="6">
        <f t="shared" ca="1" si="149"/>
        <v>6</v>
      </c>
      <c r="K299" s="6">
        <f t="shared" ca="1" si="145"/>
        <v>147.08333333333334</v>
      </c>
      <c r="L299" s="6">
        <f t="shared" ca="1" si="150"/>
        <v>882.5</v>
      </c>
      <c r="M299" s="6" t="str">
        <f t="shared" ca="1" si="150"/>
        <v>-</v>
      </c>
      <c r="N299" s="6" t="str">
        <f t="shared" ca="1" si="146"/>
        <v>-</v>
      </c>
      <c r="O299" s="6" t="str">
        <f t="shared" ca="1" si="151"/>
        <v>-</v>
      </c>
      <c r="P299" s="6" t="str">
        <f t="shared" ca="1" si="151"/>
        <v>-</v>
      </c>
      <c r="Q299" s="6" t="str">
        <f t="shared" ca="1" si="151"/>
        <v>-</v>
      </c>
      <c r="R299" s="6" t="str">
        <f t="shared" ca="1" si="151"/>
        <v>-</v>
      </c>
      <c r="S299" s="6" t="str">
        <f t="shared" ca="1" si="151"/>
        <v>-</v>
      </c>
      <c r="T299" s="6" t="str">
        <f t="shared" ca="1" si="151"/>
        <v>-</v>
      </c>
      <c r="U299" s="7" t="str">
        <f t="shared" ca="1" si="151"/>
        <v>-</v>
      </c>
      <c r="V299" s="7" t="str">
        <f t="shared" ca="1" si="151"/>
        <v>-</v>
      </c>
      <c r="W299" s="7" t="str">
        <f t="shared" ca="1" si="151"/>
        <v>-</v>
      </c>
      <c r="X299" s="7" t="str">
        <f t="shared" ca="1" si="151"/>
        <v>-</v>
      </c>
      <c r="Y299" s="7" t="str">
        <f t="shared" ca="1" si="151"/>
        <v>-</v>
      </c>
      <c r="Z299" s="7" t="str">
        <f t="shared" ca="1" si="151"/>
        <v>-</v>
      </c>
      <c r="AA299" s="28" t="str">
        <f t="shared" si="147"/>
        <v>AFW</v>
      </c>
      <c r="AB299" s="28"/>
      <c r="AC299" s="12"/>
      <c r="AD299" s="12"/>
    </row>
    <row r="300" spans="1:30" x14ac:dyDescent="0.25">
      <c r="A300" s="5" t="s">
        <v>207</v>
      </c>
      <c r="B300" s="5" t="s">
        <v>154</v>
      </c>
      <c r="C300" s="5" t="s">
        <v>263</v>
      </c>
      <c r="D300" s="6">
        <f t="shared" ca="1" si="142"/>
        <v>0</v>
      </c>
      <c r="E300" s="6" t="str">
        <f t="shared" ca="1" si="143"/>
        <v>-</v>
      </c>
      <c r="F300" s="6">
        <f t="shared" ca="1" si="148"/>
        <v>0</v>
      </c>
      <c r="G300" s="6">
        <f t="shared" ca="1" si="148"/>
        <v>0</v>
      </c>
      <c r="H300" s="6" t="str">
        <f t="shared" ca="1" si="144"/>
        <v>-</v>
      </c>
      <c r="I300" s="6">
        <f t="shared" ca="1" si="149"/>
        <v>0</v>
      </c>
      <c r="J300" s="6">
        <f t="shared" ca="1" si="149"/>
        <v>2</v>
      </c>
      <c r="K300" s="6">
        <f t="shared" ca="1" si="145"/>
        <v>43.225000000000001</v>
      </c>
      <c r="L300" s="6">
        <f t="shared" ca="1" si="150"/>
        <v>86.45</v>
      </c>
      <c r="M300" s="6" t="str">
        <f t="shared" ca="1" si="150"/>
        <v>-</v>
      </c>
      <c r="N300" s="6" t="str">
        <f t="shared" ca="1" si="146"/>
        <v>-</v>
      </c>
      <c r="O300" s="6" t="str">
        <f t="shared" ca="1" si="151"/>
        <v>-</v>
      </c>
      <c r="P300" s="6" t="str">
        <f t="shared" ca="1" si="151"/>
        <v>-</v>
      </c>
      <c r="Q300" s="6" t="str">
        <f t="shared" ca="1" si="151"/>
        <v>-</v>
      </c>
      <c r="R300" s="6" t="str">
        <f t="shared" ca="1" si="151"/>
        <v>-</v>
      </c>
      <c r="S300" s="6" t="str">
        <f t="shared" ca="1" si="151"/>
        <v>-</v>
      </c>
      <c r="T300" s="6" t="str">
        <f t="shared" ca="1" si="151"/>
        <v>-</v>
      </c>
      <c r="U300" s="7" t="str">
        <f t="shared" ca="1" si="151"/>
        <v>-</v>
      </c>
      <c r="V300" s="7" t="str">
        <f t="shared" ca="1" si="151"/>
        <v>-</v>
      </c>
      <c r="W300" s="7" t="str">
        <f t="shared" ca="1" si="151"/>
        <v>-</v>
      </c>
      <c r="X300" s="7" t="str">
        <f t="shared" ca="1" si="151"/>
        <v>-</v>
      </c>
      <c r="Y300" s="7" t="str">
        <f t="shared" ca="1" si="151"/>
        <v>-</v>
      </c>
      <c r="Z300" s="7" t="str">
        <f t="shared" ca="1" si="151"/>
        <v>-</v>
      </c>
      <c r="AA300" s="28" t="str">
        <f t="shared" si="147"/>
        <v>AFW</v>
      </c>
      <c r="AB300" s="28"/>
      <c r="AC300" s="12"/>
      <c r="AD300" s="12"/>
    </row>
    <row r="301" spans="1:30" x14ac:dyDescent="0.25">
      <c r="A301" s="5" t="s">
        <v>207</v>
      </c>
      <c r="B301" s="5" t="s">
        <v>47</v>
      </c>
      <c r="C301" s="5" t="s">
        <v>270</v>
      </c>
      <c r="D301" s="6">
        <f t="shared" ca="1" si="142"/>
        <v>0</v>
      </c>
      <c r="E301" s="6" t="str">
        <f t="shared" ca="1" si="143"/>
        <v>-</v>
      </c>
      <c r="F301" s="6">
        <f t="shared" ca="1" si="148"/>
        <v>0</v>
      </c>
      <c r="G301" s="6">
        <f t="shared" ca="1" si="148"/>
        <v>0</v>
      </c>
      <c r="H301" s="6" t="str">
        <f t="shared" ca="1" si="144"/>
        <v>-</v>
      </c>
      <c r="I301" s="6">
        <f t="shared" ca="1" si="149"/>
        <v>0</v>
      </c>
      <c r="J301" s="6">
        <f t="shared" ca="1" si="149"/>
        <v>3</v>
      </c>
      <c r="K301" s="6">
        <f t="shared" ca="1" si="145"/>
        <v>103.33333333333333</v>
      </c>
      <c r="L301" s="6">
        <f t="shared" ca="1" si="150"/>
        <v>310</v>
      </c>
      <c r="M301" s="6" t="str">
        <f t="shared" ca="1" si="150"/>
        <v>-</v>
      </c>
      <c r="N301" s="6" t="str">
        <f t="shared" ca="1" si="146"/>
        <v>-</v>
      </c>
      <c r="O301" s="6" t="str">
        <f t="shared" ca="1" si="151"/>
        <v>-</v>
      </c>
      <c r="P301" s="6" t="str">
        <f t="shared" ca="1" si="151"/>
        <v>-</v>
      </c>
      <c r="Q301" s="6" t="str">
        <f t="shared" ca="1" si="151"/>
        <v>-</v>
      </c>
      <c r="R301" s="6" t="str">
        <f t="shared" ca="1" si="151"/>
        <v>-</v>
      </c>
      <c r="S301" s="6" t="str">
        <f t="shared" ca="1" si="151"/>
        <v>-</v>
      </c>
      <c r="T301" s="6" t="str">
        <f t="shared" ca="1" si="151"/>
        <v>-</v>
      </c>
      <c r="U301" s="7" t="str">
        <f t="shared" ca="1" si="151"/>
        <v>-</v>
      </c>
      <c r="V301" s="7" t="str">
        <f t="shared" ca="1" si="151"/>
        <v>-</v>
      </c>
      <c r="W301" s="7" t="str">
        <f t="shared" ca="1" si="151"/>
        <v>-</v>
      </c>
      <c r="X301" s="7" t="str">
        <f t="shared" ca="1" si="151"/>
        <v>-</v>
      </c>
      <c r="Y301" s="7" t="str">
        <f t="shared" ca="1" si="151"/>
        <v>-</v>
      </c>
      <c r="Z301" s="7" t="str">
        <f t="shared" ca="1" si="151"/>
        <v>-</v>
      </c>
      <c r="AA301" s="28" t="str">
        <f t="shared" si="147"/>
        <v>AFW</v>
      </c>
      <c r="AB301" s="28"/>
      <c r="AC301" s="12"/>
      <c r="AD301" s="12"/>
    </row>
    <row r="302" spans="1:30" x14ac:dyDescent="0.25">
      <c r="A302" s="5" t="s">
        <v>207</v>
      </c>
      <c r="B302" s="5" t="s">
        <v>47</v>
      </c>
      <c r="C302" s="5" t="s">
        <v>105</v>
      </c>
      <c r="D302" s="6">
        <f t="shared" ca="1" si="142"/>
        <v>0</v>
      </c>
      <c r="E302" s="6" t="str">
        <f t="shared" ca="1" si="143"/>
        <v>-</v>
      </c>
      <c r="F302" s="6">
        <f t="shared" ca="1" si="148"/>
        <v>0</v>
      </c>
      <c r="G302" s="6">
        <f t="shared" ca="1" si="148"/>
        <v>0</v>
      </c>
      <c r="H302" s="6" t="str">
        <f t="shared" ca="1" si="144"/>
        <v>-</v>
      </c>
      <c r="I302" s="6">
        <f t="shared" ca="1" si="149"/>
        <v>0</v>
      </c>
      <c r="J302" s="6">
        <f t="shared" ca="1" si="149"/>
        <v>40</v>
      </c>
      <c r="K302" s="6">
        <f t="shared" ca="1" si="145"/>
        <v>130.01500000000001</v>
      </c>
      <c r="L302" s="6">
        <f t="shared" ca="1" si="150"/>
        <v>5200.6000000000004</v>
      </c>
      <c r="M302" s="6" t="str">
        <f t="shared" ca="1" si="150"/>
        <v>-</v>
      </c>
      <c r="N302" s="6" t="str">
        <f t="shared" ca="1" si="146"/>
        <v>-</v>
      </c>
      <c r="O302" s="6" t="str">
        <f t="shared" ca="1" si="151"/>
        <v>-</v>
      </c>
      <c r="P302" s="6" t="str">
        <f t="shared" ca="1" si="151"/>
        <v>-</v>
      </c>
      <c r="Q302" s="6" t="str">
        <f t="shared" ca="1" si="151"/>
        <v>-</v>
      </c>
      <c r="R302" s="6" t="str">
        <f t="shared" ca="1" si="151"/>
        <v>-</v>
      </c>
      <c r="S302" s="6" t="str">
        <f t="shared" ca="1" si="151"/>
        <v>-</v>
      </c>
      <c r="T302" s="6" t="str">
        <f t="shared" ca="1" si="151"/>
        <v>-</v>
      </c>
      <c r="U302" s="7" t="str">
        <f t="shared" ca="1" si="151"/>
        <v>-</v>
      </c>
      <c r="V302" s="7" t="str">
        <f t="shared" ca="1" si="151"/>
        <v>-</v>
      </c>
      <c r="W302" s="7" t="str">
        <f t="shared" ca="1" si="151"/>
        <v>-</v>
      </c>
      <c r="X302" s="7" t="str">
        <f t="shared" ca="1" si="151"/>
        <v>-</v>
      </c>
      <c r="Y302" s="7" t="str">
        <f t="shared" ca="1" si="151"/>
        <v>-</v>
      </c>
      <c r="Z302" s="7" t="str">
        <f t="shared" ca="1" si="151"/>
        <v>-</v>
      </c>
      <c r="AA302" s="28" t="str">
        <f t="shared" si="147"/>
        <v>AFW</v>
      </c>
      <c r="AB302" s="28"/>
      <c r="AC302" s="12"/>
      <c r="AD302" s="12"/>
    </row>
    <row r="303" spans="1:30" x14ac:dyDescent="0.25">
      <c r="A303" s="5" t="s">
        <v>208</v>
      </c>
      <c r="B303" s="5" t="s">
        <v>45</v>
      </c>
      <c r="C303" s="5" t="s">
        <v>718</v>
      </c>
      <c r="D303" s="6">
        <f t="shared" ca="1" si="142"/>
        <v>0</v>
      </c>
      <c r="E303" s="6" t="str">
        <f t="shared" ca="1" si="143"/>
        <v>-</v>
      </c>
      <c r="F303" s="6">
        <f t="shared" ca="1" si="148"/>
        <v>0</v>
      </c>
      <c r="G303" s="6">
        <f t="shared" ca="1" si="148"/>
        <v>0</v>
      </c>
      <c r="H303" s="6" t="str">
        <f t="shared" ca="1" si="144"/>
        <v>-</v>
      </c>
      <c r="I303" s="6">
        <f t="shared" ca="1" si="149"/>
        <v>0</v>
      </c>
      <c r="J303" s="6">
        <f t="shared" ca="1" si="149"/>
        <v>4</v>
      </c>
      <c r="K303" s="6">
        <f t="shared" ca="1" si="145"/>
        <v>318.17</v>
      </c>
      <c r="L303" s="6">
        <f t="shared" ca="1" si="150"/>
        <v>1272.68</v>
      </c>
      <c r="M303" s="6" t="str">
        <f t="shared" ca="1" si="150"/>
        <v>-</v>
      </c>
      <c r="N303" s="6" t="str">
        <f t="shared" ca="1" si="146"/>
        <v>-</v>
      </c>
      <c r="O303" s="6" t="str">
        <f t="shared" ca="1" si="151"/>
        <v>-</v>
      </c>
      <c r="P303" s="6" t="str">
        <f t="shared" ca="1" si="151"/>
        <v>-</v>
      </c>
      <c r="Q303" s="6" t="str">
        <f t="shared" ca="1" si="151"/>
        <v>-</v>
      </c>
      <c r="R303" s="6" t="str">
        <f t="shared" ca="1" si="151"/>
        <v>-</v>
      </c>
      <c r="S303" s="6" t="str">
        <f t="shared" ca="1" si="151"/>
        <v>-</v>
      </c>
      <c r="T303" s="6" t="str">
        <f t="shared" ca="1" si="151"/>
        <v>-</v>
      </c>
      <c r="U303" s="7" t="str">
        <f t="shared" ca="1" si="151"/>
        <v>-</v>
      </c>
      <c r="V303" s="7" t="str">
        <f t="shared" ca="1" si="151"/>
        <v>-</v>
      </c>
      <c r="W303" s="7" t="str">
        <f t="shared" ca="1" si="151"/>
        <v>-</v>
      </c>
      <c r="X303" s="7" t="str">
        <f t="shared" ca="1" si="151"/>
        <v>-</v>
      </c>
      <c r="Y303" s="7" t="str">
        <f t="shared" ca="1" si="151"/>
        <v>-</v>
      </c>
      <c r="Z303" s="7" t="str">
        <f t="shared" ca="1" si="151"/>
        <v>-</v>
      </c>
      <c r="AA303" s="28" t="str">
        <f t="shared" si="147"/>
        <v>AFW</v>
      </c>
      <c r="AB303" s="28"/>
      <c r="AC303" s="12"/>
      <c r="AD303" s="12"/>
    </row>
    <row r="304" spans="1:30" x14ac:dyDescent="0.25">
      <c r="A304" s="5" t="s">
        <v>208</v>
      </c>
      <c r="B304" s="5" t="s">
        <v>210</v>
      </c>
      <c r="C304" s="5" t="s">
        <v>342</v>
      </c>
      <c r="D304" s="6">
        <f t="shared" ca="1" si="142"/>
        <v>0</v>
      </c>
      <c r="E304" s="6" t="str">
        <f t="shared" ca="1" si="143"/>
        <v>-</v>
      </c>
      <c r="F304" s="6">
        <f t="shared" ca="1" si="148"/>
        <v>0</v>
      </c>
      <c r="G304" s="6">
        <f t="shared" ca="1" si="148"/>
        <v>0</v>
      </c>
      <c r="H304" s="6" t="str">
        <f t="shared" ca="1" si="144"/>
        <v>-</v>
      </c>
      <c r="I304" s="6">
        <f t="shared" ca="1" si="149"/>
        <v>0</v>
      </c>
      <c r="J304" s="6">
        <f t="shared" ca="1" si="149"/>
        <v>6</v>
      </c>
      <c r="K304" s="6">
        <f t="shared" ca="1" si="145"/>
        <v>144.66666666666666</v>
      </c>
      <c r="L304" s="6">
        <f t="shared" ca="1" si="150"/>
        <v>868</v>
      </c>
      <c r="M304" s="6" t="str">
        <f t="shared" ca="1" si="150"/>
        <v>-</v>
      </c>
      <c r="N304" s="6" t="str">
        <f t="shared" ca="1" si="146"/>
        <v>-</v>
      </c>
      <c r="O304" s="6" t="str">
        <f t="shared" ca="1" si="151"/>
        <v>-</v>
      </c>
      <c r="P304" s="6" t="str">
        <f t="shared" ca="1" si="151"/>
        <v>-</v>
      </c>
      <c r="Q304" s="6" t="str">
        <f t="shared" ca="1" si="151"/>
        <v>-</v>
      </c>
      <c r="R304" s="6" t="str">
        <f t="shared" ca="1" si="151"/>
        <v>-</v>
      </c>
      <c r="S304" s="6" t="str">
        <f t="shared" ca="1" si="151"/>
        <v>-</v>
      </c>
      <c r="T304" s="6" t="str">
        <f t="shared" ca="1" si="151"/>
        <v>-</v>
      </c>
      <c r="U304" s="7" t="str">
        <f t="shared" ca="1" si="151"/>
        <v>-</v>
      </c>
      <c r="V304" s="7" t="str">
        <f t="shared" ca="1" si="151"/>
        <v>-</v>
      </c>
      <c r="W304" s="7" t="str">
        <f t="shared" ca="1" si="151"/>
        <v>-</v>
      </c>
      <c r="X304" s="7" t="str">
        <f t="shared" ca="1" si="151"/>
        <v>-</v>
      </c>
      <c r="Y304" s="7" t="str">
        <f t="shared" ca="1" si="151"/>
        <v>-</v>
      </c>
      <c r="Z304" s="7" t="str">
        <f t="shared" ca="1" si="151"/>
        <v>-</v>
      </c>
      <c r="AA304" s="28" t="str">
        <f t="shared" si="147"/>
        <v>AFW</v>
      </c>
      <c r="AB304" s="28"/>
      <c r="AC304" s="12"/>
      <c r="AD304" s="12"/>
    </row>
    <row r="305" spans="1:30" x14ac:dyDescent="0.25">
      <c r="A305" s="5" t="s">
        <v>208</v>
      </c>
      <c r="B305" s="5" t="s">
        <v>41</v>
      </c>
      <c r="C305" s="5" t="s">
        <v>726</v>
      </c>
      <c r="D305" s="6">
        <f t="shared" ca="1" si="142"/>
        <v>0</v>
      </c>
      <c r="E305" s="6" t="str">
        <f t="shared" ca="1" si="143"/>
        <v>-</v>
      </c>
      <c r="F305" s="6">
        <f t="shared" ca="1" si="148"/>
        <v>0</v>
      </c>
      <c r="G305" s="6">
        <f t="shared" ca="1" si="148"/>
        <v>0</v>
      </c>
      <c r="H305" s="6" t="str">
        <f t="shared" ca="1" si="144"/>
        <v>-</v>
      </c>
      <c r="I305" s="6">
        <f t="shared" ca="1" si="149"/>
        <v>0</v>
      </c>
      <c r="J305" s="6">
        <f t="shared" ca="1" si="149"/>
        <v>1</v>
      </c>
      <c r="K305" s="6">
        <f t="shared" ca="1" si="145"/>
        <v>0</v>
      </c>
      <c r="L305" s="6">
        <f t="shared" ca="1" si="150"/>
        <v>0</v>
      </c>
      <c r="M305" s="6" t="str">
        <f t="shared" ca="1" si="150"/>
        <v>-</v>
      </c>
      <c r="N305" s="6" t="str">
        <f t="shared" ca="1" si="146"/>
        <v>-</v>
      </c>
      <c r="O305" s="6" t="str">
        <f t="shared" ca="1" si="151"/>
        <v>-</v>
      </c>
      <c r="P305" s="6" t="str">
        <f t="shared" ca="1" si="151"/>
        <v>-</v>
      </c>
      <c r="Q305" s="6" t="str">
        <f t="shared" ca="1" si="151"/>
        <v>-</v>
      </c>
      <c r="R305" s="6" t="str">
        <f t="shared" ca="1" si="151"/>
        <v>-</v>
      </c>
      <c r="S305" s="6" t="str">
        <f t="shared" ca="1" si="151"/>
        <v>-</v>
      </c>
      <c r="T305" s="6" t="str">
        <f t="shared" ca="1" si="151"/>
        <v>-</v>
      </c>
      <c r="U305" s="7" t="str">
        <f t="shared" ca="1" si="151"/>
        <v>-</v>
      </c>
      <c r="V305" s="7" t="str">
        <f t="shared" ca="1" si="151"/>
        <v>-</v>
      </c>
      <c r="W305" s="7" t="str">
        <f t="shared" ca="1" si="151"/>
        <v>-</v>
      </c>
      <c r="X305" s="7" t="str">
        <f t="shared" ca="1" si="151"/>
        <v>-</v>
      </c>
      <c r="Y305" s="7" t="str">
        <f t="shared" ca="1" si="151"/>
        <v>-</v>
      </c>
      <c r="Z305" s="7" t="str">
        <f t="shared" ca="1" si="151"/>
        <v>-</v>
      </c>
      <c r="AA305" s="28" t="str">
        <f t="shared" si="147"/>
        <v>AFW</v>
      </c>
      <c r="AB305" s="28"/>
      <c r="AC305" s="12"/>
      <c r="AD305" s="12"/>
    </row>
    <row r="306" spans="1:30" x14ac:dyDescent="0.25">
      <c r="A306" s="5" t="s">
        <v>19</v>
      </c>
      <c r="B306" s="5" t="s">
        <v>154</v>
      </c>
      <c r="C306" s="5" t="s">
        <v>282</v>
      </c>
      <c r="D306" s="6">
        <f t="shared" ca="1" si="142"/>
        <v>29.65217391304348</v>
      </c>
      <c r="E306" s="6">
        <f t="shared" ca="1" si="143"/>
        <v>291.15080645161288</v>
      </c>
      <c r="F306" s="6">
        <f t="shared" ca="1" si="148"/>
        <v>8633.2543478260868</v>
      </c>
      <c r="G306" s="6">
        <f t="shared" ca="1" si="148"/>
        <v>22</v>
      </c>
      <c r="H306" s="6">
        <f t="shared" ca="1" si="144"/>
        <v>464.00978260869573</v>
      </c>
      <c r="I306" s="6">
        <f t="shared" ca="1" si="149"/>
        <v>10208.215217391305</v>
      </c>
      <c r="J306" s="6">
        <f t="shared" ca="1" si="149"/>
        <v>25</v>
      </c>
      <c r="K306" s="6">
        <f t="shared" ca="1" si="145"/>
        <v>504.28560000000004</v>
      </c>
      <c r="L306" s="6">
        <f t="shared" ca="1" si="150"/>
        <v>12607.140000000001</v>
      </c>
      <c r="M306" s="6">
        <f t="shared" ca="1" si="150"/>
        <v>49.76485356324936</v>
      </c>
      <c r="N306" s="6">
        <f t="shared" ca="1" si="146"/>
        <v>570.99999999999989</v>
      </c>
      <c r="O306" s="6">
        <f t="shared" ref="O306:Z315" ca="1" si="152">IFERROR(VLOOKUP($C306,INDIRECT("'"&amp;$AA306&amp;"-"&amp;$C$1&amp;"'!$C:$AH"),O$30,0),0)</f>
        <v>28415.731384615381</v>
      </c>
      <c r="P306" s="6">
        <f t="shared" ca="1" si="152"/>
        <v>-24.76485356324936</v>
      </c>
      <c r="Q306" s="6">
        <f t="shared" ca="1" si="152"/>
        <v>-66.714399999999841</v>
      </c>
      <c r="R306" s="6">
        <f t="shared" ca="1" si="152"/>
        <v>-15808.59138461538</v>
      </c>
      <c r="S306" s="6">
        <f t="shared" ca="1" si="152"/>
        <v>-1667.859999999996</v>
      </c>
      <c r="T306" s="6">
        <f t="shared" ca="1" si="152"/>
        <v>-14140.731384615383</v>
      </c>
      <c r="U306" s="7">
        <f t="shared" ca="1" si="152"/>
        <v>0.50236257539120233</v>
      </c>
      <c r="V306" s="7">
        <f t="shared" ca="1" si="152"/>
        <v>-0.15689149560117308</v>
      </c>
      <c r="W306" s="7">
        <f t="shared" ca="1" si="152"/>
        <v>0.46029984662441531</v>
      </c>
      <c r="X306" s="7">
        <f t="shared" ca="1" si="152"/>
        <v>0.13636363636363635</v>
      </c>
      <c r="Y306" s="7">
        <f t="shared" ca="1" si="152"/>
        <v>0.23499943246903227</v>
      </c>
      <c r="Z306" s="7">
        <f t="shared" ca="1" si="152"/>
        <v>0</v>
      </c>
      <c r="AA306" s="28" t="str">
        <f t="shared" si="147"/>
        <v>ALW</v>
      </c>
      <c r="AB306" s="28"/>
      <c r="AC306" s="12"/>
      <c r="AD306" s="12"/>
    </row>
    <row r="307" spans="1:30" x14ac:dyDescent="0.25">
      <c r="A307" s="5" t="s">
        <v>19</v>
      </c>
      <c r="B307" s="5" t="s">
        <v>39</v>
      </c>
      <c r="C307" s="5" t="s">
        <v>283</v>
      </c>
      <c r="D307" s="6" t="str">
        <f t="shared" ca="1" si="142"/>
        <v>-</v>
      </c>
      <c r="E307" s="6" t="str">
        <f t="shared" ca="1" si="143"/>
        <v>-</v>
      </c>
      <c r="F307" s="6" t="str">
        <f t="shared" ca="1" si="148"/>
        <v>-</v>
      </c>
      <c r="G307" s="6" t="str">
        <f t="shared" ca="1" si="148"/>
        <v>-</v>
      </c>
      <c r="H307" s="6" t="str">
        <f t="shared" ca="1" si="144"/>
        <v>-</v>
      </c>
      <c r="I307" s="6" t="str">
        <f t="shared" ca="1" si="149"/>
        <v>-</v>
      </c>
      <c r="J307" s="6">
        <f t="shared" ca="1" si="149"/>
        <v>4</v>
      </c>
      <c r="K307" s="6">
        <f t="shared" ca="1" si="145"/>
        <v>275</v>
      </c>
      <c r="L307" s="6">
        <f t="shared" ca="1" si="150"/>
        <v>1100</v>
      </c>
      <c r="M307" s="6" t="str">
        <f t="shared" ca="1" si="150"/>
        <v>-</v>
      </c>
      <c r="N307" s="6" t="str">
        <f t="shared" ca="1" si="146"/>
        <v>-</v>
      </c>
      <c r="O307" s="6" t="str">
        <f t="shared" ca="1" si="152"/>
        <v>-</v>
      </c>
      <c r="P307" s="6" t="str">
        <f t="shared" ca="1" si="152"/>
        <v>-</v>
      </c>
      <c r="Q307" s="6" t="str">
        <f t="shared" ca="1" si="152"/>
        <v>-</v>
      </c>
      <c r="R307" s="6" t="str">
        <f t="shared" ca="1" si="152"/>
        <v>-</v>
      </c>
      <c r="S307" s="6" t="str">
        <f t="shared" ca="1" si="152"/>
        <v>-</v>
      </c>
      <c r="T307" s="6" t="str">
        <f t="shared" ca="1" si="152"/>
        <v>-</v>
      </c>
      <c r="U307" s="7" t="str">
        <f t="shared" ca="1" si="152"/>
        <v>-</v>
      </c>
      <c r="V307" s="7" t="str">
        <f t="shared" ca="1" si="152"/>
        <v>-</v>
      </c>
      <c r="W307" s="7" t="str">
        <f t="shared" ca="1" si="152"/>
        <v>-</v>
      </c>
      <c r="X307" s="7" t="str">
        <f t="shared" ca="1" si="152"/>
        <v>-</v>
      </c>
      <c r="Y307" s="7" t="str">
        <f t="shared" ca="1" si="152"/>
        <v>-</v>
      </c>
      <c r="Z307" s="7">
        <f t="shared" ca="1" si="152"/>
        <v>0</v>
      </c>
      <c r="AA307" s="28" t="str">
        <f t="shared" si="147"/>
        <v>ALW</v>
      </c>
      <c r="AB307" s="28"/>
      <c r="AC307" s="12"/>
      <c r="AD307" s="12"/>
    </row>
    <row r="308" spans="1:30" x14ac:dyDescent="0.25">
      <c r="A308" s="5" t="s">
        <v>19</v>
      </c>
      <c r="B308" s="5" t="s">
        <v>49</v>
      </c>
      <c r="C308" s="5" t="s">
        <v>264</v>
      </c>
      <c r="D308" s="6" t="str">
        <f t="shared" ca="1" si="142"/>
        <v>-</v>
      </c>
      <c r="E308" s="6" t="str">
        <f t="shared" ca="1" si="143"/>
        <v>-</v>
      </c>
      <c r="F308" s="6" t="str">
        <f t="shared" ca="1" si="148"/>
        <v>-</v>
      </c>
      <c r="G308" s="6" t="str">
        <f t="shared" ca="1" si="148"/>
        <v>-</v>
      </c>
      <c r="H308" s="6" t="str">
        <f t="shared" ca="1" si="144"/>
        <v>-</v>
      </c>
      <c r="I308" s="6" t="str">
        <f t="shared" ca="1" si="149"/>
        <v>-</v>
      </c>
      <c r="J308" s="6">
        <f t="shared" ca="1" si="149"/>
        <v>0</v>
      </c>
      <c r="K308" s="6" t="str">
        <f t="shared" ca="1" si="145"/>
        <v>-</v>
      </c>
      <c r="L308" s="6">
        <f t="shared" ca="1" si="150"/>
        <v>4364.41</v>
      </c>
      <c r="M308" s="6" t="str">
        <f t="shared" ca="1" si="150"/>
        <v>-</v>
      </c>
      <c r="N308" s="6" t="str">
        <f t="shared" ca="1" si="146"/>
        <v>-</v>
      </c>
      <c r="O308" s="6" t="str">
        <f t="shared" ca="1" si="152"/>
        <v>-</v>
      </c>
      <c r="P308" s="6" t="str">
        <f t="shared" ca="1" si="152"/>
        <v>-</v>
      </c>
      <c r="Q308" s="6" t="str">
        <f t="shared" ca="1" si="152"/>
        <v>-</v>
      </c>
      <c r="R308" s="6" t="str">
        <f t="shared" ca="1" si="152"/>
        <v>-</v>
      </c>
      <c r="S308" s="6" t="str">
        <f t="shared" ca="1" si="152"/>
        <v>-</v>
      </c>
      <c r="T308" s="6" t="str">
        <f t="shared" ca="1" si="152"/>
        <v>-</v>
      </c>
      <c r="U308" s="7" t="str">
        <f t="shared" ca="1" si="152"/>
        <v>-</v>
      </c>
      <c r="V308" s="7" t="str">
        <f t="shared" ca="1" si="152"/>
        <v>-</v>
      </c>
      <c r="W308" s="7" t="str">
        <f t="shared" ca="1" si="152"/>
        <v>-</v>
      </c>
      <c r="X308" s="7" t="str">
        <f t="shared" ca="1" si="152"/>
        <v>-</v>
      </c>
      <c r="Y308" s="7" t="str">
        <f t="shared" ca="1" si="152"/>
        <v>-</v>
      </c>
      <c r="Z308" s="7">
        <f t="shared" ca="1" si="152"/>
        <v>0</v>
      </c>
      <c r="AA308" s="28" t="str">
        <f t="shared" si="147"/>
        <v>ALW</v>
      </c>
      <c r="AB308" s="28"/>
      <c r="AC308" s="12"/>
      <c r="AD308" s="12"/>
    </row>
    <row r="309" spans="1:30" x14ac:dyDescent="0.25">
      <c r="A309" s="5" t="s">
        <v>19</v>
      </c>
      <c r="B309" s="5" t="s">
        <v>278</v>
      </c>
      <c r="C309" s="5" t="s">
        <v>284</v>
      </c>
      <c r="D309" s="6" t="str">
        <f t="shared" ca="1" si="142"/>
        <v>-</v>
      </c>
      <c r="E309" s="6" t="str">
        <f t="shared" ca="1" si="143"/>
        <v>-</v>
      </c>
      <c r="F309" s="6" t="str">
        <f t="shared" ca="1" si="148"/>
        <v>-</v>
      </c>
      <c r="G309" s="6" t="str">
        <f t="shared" ca="1" si="148"/>
        <v>-</v>
      </c>
      <c r="H309" s="6" t="str">
        <f t="shared" ca="1" si="144"/>
        <v>-</v>
      </c>
      <c r="I309" s="6" t="str">
        <f t="shared" ca="1" si="149"/>
        <v>-</v>
      </c>
      <c r="J309" s="6">
        <f t="shared" ca="1" si="149"/>
        <v>12</v>
      </c>
      <c r="K309" s="6">
        <f t="shared" ca="1" si="145"/>
        <v>312.33666666666664</v>
      </c>
      <c r="L309" s="6">
        <f t="shared" ca="1" si="150"/>
        <v>3748.04</v>
      </c>
      <c r="M309" s="6">
        <f t="shared" ca="1" si="150"/>
        <v>10.576923076923078</v>
      </c>
      <c r="N309" s="6">
        <f t="shared" ca="1" si="146"/>
        <v>549.99999999999989</v>
      </c>
      <c r="O309" s="6">
        <f t="shared" ca="1" si="152"/>
        <v>5817.3076923076924</v>
      </c>
      <c r="P309" s="6">
        <f t="shared" ca="1" si="152"/>
        <v>1.4230769230769216</v>
      </c>
      <c r="Q309" s="6">
        <f t="shared" ca="1" si="152"/>
        <v>-237.66333333333324</v>
      </c>
      <c r="R309" s="6">
        <f t="shared" ca="1" si="152"/>
        <v>-2069.2676923076924</v>
      </c>
      <c r="S309" s="6">
        <f t="shared" ca="1" si="152"/>
        <v>-2851.9599999999991</v>
      </c>
      <c r="T309" s="6">
        <f t="shared" ca="1" si="152"/>
        <v>782.69230769230671</v>
      </c>
      <c r="U309" s="7">
        <f t="shared" ca="1" si="152"/>
        <v>1.1345454545454543</v>
      </c>
      <c r="V309" s="7" t="str">
        <f t="shared" ca="1" si="152"/>
        <v>-</v>
      </c>
      <c r="W309" s="7" t="str">
        <f t="shared" ca="1" si="152"/>
        <v>-</v>
      </c>
      <c r="X309" s="7" t="str">
        <f t="shared" ca="1" si="152"/>
        <v>-</v>
      </c>
      <c r="Y309" s="7" t="str">
        <f t="shared" ca="1" si="152"/>
        <v>-</v>
      </c>
      <c r="Z309" s="7">
        <f t="shared" ca="1" si="152"/>
        <v>0</v>
      </c>
      <c r="AA309" s="28" t="str">
        <f t="shared" si="147"/>
        <v>ALW</v>
      </c>
      <c r="AB309" s="28"/>
      <c r="AC309" s="12"/>
      <c r="AD309" s="12"/>
    </row>
    <row r="310" spans="1:30" x14ac:dyDescent="0.25">
      <c r="A310" s="5" t="s">
        <v>19</v>
      </c>
      <c r="B310" s="5" t="s">
        <v>154</v>
      </c>
      <c r="C310" s="5" t="s">
        <v>285</v>
      </c>
      <c r="D310" s="6" t="str">
        <f t="shared" ca="1" si="142"/>
        <v>-</v>
      </c>
      <c r="E310" s="6" t="str">
        <f t="shared" ca="1" si="143"/>
        <v>-</v>
      </c>
      <c r="F310" s="6" t="str">
        <f t="shared" ca="1" si="148"/>
        <v>-</v>
      </c>
      <c r="G310" s="6" t="str">
        <f t="shared" ca="1" si="148"/>
        <v>-</v>
      </c>
      <c r="H310" s="6" t="str">
        <f t="shared" ca="1" si="144"/>
        <v>-</v>
      </c>
      <c r="I310" s="6" t="str">
        <f t="shared" ca="1" si="149"/>
        <v>-</v>
      </c>
      <c r="J310" s="6">
        <f t="shared" ca="1" si="149"/>
        <v>28</v>
      </c>
      <c r="K310" s="6">
        <f t="shared" ca="1" si="145"/>
        <v>639.82214285714292</v>
      </c>
      <c r="L310" s="6">
        <f t="shared" ca="1" si="150"/>
        <v>17915.02</v>
      </c>
      <c r="M310" s="6">
        <f t="shared" ca="1" si="150"/>
        <v>23.992460607471202</v>
      </c>
      <c r="N310" s="6">
        <f t="shared" ca="1" si="146"/>
        <v>1983</v>
      </c>
      <c r="O310" s="6">
        <f t="shared" ca="1" si="152"/>
        <v>47577.049384615391</v>
      </c>
      <c r="P310" s="6">
        <f t="shared" ca="1" si="152"/>
        <v>4.0075393925287983</v>
      </c>
      <c r="Q310" s="6">
        <f t="shared" ca="1" si="152"/>
        <v>-1343.1778571428572</v>
      </c>
      <c r="R310" s="6">
        <f t="shared" ca="1" si="152"/>
        <v>-29662.029384615391</v>
      </c>
      <c r="S310" s="6">
        <f t="shared" ca="1" si="152"/>
        <v>-37608.980000000003</v>
      </c>
      <c r="T310" s="6">
        <f t="shared" ca="1" si="152"/>
        <v>7946.9506153846069</v>
      </c>
      <c r="U310" s="7">
        <f t="shared" ca="1" si="152"/>
        <v>1.1670332800830299</v>
      </c>
      <c r="V310" s="7" t="str">
        <f t="shared" ca="1" si="152"/>
        <v>-</v>
      </c>
      <c r="W310" s="7" t="str">
        <f t="shared" ca="1" si="152"/>
        <v>-</v>
      </c>
      <c r="X310" s="7" t="str">
        <f t="shared" ca="1" si="152"/>
        <v>-</v>
      </c>
      <c r="Y310" s="7" t="str">
        <f t="shared" ca="1" si="152"/>
        <v>-</v>
      </c>
      <c r="Z310" s="7">
        <f t="shared" ca="1" si="152"/>
        <v>0</v>
      </c>
      <c r="AA310" s="28" t="str">
        <f t="shared" si="147"/>
        <v>ALW</v>
      </c>
      <c r="AB310" s="28"/>
      <c r="AC310" s="12"/>
      <c r="AD310" s="12"/>
    </row>
    <row r="311" spans="1:30" x14ac:dyDescent="0.25">
      <c r="A311" s="5" t="s">
        <v>19</v>
      </c>
      <c r="B311" s="5" t="s">
        <v>39</v>
      </c>
      <c r="C311" s="5" t="s">
        <v>286</v>
      </c>
      <c r="D311" s="6" t="str">
        <f t="shared" ca="1" si="142"/>
        <v>-</v>
      </c>
      <c r="E311" s="6" t="str">
        <f t="shared" ca="1" si="143"/>
        <v>-</v>
      </c>
      <c r="F311" s="6" t="str">
        <f t="shared" ca="1" si="148"/>
        <v>-</v>
      </c>
      <c r="G311" s="6" t="str">
        <f t="shared" ca="1" si="148"/>
        <v>-</v>
      </c>
      <c r="H311" s="6" t="str">
        <f t="shared" ca="1" si="144"/>
        <v>-</v>
      </c>
      <c r="I311" s="6" t="str">
        <f t="shared" ca="1" si="149"/>
        <v>-</v>
      </c>
      <c r="J311" s="6">
        <f t="shared" ca="1" si="149"/>
        <v>64</v>
      </c>
      <c r="K311" s="6">
        <f t="shared" ca="1" si="145"/>
        <v>1267.99609375</v>
      </c>
      <c r="L311" s="6">
        <f t="shared" ca="1" si="150"/>
        <v>81151.75</v>
      </c>
      <c r="M311" s="6">
        <f t="shared" ca="1" si="150"/>
        <v>78.184615384615384</v>
      </c>
      <c r="N311" s="6">
        <f t="shared" ca="1" si="146"/>
        <v>1600</v>
      </c>
      <c r="O311" s="6">
        <f t="shared" ca="1" si="152"/>
        <v>125095.38461538461</v>
      </c>
      <c r="P311" s="6">
        <f t="shared" ca="1" si="152"/>
        <v>-14.184615384615384</v>
      </c>
      <c r="Q311" s="6">
        <f t="shared" ca="1" si="152"/>
        <v>-332.00390625</v>
      </c>
      <c r="R311" s="6">
        <f t="shared" ca="1" si="152"/>
        <v>-43943.63461538461</v>
      </c>
      <c r="S311" s="6">
        <f t="shared" ca="1" si="152"/>
        <v>-21248.25</v>
      </c>
      <c r="T311" s="6">
        <f t="shared" ca="1" si="152"/>
        <v>-22695.384615384613</v>
      </c>
      <c r="U311" s="7">
        <f t="shared" ca="1" si="152"/>
        <v>0.81857536402990949</v>
      </c>
      <c r="V311" s="7" t="str">
        <f t="shared" ca="1" si="152"/>
        <v>-</v>
      </c>
      <c r="W311" s="7" t="str">
        <f t="shared" ca="1" si="152"/>
        <v>-</v>
      </c>
      <c r="X311" s="7" t="str">
        <f t="shared" ca="1" si="152"/>
        <v>-</v>
      </c>
      <c r="Y311" s="7" t="str">
        <f t="shared" ca="1" si="152"/>
        <v>-</v>
      </c>
      <c r="Z311" s="7">
        <f t="shared" ca="1" si="152"/>
        <v>0</v>
      </c>
      <c r="AA311" s="28" t="str">
        <f t="shared" si="147"/>
        <v>ALW</v>
      </c>
      <c r="AB311" s="28"/>
      <c r="AC311" s="12"/>
      <c r="AD311" s="12"/>
    </row>
    <row r="312" spans="1:30" x14ac:dyDescent="0.25">
      <c r="A312" s="5" t="s">
        <v>19</v>
      </c>
      <c r="B312" s="5" t="s">
        <v>39</v>
      </c>
      <c r="C312" s="5" t="s">
        <v>287</v>
      </c>
      <c r="D312" s="6" t="str">
        <f t="shared" ca="1" si="142"/>
        <v>-</v>
      </c>
      <c r="E312" s="6" t="str">
        <f t="shared" ca="1" si="143"/>
        <v>-</v>
      </c>
      <c r="F312" s="6" t="str">
        <f t="shared" ca="1" si="148"/>
        <v>-</v>
      </c>
      <c r="G312" s="6" t="str">
        <f t="shared" ca="1" si="148"/>
        <v>-</v>
      </c>
      <c r="H312" s="6" t="str">
        <f t="shared" ca="1" si="144"/>
        <v>-</v>
      </c>
      <c r="I312" s="6" t="str">
        <f t="shared" ca="1" si="149"/>
        <v>-</v>
      </c>
      <c r="J312" s="6">
        <f t="shared" ca="1" si="149"/>
        <v>52</v>
      </c>
      <c r="K312" s="6">
        <f t="shared" ca="1" si="145"/>
        <v>1849.7096153846155</v>
      </c>
      <c r="L312" s="6">
        <f t="shared" ca="1" si="150"/>
        <v>96184.900000000009</v>
      </c>
      <c r="M312" s="6">
        <f t="shared" ca="1" si="150"/>
        <v>53.307692307692307</v>
      </c>
      <c r="N312" s="6">
        <f t="shared" ca="1" si="146"/>
        <v>1842.4779047619045</v>
      </c>
      <c r="O312" s="6">
        <f t="shared" ca="1" si="152"/>
        <v>98218.245230769215</v>
      </c>
      <c r="P312" s="6">
        <f t="shared" ca="1" si="152"/>
        <v>-1.3076923076923066</v>
      </c>
      <c r="Q312" s="6">
        <f t="shared" ca="1" si="152"/>
        <v>7.2317106227110344</v>
      </c>
      <c r="R312" s="6">
        <f t="shared" ca="1" si="152"/>
        <v>-2033.345230769206</v>
      </c>
      <c r="S312" s="6">
        <f t="shared" ca="1" si="152"/>
        <v>376.04895238097379</v>
      </c>
      <c r="T312" s="6">
        <f t="shared" ca="1" si="152"/>
        <v>-2409.3941831501807</v>
      </c>
      <c r="U312" s="7">
        <f t="shared" ca="1" si="152"/>
        <v>0.97546897546897549</v>
      </c>
      <c r="V312" s="7" t="str">
        <f t="shared" ca="1" si="152"/>
        <v>-</v>
      </c>
      <c r="W312" s="7" t="str">
        <f t="shared" ca="1" si="152"/>
        <v>-</v>
      </c>
      <c r="X312" s="7" t="str">
        <f t="shared" ca="1" si="152"/>
        <v>-</v>
      </c>
      <c r="Y312" s="7" t="str">
        <f t="shared" ca="1" si="152"/>
        <v>-</v>
      </c>
      <c r="Z312" s="7">
        <f t="shared" ca="1" si="152"/>
        <v>0</v>
      </c>
      <c r="AA312" s="28" t="str">
        <f t="shared" si="147"/>
        <v>ALW</v>
      </c>
      <c r="AB312" s="28"/>
      <c r="AC312" s="12"/>
      <c r="AD312" s="12"/>
    </row>
    <row r="313" spans="1:30" x14ac:dyDescent="0.25">
      <c r="A313" s="5" t="s">
        <v>19</v>
      </c>
      <c r="B313" s="5" t="s">
        <v>51</v>
      </c>
      <c r="C313" s="5" t="s">
        <v>288</v>
      </c>
      <c r="D313" s="6">
        <f t="shared" ca="1" si="142"/>
        <v>16.739130434782609</v>
      </c>
      <c r="E313" s="6">
        <f t="shared" ca="1" si="143"/>
        <v>1354.3571428571429</v>
      </c>
      <c r="F313" s="6">
        <f t="shared" ca="1" si="148"/>
        <v>22670.76086956522</v>
      </c>
      <c r="G313" s="6">
        <f t="shared" ca="1" si="148"/>
        <v>22.478260869565219</v>
      </c>
      <c r="H313" s="6">
        <f t="shared" ca="1" si="144"/>
        <v>1608.8297872340424</v>
      </c>
      <c r="I313" s="6">
        <f t="shared" ca="1" si="149"/>
        <v>36163.695652173912</v>
      </c>
      <c r="J313" s="6">
        <f t="shared" ca="1" si="149"/>
        <v>7</v>
      </c>
      <c r="K313" s="6">
        <f t="shared" ca="1" si="145"/>
        <v>965.71428571428567</v>
      </c>
      <c r="L313" s="6">
        <f t="shared" ca="1" si="150"/>
        <v>6760</v>
      </c>
      <c r="M313" s="6">
        <f t="shared" ca="1" si="150"/>
        <v>20.815384615384616</v>
      </c>
      <c r="N313" s="6">
        <f t="shared" ca="1" si="146"/>
        <v>1522.0193702413214</v>
      </c>
      <c r="O313" s="6">
        <f t="shared" ca="1" si="152"/>
        <v>31681.418583638584</v>
      </c>
      <c r="P313" s="6">
        <f t="shared" ca="1" si="152"/>
        <v>-13.815384615384616</v>
      </c>
      <c r="Q313" s="6">
        <f t="shared" ca="1" si="152"/>
        <v>-556.30508452703577</v>
      </c>
      <c r="R313" s="6">
        <f t="shared" ca="1" si="152"/>
        <v>-24921.418583638584</v>
      </c>
      <c r="S313" s="6">
        <f t="shared" ca="1" si="152"/>
        <v>-3894.1355916892503</v>
      </c>
      <c r="T313" s="6">
        <f t="shared" ca="1" si="152"/>
        <v>-21027.282991949334</v>
      </c>
      <c r="U313" s="7">
        <f t="shared" ca="1" si="152"/>
        <v>0.33628972653362899</v>
      </c>
      <c r="V313" s="7">
        <f t="shared" ca="1" si="152"/>
        <v>-0.58181818181818179</v>
      </c>
      <c r="W313" s="7">
        <f t="shared" ca="1" si="152"/>
        <v>-0.70181856538061382</v>
      </c>
      <c r="X313" s="7">
        <f t="shared" ca="1" si="152"/>
        <v>-0.68858800773694395</v>
      </c>
      <c r="Y313" s="7">
        <f t="shared" ca="1" si="152"/>
        <v>-0.81307220188394558</v>
      </c>
      <c r="Z313" s="7">
        <f t="shared" ca="1" si="152"/>
        <v>0</v>
      </c>
      <c r="AA313" s="28" t="str">
        <f t="shared" si="147"/>
        <v>ALW</v>
      </c>
      <c r="AB313" s="28"/>
      <c r="AC313" s="12"/>
      <c r="AD313" s="12"/>
    </row>
    <row r="314" spans="1:30" x14ac:dyDescent="0.25">
      <c r="A314" s="5" t="s">
        <v>19</v>
      </c>
      <c r="B314" s="5" t="s">
        <v>39</v>
      </c>
      <c r="C314" s="5" t="s">
        <v>289</v>
      </c>
      <c r="D314" s="6" t="str">
        <f t="shared" ca="1" si="142"/>
        <v>-</v>
      </c>
      <c r="E314" s="6" t="str">
        <f t="shared" ca="1" si="143"/>
        <v>-</v>
      </c>
      <c r="F314" s="6" t="str">
        <f t="shared" ca="1" si="148"/>
        <v>-</v>
      </c>
      <c r="G314" s="6" t="str">
        <f t="shared" ca="1" si="148"/>
        <v>-</v>
      </c>
      <c r="H314" s="6" t="str">
        <f t="shared" ca="1" si="144"/>
        <v>-</v>
      </c>
      <c r="I314" s="6" t="str">
        <f t="shared" ca="1" si="149"/>
        <v>-</v>
      </c>
      <c r="J314" s="6">
        <f t="shared" ca="1" si="149"/>
        <v>5</v>
      </c>
      <c r="K314" s="6">
        <f t="shared" ca="1" si="145"/>
        <v>984.05</v>
      </c>
      <c r="L314" s="6">
        <f t="shared" ca="1" si="150"/>
        <v>4920.25</v>
      </c>
      <c r="M314" s="6" t="str">
        <f t="shared" ca="1" si="150"/>
        <v>-</v>
      </c>
      <c r="N314" s="6" t="str">
        <f t="shared" ca="1" si="146"/>
        <v>-</v>
      </c>
      <c r="O314" s="6" t="str">
        <f t="shared" ca="1" si="152"/>
        <v>-</v>
      </c>
      <c r="P314" s="6" t="str">
        <f t="shared" ca="1" si="152"/>
        <v>-</v>
      </c>
      <c r="Q314" s="6" t="str">
        <f t="shared" ca="1" si="152"/>
        <v>-</v>
      </c>
      <c r="R314" s="6" t="str">
        <f t="shared" ca="1" si="152"/>
        <v>-</v>
      </c>
      <c r="S314" s="6" t="str">
        <f t="shared" ca="1" si="152"/>
        <v>-</v>
      </c>
      <c r="T314" s="6" t="str">
        <f t="shared" ca="1" si="152"/>
        <v>-</v>
      </c>
      <c r="U314" s="7" t="str">
        <f t="shared" ca="1" si="152"/>
        <v>-</v>
      </c>
      <c r="V314" s="7" t="str">
        <f t="shared" ca="1" si="152"/>
        <v>-</v>
      </c>
      <c r="W314" s="7" t="str">
        <f t="shared" ca="1" si="152"/>
        <v>-</v>
      </c>
      <c r="X314" s="7" t="str">
        <f t="shared" ca="1" si="152"/>
        <v>-</v>
      </c>
      <c r="Y314" s="7" t="str">
        <f t="shared" ca="1" si="152"/>
        <v>-</v>
      </c>
      <c r="Z314" s="7">
        <f t="shared" ca="1" si="152"/>
        <v>0</v>
      </c>
      <c r="AA314" s="28" t="str">
        <f t="shared" si="147"/>
        <v>ALW</v>
      </c>
      <c r="AB314" s="28"/>
      <c r="AC314" s="12"/>
      <c r="AD314" s="12"/>
    </row>
    <row r="315" spans="1:30" x14ac:dyDescent="0.25">
      <c r="A315" s="5" t="s">
        <v>19</v>
      </c>
      <c r="B315" s="5" t="s">
        <v>46</v>
      </c>
      <c r="C315" s="5" t="s">
        <v>290</v>
      </c>
      <c r="D315" s="6">
        <f t="shared" ca="1" si="142"/>
        <v>14.347826086956522</v>
      </c>
      <c r="E315" s="6">
        <f t="shared" ca="1" si="143"/>
        <v>856.06666666666672</v>
      </c>
      <c r="F315" s="6">
        <f t="shared" ca="1" si="148"/>
        <v>12282.695652173914</v>
      </c>
      <c r="G315" s="6">
        <f t="shared" ca="1" si="148"/>
        <v>5.2608695652173916</v>
      </c>
      <c r="H315" s="6">
        <f t="shared" ca="1" si="144"/>
        <v>711.09090909090912</v>
      </c>
      <c r="I315" s="6">
        <f t="shared" ca="1" si="149"/>
        <v>3740.9565217391305</v>
      </c>
      <c r="J315" s="6">
        <f t="shared" ca="1" si="149"/>
        <v>21</v>
      </c>
      <c r="K315" s="6">
        <f t="shared" ca="1" si="145"/>
        <v>673.14047619047619</v>
      </c>
      <c r="L315" s="6">
        <f t="shared" ca="1" si="150"/>
        <v>14135.95</v>
      </c>
      <c r="M315" s="6">
        <f t="shared" ca="1" si="150"/>
        <v>16.923076923076923</v>
      </c>
      <c r="N315" s="6">
        <f t="shared" ca="1" si="146"/>
        <v>1099.0000000000002</v>
      </c>
      <c r="O315" s="6">
        <f t="shared" ca="1" si="152"/>
        <v>18598.461538461543</v>
      </c>
      <c r="P315" s="6">
        <f t="shared" ca="1" si="152"/>
        <v>4.0769230769230766</v>
      </c>
      <c r="Q315" s="6">
        <f t="shared" ca="1" si="152"/>
        <v>-425.85952380952403</v>
      </c>
      <c r="R315" s="6">
        <f t="shared" ca="1" si="152"/>
        <v>-4462.5115384615419</v>
      </c>
      <c r="S315" s="6">
        <f t="shared" ca="1" si="152"/>
        <v>-8943.0500000000047</v>
      </c>
      <c r="T315" s="6">
        <f t="shared" ca="1" si="152"/>
        <v>4480.5384615384619</v>
      </c>
      <c r="U315" s="7">
        <f t="shared" ca="1" si="152"/>
        <v>1.240909090909091</v>
      </c>
      <c r="V315" s="7">
        <f t="shared" ca="1" si="152"/>
        <v>0.46363636363636368</v>
      </c>
      <c r="W315" s="7">
        <f t="shared" ca="1" si="152"/>
        <v>0.1508833565780065</v>
      </c>
      <c r="X315" s="7">
        <f t="shared" ca="1" si="152"/>
        <v>2.9917355371900825</v>
      </c>
      <c r="Y315" s="7">
        <f t="shared" ca="1" si="152"/>
        <v>2.7786993561284028</v>
      </c>
      <c r="Z315" s="7">
        <f t="shared" ca="1" si="152"/>
        <v>0</v>
      </c>
      <c r="AA315" s="28" t="str">
        <f t="shared" si="147"/>
        <v>ALW</v>
      </c>
      <c r="AB315" s="28"/>
      <c r="AC315" s="12"/>
      <c r="AD315" s="12"/>
    </row>
    <row r="316" spans="1:30" x14ac:dyDescent="0.25">
      <c r="A316" s="5" t="s">
        <v>19</v>
      </c>
      <c r="B316" s="5" t="s">
        <v>278</v>
      </c>
      <c r="C316" s="5" t="s">
        <v>291</v>
      </c>
      <c r="D316" s="6">
        <f t="shared" ca="1" si="142"/>
        <v>4.304347826086957</v>
      </c>
      <c r="E316" s="6">
        <f t="shared" ca="1" si="143"/>
        <v>3020.5555555555557</v>
      </c>
      <c r="F316" s="6">
        <f t="shared" ref="F316:G335" ca="1" si="153">IFERROR(VLOOKUP($C316,INDIRECT("'"&amp;$AA316&amp;"-"&amp;$C$1&amp;"'!$C:$AH"),F$30,0),0)</f>
        <v>13001.521739130436</v>
      </c>
      <c r="G316" s="6" t="str">
        <f t="shared" ca="1" si="153"/>
        <v>-</v>
      </c>
      <c r="H316" s="6" t="str">
        <f t="shared" ca="1" si="144"/>
        <v>-</v>
      </c>
      <c r="I316" s="6" t="str">
        <f t="shared" ref="I316:J335" ca="1" si="154">IFERROR(VLOOKUP($C316,INDIRECT("'"&amp;$AA316&amp;"-"&amp;$C$1&amp;"'!$C:$AH"),I$30,0),0)</f>
        <v>-</v>
      </c>
      <c r="J316" s="6">
        <f t="shared" ca="1" si="154"/>
        <v>4</v>
      </c>
      <c r="K316" s="6">
        <f t="shared" ca="1" si="145"/>
        <v>1432.5625</v>
      </c>
      <c r="L316" s="6">
        <f t="shared" ref="L316:M335" ca="1" si="155">IFERROR(VLOOKUP($C316,INDIRECT("'"&amp;$AA316&amp;"-"&amp;$C$1&amp;"'!$C:$AH"),L$30,0),0)</f>
        <v>5730.25</v>
      </c>
      <c r="M316" s="6">
        <f t="shared" ca="1" si="155"/>
        <v>8.4615384615384617</v>
      </c>
      <c r="N316" s="6">
        <f t="shared" ca="1" si="146"/>
        <v>2081.6400000000003</v>
      </c>
      <c r="O316" s="6">
        <f t="shared" ref="O316:Z325" ca="1" si="156">IFERROR(VLOOKUP($C316,INDIRECT("'"&amp;$AA316&amp;"-"&amp;$C$1&amp;"'!$C:$AH"),O$30,0),0)</f>
        <v>17613.876923076925</v>
      </c>
      <c r="P316" s="6">
        <f t="shared" ca="1" si="156"/>
        <v>-4.4615384615384617</v>
      </c>
      <c r="Q316" s="6">
        <f t="shared" ca="1" si="156"/>
        <v>-649.07750000000033</v>
      </c>
      <c r="R316" s="6">
        <f t="shared" ca="1" si="156"/>
        <v>-11883.626923076925</v>
      </c>
      <c r="S316" s="6">
        <f t="shared" ca="1" si="156"/>
        <v>-2596.3100000000013</v>
      </c>
      <c r="T316" s="6">
        <f t="shared" ca="1" si="156"/>
        <v>-9287.3169230769254</v>
      </c>
      <c r="U316" s="7">
        <f t="shared" ca="1" si="156"/>
        <v>0.47272727272727272</v>
      </c>
      <c r="V316" s="7">
        <f t="shared" ca="1" si="156"/>
        <v>-7.0707070707070802E-2</v>
      </c>
      <c r="W316" s="7">
        <f t="shared" ca="1" si="156"/>
        <v>-0.55926312973397763</v>
      </c>
      <c r="X316" s="7" t="str">
        <f t="shared" ca="1" si="156"/>
        <v>-</v>
      </c>
      <c r="Y316" s="7" t="str">
        <f t="shared" ca="1" si="156"/>
        <v>-</v>
      </c>
      <c r="Z316" s="7">
        <f t="shared" ca="1" si="156"/>
        <v>0</v>
      </c>
      <c r="AA316" s="28" t="str">
        <f t="shared" si="147"/>
        <v>ALW</v>
      </c>
      <c r="AB316" s="28"/>
      <c r="AC316" s="12"/>
      <c r="AD316" s="12"/>
    </row>
    <row r="317" spans="1:30" x14ac:dyDescent="0.25">
      <c r="A317" s="5" t="s">
        <v>19</v>
      </c>
      <c r="B317" s="5" t="s">
        <v>39</v>
      </c>
      <c r="C317" s="5" t="s">
        <v>292</v>
      </c>
      <c r="D317" s="6" t="str">
        <f t="shared" ca="1" si="142"/>
        <v>-</v>
      </c>
      <c r="E317" s="6" t="str">
        <f t="shared" ca="1" si="143"/>
        <v>-</v>
      </c>
      <c r="F317" s="6" t="str">
        <f t="shared" ca="1" si="153"/>
        <v>-</v>
      </c>
      <c r="G317" s="6" t="str">
        <f t="shared" ca="1" si="153"/>
        <v>-</v>
      </c>
      <c r="H317" s="6" t="str">
        <f t="shared" ca="1" si="144"/>
        <v>-</v>
      </c>
      <c r="I317" s="6" t="str">
        <f t="shared" ca="1" si="154"/>
        <v>-</v>
      </c>
      <c r="J317" s="6">
        <f t="shared" ca="1" si="154"/>
        <v>45</v>
      </c>
      <c r="K317" s="6">
        <f t="shared" ca="1" si="145"/>
        <v>1036.5311111111112</v>
      </c>
      <c r="L317" s="6">
        <f t="shared" ca="1" si="155"/>
        <v>46643.9</v>
      </c>
      <c r="M317" s="6">
        <f t="shared" ca="1" si="155"/>
        <v>72.092307692307699</v>
      </c>
      <c r="N317" s="6">
        <f t="shared" ca="1" si="146"/>
        <v>1299.9999999999998</v>
      </c>
      <c r="O317" s="6">
        <f t="shared" ca="1" si="156"/>
        <v>93720</v>
      </c>
      <c r="P317" s="6">
        <f t="shared" ca="1" si="156"/>
        <v>-27.092307692307699</v>
      </c>
      <c r="Q317" s="6">
        <f t="shared" ca="1" si="156"/>
        <v>-263.46888888888861</v>
      </c>
      <c r="R317" s="6">
        <f t="shared" ca="1" si="156"/>
        <v>-47076.1</v>
      </c>
      <c r="S317" s="6">
        <f t="shared" ca="1" si="156"/>
        <v>-11856.099999999988</v>
      </c>
      <c r="T317" s="6">
        <f t="shared" ca="1" si="156"/>
        <v>-35220</v>
      </c>
      <c r="U317" s="7">
        <f t="shared" ca="1" si="156"/>
        <v>0.62419974391805377</v>
      </c>
      <c r="V317" s="7" t="str">
        <f t="shared" ca="1" si="156"/>
        <v>-</v>
      </c>
      <c r="W317" s="7" t="str">
        <f t="shared" ca="1" si="156"/>
        <v>-</v>
      </c>
      <c r="X317" s="7" t="str">
        <f t="shared" ca="1" si="156"/>
        <v>-</v>
      </c>
      <c r="Y317" s="7" t="str">
        <f t="shared" ca="1" si="156"/>
        <v>-</v>
      </c>
      <c r="Z317" s="7">
        <f t="shared" ca="1" si="156"/>
        <v>0</v>
      </c>
      <c r="AA317" s="28" t="str">
        <f t="shared" si="147"/>
        <v>ALW</v>
      </c>
      <c r="AB317" s="28"/>
      <c r="AC317" s="12"/>
      <c r="AD317" s="12"/>
    </row>
    <row r="318" spans="1:30" x14ac:dyDescent="0.25">
      <c r="A318" s="5" t="s">
        <v>19</v>
      </c>
      <c r="B318" s="5" t="s">
        <v>45</v>
      </c>
      <c r="C318" s="5" t="s">
        <v>293</v>
      </c>
      <c r="D318" s="6">
        <f t="shared" ca="1" si="142"/>
        <v>38.739130434782609</v>
      </c>
      <c r="E318" s="6">
        <f t="shared" ca="1" si="143"/>
        <v>567.47814814814808</v>
      </c>
      <c r="F318" s="6">
        <f t="shared" ca="1" si="153"/>
        <v>21983.609999999997</v>
      </c>
      <c r="G318" s="6">
        <f t="shared" ca="1" si="153"/>
        <v>42.565217391304351</v>
      </c>
      <c r="H318" s="6">
        <f t="shared" ca="1" si="144"/>
        <v>890.35842696629209</v>
      </c>
      <c r="I318" s="6">
        <f t="shared" ca="1" si="154"/>
        <v>37898.300000000003</v>
      </c>
      <c r="J318" s="6">
        <f t="shared" ca="1" si="154"/>
        <v>25</v>
      </c>
      <c r="K318" s="6">
        <f t="shared" ca="1" si="145"/>
        <v>1218.3139999999999</v>
      </c>
      <c r="L318" s="6">
        <f t="shared" ca="1" si="155"/>
        <v>30457.85</v>
      </c>
      <c r="M318" s="6">
        <f t="shared" ca="1" si="155"/>
        <v>41.46153846153846</v>
      </c>
      <c r="N318" s="6">
        <f t="shared" ca="1" si="146"/>
        <v>1328.0935374149662</v>
      </c>
      <c r="O318" s="6">
        <f t="shared" ca="1" si="156"/>
        <v>55064.801282051289</v>
      </c>
      <c r="P318" s="6">
        <f t="shared" ca="1" si="156"/>
        <v>-16.46153846153846</v>
      </c>
      <c r="Q318" s="6">
        <f t="shared" ca="1" si="156"/>
        <v>-109.7795374149664</v>
      </c>
      <c r="R318" s="6">
        <f t="shared" ca="1" si="156"/>
        <v>-24606.95128205129</v>
      </c>
      <c r="S318" s="6">
        <f t="shared" ca="1" si="156"/>
        <v>-2744.48843537416</v>
      </c>
      <c r="T318" s="6">
        <f t="shared" ca="1" si="156"/>
        <v>-21862.462846677136</v>
      </c>
      <c r="U318" s="7">
        <f t="shared" ca="1" si="156"/>
        <v>0.60296846011131733</v>
      </c>
      <c r="V318" s="7">
        <f t="shared" ca="1" si="156"/>
        <v>-0.35465768799102132</v>
      </c>
      <c r="W318" s="7">
        <f t="shared" ca="1" si="156"/>
        <v>0.38547990980553254</v>
      </c>
      <c r="X318" s="7">
        <f t="shared" ca="1" si="156"/>
        <v>-0.41266598569969359</v>
      </c>
      <c r="Y318" s="7">
        <f t="shared" ca="1" si="156"/>
        <v>-0.19632674816548509</v>
      </c>
      <c r="Z318" s="7">
        <f t="shared" ca="1" si="156"/>
        <v>0</v>
      </c>
      <c r="AA318" s="28" t="str">
        <f t="shared" si="147"/>
        <v>ALW</v>
      </c>
      <c r="AB318" s="28"/>
      <c r="AC318" s="12"/>
      <c r="AD318" s="12"/>
    </row>
    <row r="319" spans="1:30" x14ac:dyDescent="0.25">
      <c r="A319" s="5" t="s">
        <v>19</v>
      </c>
      <c r="B319" s="5" t="s">
        <v>51</v>
      </c>
      <c r="C319" s="5" t="s">
        <v>294</v>
      </c>
      <c r="D319" s="6" t="str">
        <f t="shared" ca="1" si="142"/>
        <v>-</v>
      </c>
      <c r="E319" s="6" t="str">
        <f t="shared" ca="1" si="143"/>
        <v>-</v>
      </c>
      <c r="F319" s="6" t="str">
        <f t="shared" ca="1" si="153"/>
        <v>-</v>
      </c>
      <c r="G319" s="6" t="str">
        <f t="shared" ca="1" si="153"/>
        <v>-</v>
      </c>
      <c r="H319" s="6" t="str">
        <f t="shared" ca="1" si="144"/>
        <v>-</v>
      </c>
      <c r="I319" s="6" t="str">
        <f t="shared" ca="1" si="154"/>
        <v>-</v>
      </c>
      <c r="J319" s="6">
        <f t="shared" ca="1" si="154"/>
        <v>18</v>
      </c>
      <c r="K319" s="6">
        <f t="shared" ca="1" si="145"/>
        <v>753.88888888888891</v>
      </c>
      <c r="L319" s="6">
        <f t="shared" ca="1" si="155"/>
        <v>13570</v>
      </c>
      <c r="M319" s="6">
        <f t="shared" ca="1" si="155"/>
        <v>19.8</v>
      </c>
      <c r="N319" s="6">
        <f t="shared" ca="1" si="146"/>
        <v>842.02739494301989</v>
      </c>
      <c r="O319" s="6">
        <f t="shared" ca="1" si="156"/>
        <v>16672.142419871794</v>
      </c>
      <c r="P319" s="6">
        <f t="shared" ca="1" si="156"/>
        <v>-1.8000000000000007</v>
      </c>
      <c r="Q319" s="6">
        <f t="shared" ca="1" si="156"/>
        <v>-88.138506054130971</v>
      </c>
      <c r="R319" s="6">
        <f t="shared" ca="1" si="156"/>
        <v>-3102.1424198717941</v>
      </c>
      <c r="S319" s="6">
        <f t="shared" ca="1" si="156"/>
        <v>-1586.4931089743575</v>
      </c>
      <c r="T319" s="6">
        <f t="shared" ca="1" si="156"/>
        <v>-1515.6493108974364</v>
      </c>
      <c r="U319" s="7">
        <f t="shared" ca="1" si="156"/>
        <v>0.90909090909090906</v>
      </c>
      <c r="V319" s="7" t="str">
        <f t="shared" ca="1" si="156"/>
        <v>-</v>
      </c>
      <c r="W319" s="7" t="str">
        <f t="shared" ca="1" si="156"/>
        <v>-</v>
      </c>
      <c r="X319" s="7" t="str">
        <f t="shared" ca="1" si="156"/>
        <v>-</v>
      </c>
      <c r="Y319" s="7" t="str">
        <f t="shared" ca="1" si="156"/>
        <v>-</v>
      </c>
      <c r="Z319" s="7">
        <f t="shared" ca="1" si="156"/>
        <v>0</v>
      </c>
      <c r="AA319" s="28" t="str">
        <f t="shared" si="147"/>
        <v>ALW</v>
      </c>
      <c r="AB319" s="28"/>
      <c r="AC319" s="12"/>
      <c r="AD319" s="12"/>
    </row>
    <row r="320" spans="1:30" x14ac:dyDescent="0.25">
      <c r="A320" s="5" t="s">
        <v>19</v>
      </c>
      <c r="B320" s="5" t="s">
        <v>278</v>
      </c>
      <c r="C320" s="5" t="s">
        <v>295</v>
      </c>
      <c r="D320" s="6" t="str">
        <f t="shared" ca="1" si="142"/>
        <v>-</v>
      </c>
      <c r="E320" s="6" t="str">
        <f t="shared" ca="1" si="143"/>
        <v>-</v>
      </c>
      <c r="F320" s="6" t="str">
        <f t="shared" ca="1" si="153"/>
        <v>-</v>
      </c>
      <c r="G320" s="6" t="str">
        <f t="shared" ca="1" si="153"/>
        <v>-</v>
      </c>
      <c r="H320" s="6" t="str">
        <f t="shared" ca="1" si="144"/>
        <v>-</v>
      </c>
      <c r="I320" s="6" t="str">
        <f t="shared" ca="1" si="154"/>
        <v>-</v>
      </c>
      <c r="J320" s="6">
        <f t="shared" ca="1" si="154"/>
        <v>8</v>
      </c>
      <c r="K320" s="6">
        <f t="shared" ca="1" si="145"/>
        <v>313.35999999999996</v>
      </c>
      <c r="L320" s="6">
        <f t="shared" ca="1" si="155"/>
        <v>2506.8799999999997</v>
      </c>
      <c r="M320" s="6">
        <f t="shared" ca="1" si="155"/>
        <v>20.324780707746964</v>
      </c>
      <c r="N320" s="6">
        <f t="shared" ca="1" si="146"/>
        <v>563</v>
      </c>
      <c r="O320" s="6">
        <f t="shared" ca="1" si="156"/>
        <v>11442.85153846154</v>
      </c>
      <c r="P320" s="6">
        <f t="shared" ca="1" si="156"/>
        <v>-12.324780707746964</v>
      </c>
      <c r="Q320" s="6">
        <f t="shared" ca="1" si="156"/>
        <v>-249.64000000000004</v>
      </c>
      <c r="R320" s="6">
        <f t="shared" ca="1" si="156"/>
        <v>-8935.9715384615411</v>
      </c>
      <c r="S320" s="6">
        <f t="shared" ca="1" si="156"/>
        <v>-1997.1200000000003</v>
      </c>
      <c r="T320" s="6">
        <f t="shared" ca="1" si="156"/>
        <v>-6938.8515384615403</v>
      </c>
      <c r="U320" s="7">
        <f t="shared" ca="1" si="156"/>
        <v>0.39360818279090865</v>
      </c>
      <c r="V320" s="7" t="str">
        <f t="shared" ca="1" si="156"/>
        <v>-</v>
      </c>
      <c r="W320" s="7" t="str">
        <f t="shared" ca="1" si="156"/>
        <v>-</v>
      </c>
      <c r="X320" s="7" t="str">
        <f t="shared" ca="1" si="156"/>
        <v>-</v>
      </c>
      <c r="Y320" s="7" t="str">
        <f t="shared" ca="1" si="156"/>
        <v>-</v>
      </c>
      <c r="Z320" s="7">
        <f t="shared" ca="1" si="156"/>
        <v>0</v>
      </c>
      <c r="AA320" s="28" t="str">
        <f t="shared" si="147"/>
        <v>ALW</v>
      </c>
      <c r="AB320" s="28"/>
      <c r="AC320" s="12"/>
      <c r="AD320" s="12"/>
    </row>
    <row r="321" spans="1:30" x14ac:dyDescent="0.25">
      <c r="A321" s="5" t="s">
        <v>19</v>
      </c>
      <c r="B321" s="5" t="s">
        <v>154</v>
      </c>
      <c r="C321" s="5" t="s">
        <v>296</v>
      </c>
      <c r="D321" s="6" t="str">
        <f t="shared" ca="1" si="142"/>
        <v>-</v>
      </c>
      <c r="E321" s="6" t="str">
        <f t="shared" ca="1" si="143"/>
        <v>-</v>
      </c>
      <c r="F321" s="6" t="str">
        <f t="shared" ca="1" si="153"/>
        <v>-</v>
      </c>
      <c r="G321" s="6" t="str">
        <f t="shared" ca="1" si="153"/>
        <v>-</v>
      </c>
      <c r="H321" s="6" t="str">
        <f t="shared" ca="1" si="144"/>
        <v>-</v>
      </c>
      <c r="I321" s="6" t="str">
        <f t="shared" ca="1" si="154"/>
        <v>-</v>
      </c>
      <c r="J321" s="6">
        <f t="shared" ca="1" si="154"/>
        <v>6</v>
      </c>
      <c r="K321" s="6">
        <f t="shared" ca="1" si="145"/>
        <v>3155.8333333333335</v>
      </c>
      <c r="L321" s="6">
        <f t="shared" ca="1" si="155"/>
        <v>18935</v>
      </c>
      <c r="M321" s="6">
        <f t="shared" ca="1" si="155"/>
        <v>12.692307692307692</v>
      </c>
      <c r="N321" s="6">
        <f t="shared" ca="1" si="146"/>
        <v>1200</v>
      </c>
      <c r="O321" s="6">
        <f t="shared" ca="1" si="156"/>
        <v>15230.76923076923</v>
      </c>
      <c r="P321" s="6">
        <f t="shared" ca="1" si="156"/>
        <v>-6.6923076923076916</v>
      </c>
      <c r="Q321" s="6">
        <f t="shared" ca="1" si="156"/>
        <v>1955.8333333333335</v>
      </c>
      <c r="R321" s="6">
        <f t="shared" ca="1" si="156"/>
        <v>3704.2307692307695</v>
      </c>
      <c r="S321" s="6">
        <f t="shared" ca="1" si="156"/>
        <v>11735</v>
      </c>
      <c r="T321" s="6">
        <f t="shared" ca="1" si="156"/>
        <v>-8030.7692307692296</v>
      </c>
      <c r="U321" s="7">
        <f t="shared" ca="1" si="156"/>
        <v>0.47272727272727277</v>
      </c>
      <c r="V321" s="7" t="str">
        <f t="shared" ca="1" si="156"/>
        <v>-</v>
      </c>
      <c r="W321" s="7" t="str">
        <f t="shared" ca="1" si="156"/>
        <v>-</v>
      </c>
      <c r="X321" s="7" t="str">
        <f t="shared" ca="1" si="156"/>
        <v>-</v>
      </c>
      <c r="Y321" s="7" t="str">
        <f t="shared" ca="1" si="156"/>
        <v>-</v>
      </c>
      <c r="Z321" s="7">
        <f t="shared" ca="1" si="156"/>
        <v>0</v>
      </c>
      <c r="AA321" s="28" t="str">
        <f t="shared" si="147"/>
        <v>ALW</v>
      </c>
      <c r="AB321" s="28"/>
      <c r="AC321" s="12"/>
      <c r="AD321" s="12"/>
    </row>
    <row r="322" spans="1:30" x14ac:dyDescent="0.25">
      <c r="A322" s="5" t="s">
        <v>19</v>
      </c>
      <c r="B322" s="5" t="s">
        <v>39</v>
      </c>
      <c r="C322" s="5" t="s">
        <v>297</v>
      </c>
      <c r="D322" s="6">
        <f t="shared" ca="1" si="142"/>
        <v>6.6956521739130439</v>
      </c>
      <c r="E322" s="6">
        <f t="shared" ca="1" si="143"/>
        <v>2261.7857142857142</v>
      </c>
      <c r="F322" s="6">
        <f t="shared" ca="1" si="153"/>
        <v>15144.13043478261</v>
      </c>
      <c r="G322" s="6">
        <f t="shared" ca="1" si="153"/>
        <v>14.347826086956522</v>
      </c>
      <c r="H322" s="6">
        <f t="shared" ca="1" si="144"/>
        <v>2577.1616666666669</v>
      </c>
      <c r="I322" s="6">
        <f t="shared" ca="1" si="154"/>
        <v>36976.667391304349</v>
      </c>
      <c r="J322" s="6">
        <f t="shared" ca="1" si="154"/>
        <v>10</v>
      </c>
      <c r="K322" s="6">
        <f t="shared" ca="1" si="145"/>
        <v>1823.068</v>
      </c>
      <c r="L322" s="6">
        <f t="shared" ca="1" si="155"/>
        <v>18230.68</v>
      </c>
      <c r="M322" s="6">
        <f t="shared" ca="1" si="155"/>
        <v>16.923076923076923</v>
      </c>
      <c r="N322" s="6">
        <f t="shared" ca="1" si="146"/>
        <v>1884.425</v>
      </c>
      <c r="O322" s="6">
        <f t="shared" ca="1" si="156"/>
        <v>31890.26923076923</v>
      </c>
      <c r="P322" s="6">
        <f t="shared" ca="1" si="156"/>
        <v>-6.9230769230769234</v>
      </c>
      <c r="Q322" s="6">
        <f t="shared" ca="1" si="156"/>
        <v>-61.356999999999971</v>
      </c>
      <c r="R322" s="6">
        <f t="shared" ca="1" si="156"/>
        <v>-13659.58923076923</v>
      </c>
      <c r="S322" s="6">
        <f t="shared" ca="1" si="156"/>
        <v>-613.56999999999971</v>
      </c>
      <c r="T322" s="6">
        <f t="shared" ca="1" si="156"/>
        <v>-13046.01923076923</v>
      </c>
      <c r="U322" s="7">
        <f t="shared" ca="1" si="156"/>
        <v>0.59090909090909094</v>
      </c>
      <c r="V322" s="7">
        <f t="shared" ca="1" si="156"/>
        <v>0.49350649350649339</v>
      </c>
      <c r="W322" s="7">
        <f t="shared" ca="1" si="156"/>
        <v>0.20381160730947553</v>
      </c>
      <c r="X322" s="7">
        <f t="shared" ca="1" si="156"/>
        <v>-0.30303030303030304</v>
      </c>
      <c r="Y322" s="7">
        <f t="shared" ca="1" si="156"/>
        <v>-0.50696800749850068</v>
      </c>
      <c r="Z322" s="7">
        <f t="shared" ca="1" si="156"/>
        <v>0</v>
      </c>
      <c r="AA322" s="28" t="str">
        <f t="shared" si="147"/>
        <v>ALW</v>
      </c>
      <c r="AB322" s="28"/>
      <c r="AC322" s="12"/>
      <c r="AD322" s="12"/>
    </row>
    <row r="323" spans="1:30" x14ac:dyDescent="0.25">
      <c r="A323" s="5" t="s">
        <v>19</v>
      </c>
      <c r="B323" s="5" t="s">
        <v>51</v>
      </c>
      <c r="C323" s="5" t="s">
        <v>298</v>
      </c>
      <c r="D323" s="6">
        <f t="shared" ca="1" si="142"/>
        <v>1.9130434782608696</v>
      </c>
      <c r="E323" s="6">
        <f t="shared" ca="1" si="143"/>
        <v>500.00000000000006</v>
      </c>
      <c r="F323" s="6">
        <f t="shared" ca="1" si="153"/>
        <v>956.52173913043487</v>
      </c>
      <c r="G323" s="6">
        <f t="shared" ca="1" si="153"/>
        <v>4.7826086956521738</v>
      </c>
      <c r="H323" s="6">
        <f t="shared" ca="1" si="144"/>
        <v>490.00000000000006</v>
      </c>
      <c r="I323" s="6">
        <f t="shared" ca="1" si="154"/>
        <v>2343.4782608695655</v>
      </c>
      <c r="J323" s="6">
        <f t="shared" ca="1" si="154"/>
        <v>12</v>
      </c>
      <c r="K323" s="6">
        <f t="shared" ca="1" si="145"/>
        <v>418.44083333333327</v>
      </c>
      <c r="L323" s="6">
        <f t="shared" ca="1" si="155"/>
        <v>5021.2899999999991</v>
      </c>
      <c r="M323" s="6">
        <f t="shared" ca="1" si="155"/>
        <v>16.753846153846155</v>
      </c>
      <c r="N323" s="6">
        <f t="shared" ca="1" si="146"/>
        <v>428.28484126984125</v>
      </c>
      <c r="O323" s="6">
        <f t="shared" ca="1" si="156"/>
        <v>7175.4183406593411</v>
      </c>
      <c r="P323" s="6">
        <f t="shared" ca="1" si="156"/>
        <v>-4.7538461538461547</v>
      </c>
      <c r="Q323" s="6">
        <f t="shared" ca="1" si="156"/>
        <v>-9.8440079365079782</v>
      </c>
      <c r="R323" s="6">
        <f t="shared" ca="1" si="156"/>
        <v>-2154.128340659342</v>
      </c>
      <c r="S323" s="6">
        <f t="shared" ca="1" si="156"/>
        <v>-118.12809523809574</v>
      </c>
      <c r="T323" s="6">
        <f t="shared" ca="1" si="156"/>
        <v>-2036.0002454212456</v>
      </c>
      <c r="U323" s="7">
        <f t="shared" ca="1" si="156"/>
        <v>0.71625344352617071</v>
      </c>
      <c r="V323" s="7">
        <f t="shared" ca="1" si="156"/>
        <v>5.2727272727272725</v>
      </c>
      <c r="W323" s="7">
        <f t="shared" ca="1" si="156"/>
        <v>4.2495304545454529</v>
      </c>
      <c r="X323" s="7">
        <f t="shared" ca="1" si="156"/>
        <v>1.509090909090909</v>
      </c>
      <c r="Y323" s="7">
        <f t="shared" ca="1" si="156"/>
        <v>1.1426654916512053</v>
      </c>
      <c r="Z323" s="7">
        <f t="shared" ca="1" si="156"/>
        <v>0</v>
      </c>
      <c r="AA323" s="28" t="str">
        <f t="shared" si="147"/>
        <v>ALW</v>
      </c>
      <c r="AB323" s="28"/>
      <c r="AC323" s="12"/>
      <c r="AD323" s="12"/>
    </row>
    <row r="324" spans="1:30" x14ac:dyDescent="0.25">
      <c r="A324" s="5" t="s">
        <v>19</v>
      </c>
      <c r="B324" s="5" t="s">
        <v>154</v>
      </c>
      <c r="C324" s="5" t="s">
        <v>227</v>
      </c>
      <c r="D324" s="6">
        <f t="shared" ca="1" si="142"/>
        <v>0.95652173913043481</v>
      </c>
      <c r="E324" s="6">
        <f t="shared" ca="1" si="143"/>
        <v>600</v>
      </c>
      <c r="F324" s="6">
        <f t="shared" ca="1" si="153"/>
        <v>573.91304347826087</v>
      </c>
      <c r="G324" s="6" t="str">
        <f t="shared" ca="1" si="153"/>
        <v>-</v>
      </c>
      <c r="H324" s="6" t="str">
        <f t="shared" ca="1" si="144"/>
        <v>-</v>
      </c>
      <c r="I324" s="6" t="str">
        <f t="shared" ca="1" si="154"/>
        <v>-</v>
      </c>
      <c r="J324" s="6">
        <f t="shared" ca="1" si="154"/>
        <v>2</v>
      </c>
      <c r="K324" s="6">
        <f t="shared" ca="1" si="145"/>
        <v>700</v>
      </c>
      <c r="L324" s="6">
        <f t="shared" ca="1" si="155"/>
        <v>1400</v>
      </c>
      <c r="M324" s="6">
        <f t="shared" ca="1" si="155"/>
        <v>9.5189134615384621</v>
      </c>
      <c r="N324" s="6">
        <f t="shared" ca="1" si="146"/>
        <v>1199.9999999999998</v>
      </c>
      <c r="O324" s="6">
        <f t="shared" ca="1" si="156"/>
        <v>11422.696153846153</v>
      </c>
      <c r="P324" s="6">
        <f t="shared" ca="1" si="156"/>
        <v>-7.5189134615384621</v>
      </c>
      <c r="Q324" s="6">
        <f t="shared" ca="1" si="156"/>
        <v>-499.99999999999977</v>
      </c>
      <c r="R324" s="6">
        <f t="shared" ca="1" si="156"/>
        <v>-10022.696153846153</v>
      </c>
      <c r="S324" s="6">
        <f t="shared" ca="1" si="156"/>
        <v>-999.99999999999955</v>
      </c>
      <c r="T324" s="6">
        <f t="shared" ca="1" si="156"/>
        <v>-9022.6961538461528</v>
      </c>
      <c r="U324" s="7">
        <f t="shared" ca="1" si="156"/>
        <v>0.21010801370146681</v>
      </c>
      <c r="V324" s="7">
        <f t="shared" ca="1" si="156"/>
        <v>1.0909090909090908</v>
      </c>
      <c r="W324" s="7">
        <f t="shared" ca="1" si="156"/>
        <v>1.4393939393939394</v>
      </c>
      <c r="X324" s="7" t="str">
        <f t="shared" ca="1" si="156"/>
        <v>-</v>
      </c>
      <c r="Y324" s="7" t="str">
        <f t="shared" ca="1" si="156"/>
        <v>-</v>
      </c>
      <c r="Z324" s="7">
        <f t="shared" ca="1" si="156"/>
        <v>0</v>
      </c>
      <c r="AA324" s="28" t="str">
        <f t="shared" si="147"/>
        <v>ALW</v>
      </c>
      <c r="AB324" s="28"/>
      <c r="AC324" s="12"/>
      <c r="AD324" s="12"/>
    </row>
    <row r="325" spans="1:30" x14ac:dyDescent="0.25">
      <c r="A325" s="5" t="s">
        <v>19</v>
      </c>
      <c r="B325" s="5" t="s">
        <v>39</v>
      </c>
      <c r="C325" s="5" t="s">
        <v>299</v>
      </c>
      <c r="D325" s="6">
        <f t="shared" ca="1" si="142"/>
        <v>111.43478260869566</v>
      </c>
      <c r="E325" s="6">
        <f t="shared" ca="1" si="143"/>
        <v>1300.2302575107299</v>
      </c>
      <c r="F325" s="6">
        <f t="shared" ca="1" si="153"/>
        <v>144890.87608695656</v>
      </c>
      <c r="G325" s="6">
        <f t="shared" ca="1" si="153"/>
        <v>43.04347826086957</v>
      </c>
      <c r="H325" s="6">
        <f t="shared" ca="1" si="144"/>
        <v>2194.4248888888887</v>
      </c>
      <c r="I325" s="6">
        <f t="shared" ca="1" si="154"/>
        <v>94455.680000000008</v>
      </c>
      <c r="J325" s="6">
        <f t="shared" ca="1" si="154"/>
        <v>0</v>
      </c>
      <c r="K325" s="6" t="str">
        <f t="shared" ca="1" si="145"/>
        <v>-</v>
      </c>
      <c r="L325" s="6">
        <f t="shared" ca="1" si="155"/>
        <v>0</v>
      </c>
      <c r="M325" s="6">
        <f t="shared" ca="1" si="155"/>
        <v>80.807692307692307</v>
      </c>
      <c r="N325" s="6">
        <f t="shared" ca="1" si="146"/>
        <v>1400</v>
      </c>
      <c r="O325" s="6">
        <f t="shared" ca="1" si="156"/>
        <v>113130.76923076923</v>
      </c>
      <c r="P325" s="6">
        <f t="shared" ca="1" si="156"/>
        <v>-80.807692307692307</v>
      </c>
      <c r="Q325" s="6" t="str">
        <f t="shared" ca="1" si="156"/>
        <v>-</v>
      </c>
      <c r="R325" s="6">
        <f t="shared" ca="1" si="156"/>
        <v>-113130.76923076923</v>
      </c>
      <c r="S325" s="6" t="str">
        <f t="shared" ca="1" si="156"/>
        <v>-</v>
      </c>
      <c r="T325" s="6">
        <f t="shared" ca="1" si="156"/>
        <v>-113130.76923076923</v>
      </c>
      <c r="U325" s="7">
        <f t="shared" ca="1" si="156"/>
        <v>0</v>
      </c>
      <c r="V325" s="7">
        <f t="shared" ca="1" si="156"/>
        <v>-1</v>
      </c>
      <c r="W325" s="7">
        <f t="shared" ca="1" si="156"/>
        <v>-1</v>
      </c>
      <c r="X325" s="7">
        <f t="shared" ca="1" si="156"/>
        <v>-1</v>
      </c>
      <c r="Y325" s="7">
        <f t="shared" ca="1" si="156"/>
        <v>-1</v>
      </c>
      <c r="Z325" s="7">
        <f t="shared" ca="1" si="156"/>
        <v>0</v>
      </c>
      <c r="AA325" s="28" t="str">
        <f t="shared" si="147"/>
        <v>ALW</v>
      </c>
      <c r="AB325" s="28"/>
      <c r="AC325" s="12"/>
      <c r="AD325" s="12"/>
    </row>
    <row r="326" spans="1:30" x14ac:dyDescent="0.25">
      <c r="A326" s="5" t="s">
        <v>19</v>
      </c>
      <c r="B326" s="5" t="s">
        <v>39</v>
      </c>
      <c r="C326" s="5" t="s">
        <v>300</v>
      </c>
      <c r="D326" s="6" t="str">
        <f t="shared" ca="1" si="142"/>
        <v>-</v>
      </c>
      <c r="E326" s="6" t="str">
        <f t="shared" ca="1" si="143"/>
        <v>-</v>
      </c>
      <c r="F326" s="6" t="str">
        <f t="shared" ca="1" si="153"/>
        <v>-</v>
      </c>
      <c r="G326" s="6" t="str">
        <f t="shared" ca="1" si="153"/>
        <v>-</v>
      </c>
      <c r="H326" s="6" t="str">
        <f t="shared" ca="1" si="144"/>
        <v>-</v>
      </c>
      <c r="I326" s="6" t="str">
        <f t="shared" ca="1" si="154"/>
        <v>-</v>
      </c>
      <c r="J326" s="6">
        <f t="shared" ca="1" si="154"/>
        <v>0</v>
      </c>
      <c r="K326" s="6" t="str">
        <f t="shared" ca="1" si="145"/>
        <v>-</v>
      </c>
      <c r="L326" s="6">
        <f t="shared" ca="1" si="155"/>
        <v>0</v>
      </c>
      <c r="M326" s="6">
        <f t="shared" ca="1" si="155"/>
        <v>13.53846153846154</v>
      </c>
      <c r="N326" s="6">
        <f t="shared" ca="1" si="146"/>
        <v>4123.8203125</v>
      </c>
      <c r="O326" s="6">
        <f t="shared" ref="O326:Z335" ca="1" si="157">IFERROR(VLOOKUP($C326,INDIRECT("'"&amp;$AA326&amp;"-"&amp;$C$1&amp;"'!$C:$AH"),O$30,0),0)</f>
        <v>55830.182692307695</v>
      </c>
      <c r="P326" s="6">
        <f t="shared" ca="1" si="157"/>
        <v>-13.53846153846154</v>
      </c>
      <c r="Q326" s="6" t="str">
        <f t="shared" ca="1" si="157"/>
        <v>-</v>
      </c>
      <c r="R326" s="6">
        <f t="shared" ca="1" si="157"/>
        <v>-55830.182692307695</v>
      </c>
      <c r="S326" s="6" t="str">
        <f t="shared" ca="1" si="157"/>
        <v>-</v>
      </c>
      <c r="T326" s="6">
        <f t="shared" ca="1" si="157"/>
        <v>-55830.182692307702</v>
      </c>
      <c r="U326" s="7">
        <f t="shared" ca="1" si="157"/>
        <v>0</v>
      </c>
      <c r="V326" s="7" t="str">
        <f t="shared" ca="1" si="157"/>
        <v>-</v>
      </c>
      <c r="W326" s="7" t="str">
        <f t="shared" ca="1" si="157"/>
        <v>-</v>
      </c>
      <c r="X326" s="7" t="str">
        <f t="shared" ca="1" si="157"/>
        <v>-</v>
      </c>
      <c r="Y326" s="7" t="str">
        <f t="shared" ca="1" si="157"/>
        <v>-</v>
      </c>
      <c r="Z326" s="7">
        <f t="shared" ca="1" si="157"/>
        <v>0</v>
      </c>
      <c r="AA326" s="28" t="str">
        <f t="shared" si="147"/>
        <v>ALW</v>
      </c>
      <c r="AB326" s="28"/>
      <c r="AC326" s="12"/>
      <c r="AD326" s="12"/>
    </row>
    <row r="327" spans="1:30" x14ac:dyDescent="0.25">
      <c r="A327" s="5" t="s">
        <v>19</v>
      </c>
      <c r="B327" s="5" t="s">
        <v>222</v>
      </c>
      <c r="C327" s="5" t="s">
        <v>301</v>
      </c>
      <c r="D327" s="6" t="str">
        <f t="shared" ca="1" si="142"/>
        <v>-</v>
      </c>
      <c r="E327" s="6" t="str">
        <f t="shared" ca="1" si="143"/>
        <v>-</v>
      </c>
      <c r="F327" s="6" t="str">
        <f t="shared" ca="1" si="153"/>
        <v>-</v>
      </c>
      <c r="G327" s="6" t="str">
        <f t="shared" ca="1" si="153"/>
        <v>-</v>
      </c>
      <c r="H327" s="6" t="str">
        <f t="shared" ca="1" si="144"/>
        <v>-</v>
      </c>
      <c r="I327" s="6" t="str">
        <f t="shared" ca="1" si="154"/>
        <v>-</v>
      </c>
      <c r="J327" s="6">
        <f t="shared" ca="1" si="154"/>
        <v>0</v>
      </c>
      <c r="K327" s="6" t="str">
        <f t="shared" ca="1" si="145"/>
        <v>-</v>
      </c>
      <c r="L327" s="6">
        <f t="shared" ca="1" si="155"/>
        <v>0</v>
      </c>
      <c r="M327" s="6">
        <f t="shared" ca="1" si="155"/>
        <v>2.5384615384615388</v>
      </c>
      <c r="N327" s="6">
        <f t="shared" ca="1" si="146"/>
        <v>1225</v>
      </c>
      <c r="O327" s="6">
        <f t="shared" ca="1" si="157"/>
        <v>3109.6153846153852</v>
      </c>
      <c r="P327" s="6">
        <f t="shared" ca="1" si="157"/>
        <v>-2.5384615384615388</v>
      </c>
      <c r="Q327" s="6" t="str">
        <f t="shared" ca="1" si="157"/>
        <v>-</v>
      </c>
      <c r="R327" s="6">
        <f t="shared" ca="1" si="157"/>
        <v>-3109.6153846153852</v>
      </c>
      <c r="S327" s="6" t="str">
        <f t="shared" ca="1" si="157"/>
        <v>-</v>
      </c>
      <c r="T327" s="6">
        <f t="shared" ca="1" si="157"/>
        <v>-3109.6153846153852</v>
      </c>
      <c r="U327" s="7">
        <f t="shared" ca="1" si="157"/>
        <v>0</v>
      </c>
      <c r="V327" s="7" t="str">
        <f t="shared" ca="1" si="157"/>
        <v>-</v>
      </c>
      <c r="W327" s="7" t="str">
        <f t="shared" ca="1" si="157"/>
        <v>-</v>
      </c>
      <c r="X327" s="7" t="str">
        <f t="shared" ca="1" si="157"/>
        <v>-</v>
      </c>
      <c r="Y327" s="7" t="str">
        <f t="shared" ca="1" si="157"/>
        <v>-</v>
      </c>
      <c r="Z327" s="7">
        <f t="shared" ca="1" si="157"/>
        <v>0</v>
      </c>
      <c r="AA327" s="28" t="str">
        <f t="shared" si="147"/>
        <v>ALW</v>
      </c>
      <c r="AB327" s="28"/>
      <c r="AC327" s="12"/>
      <c r="AD327" s="12"/>
    </row>
    <row r="328" spans="1:30" x14ac:dyDescent="0.25">
      <c r="A328" s="5" t="s">
        <v>19</v>
      </c>
      <c r="B328" s="5" t="s">
        <v>222</v>
      </c>
      <c r="C328" s="5" t="s">
        <v>710</v>
      </c>
      <c r="D328" s="6" t="str">
        <f t="shared" ca="1" si="142"/>
        <v>-</v>
      </c>
      <c r="E328" s="6" t="str">
        <f t="shared" ca="1" si="143"/>
        <v>-</v>
      </c>
      <c r="F328" s="6" t="str">
        <f t="shared" ca="1" si="153"/>
        <v>-</v>
      </c>
      <c r="G328" s="6" t="str">
        <f t="shared" ca="1" si="153"/>
        <v>-</v>
      </c>
      <c r="H328" s="6" t="str">
        <f t="shared" ca="1" si="144"/>
        <v>-</v>
      </c>
      <c r="I328" s="6" t="str">
        <f t="shared" ca="1" si="154"/>
        <v>-</v>
      </c>
      <c r="J328" s="6">
        <f t="shared" ca="1" si="154"/>
        <v>5</v>
      </c>
      <c r="K328" s="6">
        <f t="shared" ca="1" si="145"/>
        <v>630</v>
      </c>
      <c r="L328" s="6">
        <f t="shared" ca="1" si="155"/>
        <v>3150</v>
      </c>
      <c r="M328" s="6">
        <f t="shared" ca="1" si="155"/>
        <v>4.2307692307692308</v>
      </c>
      <c r="N328" s="6">
        <f t="shared" ca="1" si="146"/>
        <v>1225.0000000000002</v>
      </c>
      <c r="O328" s="6">
        <f t="shared" ca="1" si="157"/>
        <v>5182.6923076923085</v>
      </c>
      <c r="P328" s="6">
        <f t="shared" ca="1" si="157"/>
        <v>0.76923076923076916</v>
      </c>
      <c r="Q328" s="6">
        <f t="shared" ca="1" si="157"/>
        <v>-595.00000000000023</v>
      </c>
      <c r="R328" s="6">
        <f t="shared" ca="1" si="157"/>
        <v>-2032.6923076923085</v>
      </c>
      <c r="S328" s="6">
        <f t="shared" ca="1" si="157"/>
        <v>-2975.0000000000009</v>
      </c>
      <c r="T328" s="6">
        <f t="shared" ca="1" si="157"/>
        <v>942.30769230769238</v>
      </c>
      <c r="U328" s="7">
        <f t="shared" ca="1" si="157"/>
        <v>1.1818181818181819</v>
      </c>
      <c r="V328" s="7" t="str">
        <f t="shared" ca="1" si="157"/>
        <v>-</v>
      </c>
      <c r="W328" s="7" t="str">
        <f t="shared" ca="1" si="157"/>
        <v>-</v>
      </c>
      <c r="X328" s="7" t="str">
        <f t="shared" ca="1" si="157"/>
        <v>-</v>
      </c>
      <c r="Y328" s="7" t="str">
        <f t="shared" ca="1" si="157"/>
        <v>-</v>
      </c>
      <c r="Z328" s="7">
        <f t="shared" ca="1" si="157"/>
        <v>0</v>
      </c>
      <c r="AA328" s="28" t="str">
        <f t="shared" si="147"/>
        <v>ALW</v>
      </c>
      <c r="AB328" s="28"/>
      <c r="AC328" s="12"/>
      <c r="AD328" s="12"/>
    </row>
    <row r="329" spans="1:30" x14ac:dyDescent="0.25">
      <c r="A329" s="5" t="s">
        <v>19</v>
      </c>
      <c r="B329" s="5" t="s">
        <v>278</v>
      </c>
      <c r="C329" s="5" t="s">
        <v>302</v>
      </c>
      <c r="D329" s="6" t="str">
        <f t="shared" ca="1" si="142"/>
        <v>-</v>
      </c>
      <c r="E329" s="6" t="str">
        <f t="shared" ca="1" si="143"/>
        <v>-</v>
      </c>
      <c r="F329" s="6" t="str">
        <f t="shared" ca="1" si="153"/>
        <v>-</v>
      </c>
      <c r="G329" s="6" t="str">
        <f t="shared" ca="1" si="153"/>
        <v>-</v>
      </c>
      <c r="H329" s="6" t="str">
        <f t="shared" ca="1" si="144"/>
        <v>-</v>
      </c>
      <c r="I329" s="6" t="str">
        <f t="shared" ca="1" si="154"/>
        <v>-</v>
      </c>
      <c r="J329" s="6">
        <f t="shared" ca="1" si="154"/>
        <v>0</v>
      </c>
      <c r="K329" s="6" t="str">
        <f t="shared" ca="1" si="145"/>
        <v>-</v>
      </c>
      <c r="L329" s="6">
        <f t="shared" ca="1" si="155"/>
        <v>0</v>
      </c>
      <c r="M329" s="6">
        <f t="shared" ca="1" si="155"/>
        <v>4.2307692307692308</v>
      </c>
      <c r="N329" s="6">
        <f t="shared" ca="1" si="146"/>
        <v>1735.1376058201058</v>
      </c>
      <c r="O329" s="6">
        <f t="shared" ca="1" si="157"/>
        <v>7340.9667938542943</v>
      </c>
      <c r="P329" s="6">
        <f t="shared" ca="1" si="157"/>
        <v>-4.2307692307692308</v>
      </c>
      <c r="Q329" s="6" t="str">
        <f t="shared" ca="1" si="157"/>
        <v>-</v>
      </c>
      <c r="R329" s="6">
        <f t="shared" ca="1" si="157"/>
        <v>-7340.9667938542943</v>
      </c>
      <c r="S329" s="6" t="str">
        <f t="shared" ca="1" si="157"/>
        <v>-</v>
      </c>
      <c r="T329" s="6">
        <f t="shared" ca="1" si="157"/>
        <v>-7340.9667938542943</v>
      </c>
      <c r="U329" s="7">
        <f t="shared" ca="1" si="157"/>
        <v>0</v>
      </c>
      <c r="V329" s="7" t="str">
        <f t="shared" ca="1" si="157"/>
        <v>-</v>
      </c>
      <c r="W329" s="7" t="str">
        <f t="shared" ca="1" si="157"/>
        <v>-</v>
      </c>
      <c r="X329" s="7" t="str">
        <f t="shared" ca="1" si="157"/>
        <v>-</v>
      </c>
      <c r="Y329" s="7" t="str">
        <f t="shared" ca="1" si="157"/>
        <v>-</v>
      </c>
      <c r="Z329" s="7">
        <f t="shared" ca="1" si="157"/>
        <v>0</v>
      </c>
      <c r="AA329" s="28" t="str">
        <f t="shared" si="147"/>
        <v>ALW</v>
      </c>
      <c r="AB329" s="28"/>
      <c r="AC329" s="12"/>
      <c r="AD329" s="12"/>
    </row>
    <row r="330" spans="1:30" x14ac:dyDescent="0.25">
      <c r="A330" s="5" t="s">
        <v>19</v>
      </c>
      <c r="B330" s="5" t="s">
        <v>278</v>
      </c>
      <c r="C330" s="5" t="s">
        <v>709</v>
      </c>
      <c r="D330" s="6" t="str">
        <f t="shared" ca="1" si="142"/>
        <v>-</v>
      </c>
      <c r="E330" s="6" t="str">
        <f t="shared" ca="1" si="143"/>
        <v>-</v>
      </c>
      <c r="F330" s="6" t="str">
        <f t="shared" ca="1" si="153"/>
        <v>-</v>
      </c>
      <c r="G330" s="6" t="str">
        <f t="shared" ca="1" si="153"/>
        <v>-</v>
      </c>
      <c r="H330" s="6" t="str">
        <f t="shared" ca="1" si="144"/>
        <v>-</v>
      </c>
      <c r="I330" s="6" t="str">
        <f t="shared" ca="1" si="154"/>
        <v>-</v>
      </c>
      <c r="J330" s="6">
        <f t="shared" ca="1" si="154"/>
        <v>3</v>
      </c>
      <c r="K330" s="6">
        <f t="shared" ca="1" si="145"/>
        <v>1194.2166666666667</v>
      </c>
      <c r="L330" s="6">
        <f t="shared" ca="1" si="155"/>
        <v>3582.65</v>
      </c>
      <c r="M330" s="6">
        <f t="shared" ca="1" si="155"/>
        <v>4.2307692307692308</v>
      </c>
      <c r="N330" s="6">
        <f t="shared" ca="1" si="146"/>
        <v>1813.0714285714289</v>
      </c>
      <c r="O330" s="6">
        <f t="shared" ca="1" si="157"/>
        <v>7670.686813186815</v>
      </c>
      <c r="P330" s="6">
        <f t="shared" ca="1" si="157"/>
        <v>-1.2307692307692308</v>
      </c>
      <c r="Q330" s="6">
        <f t="shared" ca="1" si="157"/>
        <v>-618.8547619047622</v>
      </c>
      <c r="R330" s="6">
        <f t="shared" ca="1" si="157"/>
        <v>-4088.0368131868149</v>
      </c>
      <c r="S330" s="6">
        <f t="shared" ca="1" si="157"/>
        <v>-1856.5642857142866</v>
      </c>
      <c r="T330" s="6">
        <f t="shared" ca="1" si="157"/>
        <v>-2231.4725274725279</v>
      </c>
      <c r="U330" s="7">
        <f t="shared" ca="1" si="157"/>
        <v>0.70909090909090911</v>
      </c>
      <c r="V330" s="7" t="str">
        <f t="shared" ca="1" si="157"/>
        <v>-</v>
      </c>
      <c r="W330" s="7" t="str">
        <f t="shared" ca="1" si="157"/>
        <v>-</v>
      </c>
      <c r="X330" s="7" t="str">
        <f t="shared" ca="1" si="157"/>
        <v>-</v>
      </c>
      <c r="Y330" s="7" t="str">
        <f t="shared" ca="1" si="157"/>
        <v>-</v>
      </c>
      <c r="Z330" s="7">
        <f t="shared" ca="1" si="157"/>
        <v>0</v>
      </c>
      <c r="AA330" s="28" t="str">
        <f t="shared" si="147"/>
        <v>ALW</v>
      </c>
      <c r="AB330" s="28"/>
      <c r="AC330" s="12"/>
      <c r="AD330" s="12"/>
    </row>
    <row r="331" spans="1:30" x14ac:dyDescent="0.25">
      <c r="A331" s="5" t="s">
        <v>19</v>
      </c>
      <c r="B331" s="5" t="s">
        <v>278</v>
      </c>
      <c r="C331" s="5" t="s">
        <v>303</v>
      </c>
      <c r="D331" s="6" t="str">
        <f t="shared" ca="1" si="142"/>
        <v>-</v>
      </c>
      <c r="E331" s="6" t="str">
        <f t="shared" ca="1" si="143"/>
        <v>-</v>
      </c>
      <c r="F331" s="6" t="str">
        <f t="shared" ca="1" si="153"/>
        <v>-</v>
      </c>
      <c r="G331" s="6" t="str">
        <f t="shared" ca="1" si="153"/>
        <v>-</v>
      </c>
      <c r="H331" s="6" t="str">
        <f t="shared" ca="1" si="144"/>
        <v>-</v>
      </c>
      <c r="I331" s="6" t="str">
        <f t="shared" ca="1" si="154"/>
        <v>-</v>
      </c>
      <c r="J331" s="6">
        <f t="shared" ca="1" si="154"/>
        <v>1</v>
      </c>
      <c r="K331" s="6">
        <f t="shared" ca="1" si="145"/>
        <v>400</v>
      </c>
      <c r="L331" s="6">
        <f t="shared" ca="1" si="155"/>
        <v>400</v>
      </c>
      <c r="M331" s="6">
        <f t="shared" ca="1" si="155"/>
        <v>10.576923076923078</v>
      </c>
      <c r="N331" s="6">
        <f t="shared" ca="1" si="146"/>
        <v>846</v>
      </c>
      <c r="O331" s="6">
        <f t="shared" ca="1" si="157"/>
        <v>8948.0769230769238</v>
      </c>
      <c r="P331" s="6">
        <f t="shared" ca="1" si="157"/>
        <v>-9.5769230769230784</v>
      </c>
      <c r="Q331" s="6">
        <f t="shared" ca="1" si="157"/>
        <v>-446</v>
      </c>
      <c r="R331" s="6">
        <f t="shared" ca="1" si="157"/>
        <v>-8548.0769230769238</v>
      </c>
      <c r="S331" s="6">
        <f t="shared" ca="1" si="157"/>
        <v>-446</v>
      </c>
      <c r="T331" s="6">
        <f t="shared" ca="1" si="157"/>
        <v>-8102.0769230769247</v>
      </c>
      <c r="U331" s="7">
        <f t="shared" ca="1" si="157"/>
        <v>9.454545454545453E-2</v>
      </c>
      <c r="V331" s="7" t="str">
        <f t="shared" ca="1" si="157"/>
        <v>-</v>
      </c>
      <c r="W331" s="7" t="str">
        <f t="shared" ca="1" si="157"/>
        <v>-</v>
      </c>
      <c r="X331" s="7" t="str">
        <f t="shared" ca="1" si="157"/>
        <v>-</v>
      </c>
      <c r="Y331" s="7" t="str">
        <f t="shared" ca="1" si="157"/>
        <v>-</v>
      </c>
      <c r="Z331" s="7">
        <f t="shared" ca="1" si="157"/>
        <v>0</v>
      </c>
      <c r="AA331" s="28" t="str">
        <f t="shared" si="147"/>
        <v>ALW</v>
      </c>
      <c r="AB331" s="28"/>
      <c r="AC331" s="12"/>
      <c r="AD331" s="12"/>
    </row>
    <row r="332" spans="1:30" x14ac:dyDescent="0.25">
      <c r="A332" s="5" t="s">
        <v>19</v>
      </c>
      <c r="B332" s="5" t="s">
        <v>39</v>
      </c>
      <c r="C332" s="5" t="s">
        <v>343</v>
      </c>
      <c r="D332" s="6" t="str">
        <f t="shared" ca="1" si="142"/>
        <v>-</v>
      </c>
      <c r="E332" s="6" t="str">
        <f t="shared" ca="1" si="143"/>
        <v>-</v>
      </c>
      <c r="F332" s="6" t="str">
        <f t="shared" ca="1" si="153"/>
        <v>-</v>
      </c>
      <c r="G332" s="6" t="str">
        <f t="shared" ca="1" si="153"/>
        <v>-</v>
      </c>
      <c r="H332" s="6" t="str">
        <f t="shared" ca="1" si="144"/>
        <v>-</v>
      </c>
      <c r="I332" s="6" t="str">
        <f t="shared" ca="1" si="154"/>
        <v>-</v>
      </c>
      <c r="J332" s="6">
        <f t="shared" ca="1" si="154"/>
        <v>2</v>
      </c>
      <c r="K332" s="6">
        <f t="shared" ca="1" si="145"/>
        <v>254.42500000000001</v>
      </c>
      <c r="L332" s="6">
        <f t="shared" ca="1" si="155"/>
        <v>508.85</v>
      </c>
      <c r="M332" s="6" t="str">
        <f t="shared" ca="1" si="155"/>
        <v>-</v>
      </c>
      <c r="N332" s="6" t="str">
        <f t="shared" ca="1" si="146"/>
        <v>-</v>
      </c>
      <c r="O332" s="6" t="str">
        <f t="shared" ca="1" si="157"/>
        <v>-</v>
      </c>
      <c r="P332" s="6" t="str">
        <f t="shared" ca="1" si="157"/>
        <v>-</v>
      </c>
      <c r="Q332" s="6" t="str">
        <f t="shared" ca="1" si="157"/>
        <v>-</v>
      </c>
      <c r="R332" s="6" t="str">
        <f t="shared" ca="1" si="157"/>
        <v>-</v>
      </c>
      <c r="S332" s="6" t="str">
        <f t="shared" ca="1" si="157"/>
        <v>-</v>
      </c>
      <c r="T332" s="6" t="str">
        <f t="shared" ca="1" si="157"/>
        <v>-</v>
      </c>
      <c r="U332" s="7" t="str">
        <f t="shared" ca="1" si="157"/>
        <v>-</v>
      </c>
      <c r="V332" s="7" t="str">
        <f t="shared" ca="1" si="157"/>
        <v>-</v>
      </c>
      <c r="W332" s="7" t="str">
        <f t="shared" ca="1" si="157"/>
        <v>-</v>
      </c>
      <c r="X332" s="7" t="str">
        <f t="shared" ca="1" si="157"/>
        <v>-</v>
      </c>
      <c r="Y332" s="7" t="str">
        <f t="shared" ca="1" si="157"/>
        <v>-</v>
      </c>
      <c r="Z332" s="7">
        <f t="shared" ca="1" si="157"/>
        <v>0</v>
      </c>
      <c r="AA332" s="28" t="str">
        <f t="shared" si="147"/>
        <v>ALW</v>
      </c>
      <c r="AB332" s="28"/>
      <c r="AC332" s="12"/>
      <c r="AD332" s="12"/>
    </row>
    <row r="333" spans="1:30" x14ac:dyDescent="0.25">
      <c r="A333" s="5" t="s">
        <v>19</v>
      </c>
      <c r="B333" s="5" t="s">
        <v>154</v>
      </c>
      <c r="C333" s="5" t="s">
        <v>202</v>
      </c>
      <c r="D333" s="6">
        <f t="shared" ca="1" si="142"/>
        <v>1.9130434782608696</v>
      </c>
      <c r="E333" s="6" t="str">
        <f t="shared" ca="1" si="143"/>
        <v>-</v>
      </c>
      <c r="F333" s="6" t="str">
        <f t="shared" ca="1" si="153"/>
        <v>-</v>
      </c>
      <c r="G333" s="6" t="str">
        <f t="shared" ca="1" si="153"/>
        <v>-</v>
      </c>
      <c r="H333" s="6" t="str">
        <f t="shared" ca="1" si="144"/>
        <v>-</v>
      </c>
      <c r="I333" s="6" t="str">
        <f t="shared" ca="1" si="154"/>
        <v>-</v>
      </c>
      <c r="J333" s="6">
        <f t="shared" ca="1" si="154"/>
        <v>2</v>
      </c>
      <c r="K333" s="6">
        <f t="shared" ca="1" si="145"/>
        <v>274.5</v>
      </c>
      <c r="L333" s="6">
        <f t="shared" ca="1" si="155"/>
        <v>549</v>
      </c>
      <c r="M333" s="6" t="str">
        <f t="shared" ca="1" si="155"/>
        <v>-</v>
      </c>
      <c r="N333" s="6" t="str">
        <f t="shared" ca="1" si="146"/>
        <v>-</v>
      </c>
      <c r="O333" s="6" t="str">
        <f t="shared" ca="1" si="157"/>
        <v>-</v>
      </c>
      <c r="P333" s="6" t="str">
        <f t="shared" ca="1" si="157"/>
        <v>-</v>
      </c>
      <c r="Q333" s="6" t="str">
        <f t="shared" ca="1" si="157"/>
        <v>-</v>
      </c>
      <c r="R333" s="6" t="str">
        <f t="shared" ca="1" si="157"/>
        <v>-</v>
      </c>
      <c r="S333" s="6" t="str">
        <f t="shared" ca="1" si="157"/>
        <v>-</v>
      </c>
      <c r="T333" s="6" t="str">
        <f t="shared" ca="1" si="157"/>
        <v>-</v>
      </c>
      <c r="U333" s="7" t="str">
        <f t="shared" ca="1" si="157"/>
        <v>-</v>
      </c>
      <c r="V333" s="7">
        <f t="shared" ca="1" si="157"/>
        <v>4.5454545454545421E-2</v>
      </c>
      <c r="W333" s="7" t="str">
        <f t="shared" ca="1" si="157"/>
        <v>-</v>
      </c>
      <c r="X333" s="7" t="str">
        <f t="shared" ca="1" si="157"/>
        <v>-</v>
      </c>
      <c r="Y333" s="7" t="str">
        <f t="shared" ca="1" si="157"/>
        <v>-</v>
      </c>
      <c r="Z333" s="7">
        <f t="shared" ca="1" si="157"/>
        <v>0</v>
      </c>
      <c r="AA333" s="28" t="str">
        <f t="shared" si="147"/>
        <v>ALW</v>
      </c>
      <c r="AB333" s="28"/>
      <c r="AC333" s="12"/>
      <c r="AD333" s="12"/>
    </row>
    <row r="334" spans="1:30" x14ac:dyDescent="0.25">
      <c r="A334" s="5" t="s">
        <v>18</v>
      </c>
      <c r="B334" s="5" t="s">
        <v>154</v>
      </c>
      <c r="C334" s="5" t="s">
        <v>314</v>
      </c>
      <c r="D334" s="6" t="str">
        <f t="shared" ca="1" si="142"/>
        <v>-</v>
      </c>
      <c r="E334" s="6" t="str">
        <f t="shared" ca="1" si="143"/>
        <v>-</v>
      </c>
      <c r="F334" s="6" t="str">
        <f t="shared" ca="1" si="153"/>
        <v>-</v>
      </c>
      <c r="G334" s="6" t="str">
        <f t="shared" ca="1" si="153"/>
        <v>-</v>
      </c>
      <c r="H334" s="6" t="str">
        <f t="shared" ca="1" si="144"/>
        <v>-</v>
      </c>
      <c r="I334" s="6" t="str">
        <f t="shared" ca="1" si="154"/>
        <v>-</v>
      </c>
      <c r="J334" s="6">
        <f t="shared" ca="1" si="154"/>
        <v>43</v>
      </c>
      <c r="K334" s="6">
        <f t="shared" ca="1" si="145"/>
        <v>471.41279069767444</v>
      </c>
      <c r="L334" s="6">
        <f t="shared" ca="1" si="155"/>
        <v>20270.75</v>
      </c>
      <c r="M334" s="6">
        <f t="shared" ca="1" si="155"/>
        <v>58.347826086956523</v>
      </c>
      <c r="N334" s="6">
        <f t="shared" ca="1" si="146"/>
        <v>800</v>
      </c>
      <c r="O334" s="6">
        <f t="shared" ca="1" si="157"/>
        <v>46678.260869565216</v>
      </c>
      <c r="P334" s="6">
        <f t="shared" ca="1" si="157"/>
        <v>-15.347826086956523</v>
      </c>
      <c r="Q334" s="6">
        <f t="shared" ca="1" si="157"/>
        <v>-328.58720930232556</v>
      </c>
      <c r="R334" s="6">
        <f t="shared" ca="1" si="157"/>
        <v>-26407.510869565216</v>
      </c>
      <c r="S334" s="6">
        <f t="shared" ca="1" si="157"/>
        <v>-14129.25</v>
      </c>
      <c r="T334" s="6">
        <f t="shared" ca="1" si="157"/>
        <v>-12278.260869565218</v>
      </c>
      <c r="U334" s="7">
        <f t="shared" ca="1" si="157"/>
        <v>0.73695976154992549</v>
      </c>
      <c r="V334" s="7" t="str">
        <f t="shared" ca="1" si="157"/>
        <v>-</v>
      </c>
      <c r="W334" s="7" t="str">
        <f t="shared" ca="1" si="157"/>
        <v>-</v>
      </c>
      <c r="X334" s="7" t="str">
        <f t="shared" ca="1" si="157"/>
        <v>-</v>
      </c>
      <c r="Y334" s="7" t="str">
        <f t="shared" ca="1" si="157"/>
        <v>-</v>
      </c>
      <c r="Z334" s="7">
        <f t="shared" ca="1" si="157"/>
        <v>0</v>
      </c>
      <c r="AA334" s="28" t="str">
        <f t="shared" si="147"/>
        <v>AKW</v>
      </c>
      <c r="AB334" s="28"/>
      <c r="AC334" s="12"/>
      <c r="AD334" s="12"/>
    </row>
    <row r="335" spans="1:30" x14ac:dyDescent="0.25">
      <c r="A335" s="5" t="s">
        <v>18</v>
      </c>
      <c r="B335" s="5" t="s">
        <v>154</v>
      </c>
      <c r="C335" s="5" t="s">
        <v>319</v>
      </c>
      <c r="D335" s="6">
        <f t="shared" ca="1" si="142"/>
        <v>70.782608695652172</v>
      </c>
      <c r="E335" s="6">
        <f t="shared" ca="1" si="143"/>
        <v>573.98783783783779</v>
      </c>
      <c r="F335" s="6">
        <f t="shared" ca="1" si="153"/>
        <v>40628.356521739122</v>
      </c>
      <c r="G335" s="6">
        <f t="shared" ca="1" si="153"/>
        <v>66.478260869565219</v>
      </c>
      <c r="H335" s="6">
        <f t="shared" ca="1" si="144"/>
        <v>603.47546762589923</v>
      </c>
      <c r="I335" s="6">
        <f t="shared" ca="1" si="154"/>
        <v>40117.999565217389</v>
      </c>
      <c r="J335" s="6">
        <f t="shared" ca="1" si="154"/>
        <v>46</v>
      </c>
      <c r="K335" s="6">
        <f t="shared" ca="1" si="145"/>
        <v>623.27065217391305</v>
      </c>
      <c r="L335" s="6">
        <f t="shared" ca="1" si="155"/>
        <v>28670.45</v>
      </c>
      <c r="M335" s="6">
        <f t="shared" ca="1" si="155"/>
        <v>39.695652173913047</v>
      </c>
      <c r="N335" s="6">
        <f t="shared" ca="1" si="146"/>
        <v>750</v>
      </c>
      <c r="O335" s="6">
        <f t="shared" ca="1" si="157"/>
        <v>29771.739130434784</v>
      </c>
      <c r="P335" s="6">
        <f t="shared" ca="1" si="157"/>
        <v>6.3043478260869534</v>
      </c>
      <c r="Q335" s="6">
        <f t="shared" ca="1" si="157"/>
        <v>-126.72934782608695</v>
      </c>
      <c r="R335" s="6">
        <f t="shared" ca="1" si="157"/>
        <v>-1101.2891304347831</v>
      </c>
      <c r="S335" s="6">
        <f t="shared" ca="1" si="157"/>
        <v>-5829.5499999999993</v>
      </c>
      <c r="T335" s="6">
        <f t="shared" ca="1" si="157"/>
        <v>4728.2608695652152</v>
      </c>
      <c r="U335" s="7">
        <f t="shared" ca="1" si="157"/>
        <v>1.1588170865279299</v>
      </c>
      <c r="V335" s="7">
        <f t="shared" ca="1" si="157"/>
        <v>-0.3501228501228501</v>
      </c>
      <c r="W335" s="7">
        <f t="shared" ca="1" si="157"/>
        <v>-0.29432415055580141</v>
      </c>
      <c r="X335" s="7">
        <f t="shared" ca="1" si="157"/>
        <v>-0.3080444735120994</v>
      </c>
      <c r="Y335" s="7">
        <f t="shared" ca="1" si="157"/>
        <v>-0.28534696867444259</v>
      </c>
      <c r="Z335" s="7">
        <f t="shared" ca="1" si="157"/>
        <v>0</v>
      </c>
      <c r="AA335" s="28" t="str">
        <f t="shared" si="147"/>
        <v>AKW</v>
      </c>
      <c r="AB335" s="28"/>
      <c r="AC335" s="12"/>
      <c r="AD335" s="12"/>
    </row>
    <row r="336" spans="1:30" x14ac:dyDescent="0.25">
      <c r="A336" s="5" t="s">
        <v>18</v>
      </c>
      <c r="B336" s="5" t="s">
        <v>216</v>
      </c>
      <c r="C336" s="5" t="s">
        <v>338</v>
      </c>
      <c r="D336" s="6" t="str">
        <f t="shared" ca="1" si="142"/>
        <v>-</v>
      </c>
      <c r="E336" s="6" t="str">
        <f t="shared" ca="1" si="143"/>
        <v>-</v>
      </c>
      <c r="F336" s="6" t="str">
        <f t="shared" ref="F336:G351" ca="1" si="158">IFERROR(VLOOKUP($C336,INDIRECT("'"&amp;$AA336&amp;"-"&amp;$C$1&amp;"'!$C:$AH"),F$30,0),0)</f>
        <v>-</v>
      </c>
      <c r="G336" s="6" t="str">
        <f t="shared" ca="1" si="158"/>
        <v>-</v>
      </c>
      <c r="H336" s="6" t="str">
        <f t="shared" ca="1" si="144"/>
        <v>-</v>
      </c>
      <c r="I336" s="6" t="str">
        <f t="shared" ref="I336:J351" ca="1" si="159">IFERROR(VLOOKUP($C336,INDIRECT("'"&amp;$AA336&amp;"-"&amp;$C$1&amp;"'!$C:$AH"),I$30,0),0)</f>
        <v>-</v>
      </c>
      <c r="J336" s="6">
        <f t="shared" ca="1" si="159"/>
        <v>7</v>
      </c>
      <c r="K336" s="6">
        <f t="shared" ca="1" si="145"/>
        <v>600</v>
      </c>
      <c r="L336" s="6">
        <f t="shared" ref="L336:M351" ca="1" si="160">IFERROR(VLOOKUP($C336,INDIRECT("'"&amp;$AA336&amp;"-"&amp;$C$1&amp;"'!$C:$AH"),L$30,0),0)</f>
        <v>4200</v>
      </c>
      <c r="M336" s="6">
        <f t="shared" ca="1" si="160"/>
        <v>11</v>
      </c>
      <c r="N336" s="6">
        <f t="shared" ca="1" si="146"/>
        <v>390</v>
      </c>
      <c r="O336" s="6">
        <f t="shared" ref="O336:Z344" ca="1" si="161">IFERROR(VLOOKUP($C336,INDIRECT("'"&amp;$AA336&amp;"-"&amp;$C$1&amp;"'!$C:$AH"),O$30,0),0)</f>
        <v>4290</v>
      </c>
      <c r="P336" s="6">
        <f t="shared" ca="1" si="161"/>
        <v>-4</v>
      </c>
      <c r="Q336" s="6">
        <f t="shared" ca="1" si="161"/>
        <v>210</v>
      </c>
      <c r="R336" s="6">
        <f t="shared" ca="1" si="161"/>
        <v>-90</v>
      </c>
      <c r="S336" s="6">
        <f t="shared" ca="1" si="161"/>
        <v>1470</v>
      </c>
      <c r="T336" s="6">
        <f t="shared" ca="1" si="161"/>
        <v>-1560</v>
      </c>
      <c r="U336" s="7">
        <f t="shared" ca="1" si="161"/>
        <v>0.63636363636363635</v>
      </c>
      <c r="V336" s="7" t="str">
        <f t="shared" ca="1" si="161"/>
        <v>-</v>
      </c>
      <c r="W336" s="7" t="str">
        <f t="shared" ca="1" si="161"/>
        <v>-</v>
      </c>
      <c r="X336" s="7" t="str">
        <f t="shared" ca="1" si="161"/>
        <v>-</v>
      </c>
      <c r="Y336" s="7" t="str">
        <f t="shared" ca="1" si="161"/>
        <v>-</v>
      </c>
      <c r="Z336" s="7">
        <f t="shared" ca="1" si="161"/>
        <v>0</v>
      </c>
      <c r="AA336" s="28" t="str">
        <f t="shared" si="147"/>
        <v>AKW</v>
      </c>
      <c r="AB336" s="28"/>
      <c r="AC336" s="12"/>
      <c r="AD336" s="12"/>
    </row>
    <row r="337" spans="1:30" x14ac:dyDescent="0.25">
      <c r="A337" s="5" t="s">
        <v>18</v>
      </c>
      <c r="B337" s="5" t="s">
        <v>154</v>
      </c>
      <c r="C337" s="5" t="s">
        <v>184</v>
      </c>
      <c r="D337" s="6" t="str">
        <f t="shared" ca="1" si="142"/>
        <v>-</v>
      </c>
      <c r="E337" s="6" t="str">
        <f t="shared" ca="1" si="143"/>
        <v>-</v>
      </c>
      <c r="F337" s="6" t="str">
        <f t="shared" ca="1" si="158"/>
        <v>-</v>
      </c>
      <c r="G337" s="6" t="str">
        <f t="shared" ca="1" si="158"/>
        <v>-</v>
      </c>
      <c r="H337" s="6" t="str">
        <f t="shared" ca="1" si="144"/>
        <v>-</v>
      </c>
      <c r="I337" s="6" t="str">
        <f t="shared" ca="1" si="159"/>
        <v>-</v>
      </c>
      <c r="J337" s="6">
        <f t="shared" ca="1" si="159"/>
        <v>3</v>
      </c>
      <c r="K337" s="6">
        <f t="shared" ca="1" si="145"/>
        <v>196.58333333333334</v>
      </c>
      <c r="L337" s="6">
        <f t="shared" ca="1" si="160"/>
        <v>589.75</v>
      </c>
      <c r="M337" s="6">
        <f t="shared" ca="1" si="160"/>
        <v>3.8260869565217392</v>
      </c>
      <c r="N337" s="6">
        <f t="shared" ca="1" si="146"/>
        <v>300</v>
      </c>
      <c r="O337" s="6">
        <f t="shared" ca="1" si="161"/>
        <v>1147.8260869565217</v>
      </c>
      <c r="P337" s="6">
        <f t="shared" ca="1" si="161"/>
        <v>-0.82608695652173925</v>
      </c>
      <c r="Q337" s="6">
        <f t="shared" ca="1" si="161"/>
        <v>-103.41666666666666</v>
      </c>
      <c r="R337" s="6">
        <f t="shared" ca="1" si="161"/>
        <v>-558.07608695652175</v>
      </c>
      <c r="S337" s="6">
        <f t="shared" ca="1" si="161"/>
        <v>-310.25</v>
      </c>
      <c r="T337" s="6">
        <f t="shared" ca="1" si="161"/>
        <v>-247.82608695652178</v>
      </c>
      <c r="U337" s="7">
        <f t="shared" ca="1" si="161"/>
        <v>0.78409090909090906</v>
      </c>
      <c r="V337" s="7" t="str">
        <f t="shared" ca="1" si="161"/>
        <v>-</v>
      </c>
      <c r="W337" s="7" t="str">
        <f t="shared" ca="1" si="161"/>
        <v>-</v>
      </c>
      <c r="X337" s="7" t="str">
        <f t="shared" ca="1" si="161"/>
        <v>-</v>
      </c>
      <c r="Y337" s="7" t="str">
        <f t="shared" ca="1" si="161"/>
        <v>-</v>
      </c>
      <c r="Z337" s="7">
        <f t="shared" ca="1" si="161"/>
        <v>0</v>
      </c>
      <c r="AA337" s="28" t="str">
        <f t="shared" si="147"/>
        <v>AKW</v>
      </c>
      <c r="AB337" s="28"/>
      <c r="AC337" s="12"/>
      <c r="AD337" s="12"/>
    </row>
    <row r="338" spans="1:30" x14ac:dyDescent="0.25">
      <c r="A338" s="5" t="s">
        <v>18</v>
      </c>
      <c r="B338" s="5" t="s">
        <v>154</v>
      </c>
      <c r="C338" s="5" t="s">
        <v>328</v>
      </c>
      <c r="D338" s="6" t="str">
        <f t="shared" ca="1" si="142"/>
        <v>-</v>
      </c>
      <c r="E338" s="6" t="str">
        <f t="shared" ca="1" si="143"/>
        <v>-</v>
      </c>
      <c r="F338" s="6" t="str">
        <f t="shared" ca="1" si="158"/>
        <v>-</v>
      </c>
      <c r="G338" s="6" t="str">
        <f t="shared" ca="1" si="158"/>
        <v>-</v>
      </c>
      <c r="H338" s="6" t="str">
        <f t="shared" ca="1" si="144"/>
        <v>-</v>
      </c>
      <c r="I338" s="6" t="str">
        <f t="shared" ca="1" si="159"/>
        <v>-</v>
      </c>
      <c r="J338" s="6">
        <f t="shared" ca="1" si="159"/>
        <v>51</v>
      </c>
      <c r="K338" s="6">
        <f t="shared" ca="1" si="145"/>
        <v>436.90156862745096</v>
      </c>
      <c r="L338" s="6">
        <f t="shared" ca="1" si="160"/>
        <v>22281.98</v>
      </c>
      <c r="M338" s="6">
        <f t="shared" ca="1" si="160"/>
        <v>66.956521739130437</v>
      </c>
      <c r="N338" s="6">
        <f t="shared" ca="1" si="146"/>
        <v>850</v>
      </c>
      <c r="O338" s="6">
        <f t="shared" ca="1" si="161"/>
        <v>56913.043478260872</v>
      </c>
      <c r="P338" s="6">
        <f t="shared" ca="1" si="161"/>
        <v>-15.956521739130437</v>
      </c>
      <c r="Q338" s="6">
        <f t="shared" ca="1" si="161"/>
        <v>-413.09843137254904</v>
      </c>
      <c r="R338" s="6">
        <f t="shared" ca="1" si="161"/>
        <v>-34631.063478260869</v>
      </c>
      <c r="S338" s="6">
        <f t="shared" ca="1" si="161"/>
        <v>-21068.02</v>
      </c>
      <c r="T338" s="6">
        <f t="shared" ca="1" si="161"/>
        <v>-13563.043478260872</v>
      </c>
      <c r="U338" s="7">
        <f t="shared" ca="1" si="161"/>
        <v>0.76168831168831164</v>
      </c>
      <c r="V338" s="7" t="str">
        <f t="shared" ca="1" si="161"/>
        <v>-</v>
      </c>
      <c r="W338" s="7" t="str">
        <f t="shared" ca="1" si="161"/>
        <v>-</v>
      </c>
      <c r="X338" s="7" t="str">
        <f t="shared" ca="1" si="161"/>
        <v>-</v>
      </c>
      <c r="Y338" s="7" t="str">
        <f t="shared" ca="1" si="161"/>
        <v>-</v>
      </c>
      <c r="Z338" s="7">
        <f t="shared" ca="1" si="161"/>
        <v>0</v>
      </c>
      <c r="AA338" s="28" t="str">
        <f t="shared" si="147"/>
        <v>AKW</v>
      </c>
      <c r="AB338" s="28"/>
      <c r="AC338" s="12"/>
      <c r="AD338" s="12"/>
    </row>
    <row r="339" spans="1:30" x14ac:dyDescent="0.25">
      <c r="A339" s="5" t="s">
        <v>18</v>
      </c>
      <c r="B339" s="5" t="s">
        <v>154</v>
      </c>
      <c r="C339" s="5" t="s">
        <v>335</v>
      </c>
      <c r="D339" s="6">
        <f t="shared" ca="1" si="142"/>
        <v>20.086956521739133</v>
      </c>
      <c r="E339" s="6">
        <f t="shared" ca="1" si="143"/>
        <v>782.65714285714273</v>
      </c>
      <c r="F339" s="6">
        <f t="shared" ca="1" si="158"/>
        <v>15721.199999999999</v>
      </c>
      <c r="G339" s="6">
        <f t="shared" ca="1" si="158"/>
        <v>47.826086956521742</v>
      </c>
      <c r="H339" s="6">
        <f t="shared" ca="1" si="144"/>
        <v>1457.6026999999997</v>
      </c>
      <c r="I339" s="6">
        <f t="shared" ca="1" si="159"/>
        <v>69711.433478260864</v>
      </c>
      <c r="J339" s="6">
        <f t="shared" ca="1" si="159"/>
        <v>49</v>
      </c>
      <c r="K339" s="6">
        <f t="shared" ca="1" si="145"/>
        <v>572.28448979591838</v>
      </c>
      <c r="L339" s="6">
        <f t="shared" ca="1" si="160"/>
        <v>28041.940000000002</v>
      </c>
      <c r="M339" s="6">
        <f t="shared" ca="1" si="160"/>
        <v>44</v>
      </c>
      <c r="N339" s="6">
        <f t="shared" ca="1" si="146"/>
        <v>1450</v>
      </c>
      <c r="O339" s="6">
        <f t="shared" ca="1" si="161"/>
        <v>63800</v>
      </c>
      <c r="P339" s="6">
        <f t="shared" ca="1" si="161"/>
        <v>5</v>
      </c>
      <c r="Q339" s="6">
        <f t="shared" ca="1" si="161"/>
        <v>-877.71551020408162</v>
      </c>
      <c r="R339" s="6">
        <f t="shared" ca="1" si="161"/>
        <v>-35758.06</v>
      </c>
      <c r="S339" s="6">
        <f t="shared" ca="1" si="161"/>
        <v>-43008.06</v>
      </c>
      <c r="T339" s="6">
        <f t="shared" ca="1" si="161"/>
        <v>7250</v>
      </c>
      <c r="U339" s="7">
        <f t="shared" ca="1" si="161"/>
        <v>1.1136363636363635</v>
      </c>
      <c r="V339" s="7">
        <f t="shared" ca="1" si="161"/>
        <v>1.4393939393939392</v>
      </c>
      <c r="W339" s="7">
        <f t="shared" ca="1" si="161"/>
        <v>0.78370226191384906</v>
      </c>
      <c r="X339" s="7">
        <f t="shared" ca="1" si="161"/>
        <v>2.4545454545454485E-2</v>
      </c>
      <c r="Y339" s="7">
        <f t="shared" ca="1" si="161"/>
        <v>-0.59774259973086441</v>
      </c>
      <c r="Z339" s="7">
        <f t="shared" ca="1" si="161"/>
        <v>0</v>
      </c>
      <c r="AA339" s="28" t="str">
        <f t="shared" si="147"/>
        <v>AKW</v>
      </c>
      <c r="AB339" s="28"/>
      <c r="AC339" s="12"/>
      <c r="AD339" s="12"/>
    </row>
    <row r="340" spans="1:30" x14ac:dyDescent="0.25">
      <c r="A340" s="5" t="s">
        <v>18</v>
      </c>
      <c r="B340" s="5" t="s">
        <v>304</v>
      </c>
      <c r="C340" s="5" t="s">
        <v>313</v>
      </c>
      <c r="D340" s="6">
        <f t="shared" ca="1" si="142"/>
        <v>47.826086956521742</v>
      </c>
      <c r="E340" s="6">
        <f t="shared" ca="1" si="143"/>
        <v>408.97889999999978</v>
      </c>
      <c r="F340" s="6">
        <f t="shared" ca="1" si="158"/>
        <v>19559.8604347826</v>
      </c>
      <c r="G340" s="6">
        <f t="shared" ca="1" si="158"/>
        <v>56.913043478260875</v>
      </c>
      <c r="H340" s="6">
        <f t="shared" ca="1" si="144"/>
        <v>369.69453781512613</v>
      </c>
      <c r="I340" s="6">
        <f t="shared" ca="1" si="159"/>
        <v>21040.441304347831</v>
      </c>
      <c r="J340" s="6">
        <f t="shared" ca="1" si="159"/>
        <v>62</v>
      </c>
      <c r="K340" s="6">
        <f t="shared" ca="1" si="145"/>
        <v>378.76000000000005</v>
      </c>
      <c r="L340" s="6">
        <f t="shared" ca="1" si="160"/>
        <v>23483.120000000003</v>
      </c>
      <c r="M340" s="6">
        <f t="shared" ca="1" si="160"/>
        <v>61.599999999999994</v>
      </c>
      <c r="N340" s="6">
        <f t="shared" ca="1" si="146"/>
        <v>430</v>
      </c>
      <c r="O340" s="6">
        <f t="shared" ca="1" si="161"/>
        <v>26487.999999999996</v>
      </c>
      <c r="P340" s="6">
        <f t="shared" ca="1" si="161"/>
        <v>0.40000000000000568</v>
      </c>
      <c r="Q340" s="6">
        <f t="shared" ca="1" si="161"/>
        <v>-51.239999999999952</v>
      </c>
      <c r="R340" s="6">
        <f t="shared" ca="1" si="161"/>
        <v>-3004.8799999999937</v>
      </c>
      <c r="S340" s="6">
        <f t="shared" ca="1" si="161"/>
        <v>-3176.8799999999969</v>
      </c>
      <c r="T340" s="6">
        <f t="shared" ca="1" si="161"/>
        <v>172.00000000000244</v>
      </c>
      <c r="U340" s="7">
        <f t="shared" ca="1" si="161"/>
        <v>1.0064935064935066</v>
      </c>
      <c r="V340" s="7">
        <f t="shared" ca="1" si="161"/>
        <v>0.29636363636363627</v>
      </c>
      <c r="W340" s="7">
        <f t="shared" ca="1" si="161"/>
        <v>0.20057707355829646</v>
      </c>
      <c r="X340" s="7">
        <f t="shared" ca="1" si="161"/>
        <v>8.9381207028265755E-2</v>
      </c>
      <c r="Y340" s="7">
        <f t="shared" ca="1" si="161"/>
        <v>0.1160944611531229</v>
      </c>
      <c r="Z340" s="7">
        <f t="shared" ca="1" si="161"/>
        <v>0</v>
      </c>
      <c r="AA340" s="28" t="str">
        <f t="shared" si="147"/>
        <v>AKW</v>
      </c>
      <c r="AB340" s="28"/>
      <c r="AC340" s="12"/>
      <c r="AD340" s="12"/>
    </row>
    <row r="341" spans="1:30" x14ac:dyDescent="0.25">
      <c r="A341" s="5" t="s">
        <v>18</v>
      </c>
      <c r="B341" s="5" t="s">
        <v>729</v>
      </c>
      <c r="C341" s="5" t="s">
        <v>312</v>
      </c>
      <c r="D341" s="6">
        <f t="shared" ca="1" si="142"/>
        <v>33</v>
      </c>
      <c r="E341" s="6">
        <f t="shared" ca="1" si="143"/>
        <v>1274.2008695652187</v>
      </c>
      <c r="F341" s="6">
        <f t="shared" ca="1" si="158"/>
        <v>42048.628695652216</v>
      </c>
      <c r="G341" s="6">
        <f t="shared" ca="1" si="158"/>
        <v>33.478260869565219</v>
      </c>
      <c r="H341" s="6">
        <f t="shared" ca="1" si="144"/>
        <v>1586.6561428571442</v>
      </c>
      <c r="I341" s="6">
        <f t="shared" ca="1" si="159"/>
        <v>53118.488260869613</v>
      </c>
      <c r="J341" s="6">
        <f t="shared" ca="1" si="159"/>
        <v>76</v>
      </c>
      <c r="K341" s="6">
        <f t="shared" ca="1" si="145"/>
        <v>1347.8040789473687</v>
      </c>
      <c r="L341" s="6">
        <f t="shared" ca="1" si="160"/>
        <v>102433.11000000002</v>
      </c>
      <c r="M341" s="6">
        <f t="shared" ca="1" si="160"/>
        <v>60.834782608695654</v>
      </c>
      <c r="N341" s="6">
        <f t="shared" ca="1" si="146"/>
        <v>1550</v>
      </c>
      <c r="O341" s="6">
        <f t="shared" ca="1" si="161"/>
        <v>94293.913043478271</v>
      </c>
      <c r="P341" s="6">
        <f t="shared" ca="1" si="161"/>
        <v>15.165217391304346</v>
      </c>
      <c r="Q341" s="6">
        <f t="shared" ca="1" si="161"/>
        <v>-202.19592105263132</v>
      </c>
      <c r="R341" s="6">
        <f t="shared" ca="1" si="161"/>
        <v>8139.1969565217441</v>
      </c>
      <c r="S341" s="6">
        <f t="shared" ca="1" si="161"/>
        <v>-15366.889999999981</v>
      </c>
      <c r="T341" s="6">
        <f t="shared" ca="1" si="161"/>
        <v>23506.086956521736</v>
      </c>
      <c r="U341" s="7">
        <f t="shared" ca="1" si="161"/>
        <v>1.2492853058890794</v>
      </c>
      <c r="V341" s="7">
        <f t="shared" ca="1" si="161"/>
        <v>1.303030303030303</v>
      </c>
      <c r="W341" s="7">
        <f t="shared" ca="1" si="161"/>
        <v>1.4360630340982199</v>
      </c>
      <c r="X341" s="7">
        <f t="shared" ca="1" si="161"/>
        <v>1.27012987012987</v>
      </c>
      <c r="Y341" s="7">
        <f t="shared" ca="1" si="161"/>
        <v>0.92838902901268416</v>
      </c>
      <c r="Z341" s="7">
        <f t="shared" ca="1" si="161"/>
        <v>0</v>
      </c>
      <c r="AA341" s="28" t="str">
        <f t="shared" si="147"/>
        <v>AKW</v>
      </c>
      <c r="AB341" s="28"/>
      <c r="AC341" s="12"/>
      <c r="AD341" s="12"/>
    </row>
    <row r="342" spans="1:30" x14ac:dyDescent="0.25">
      <c r="A342" s="5" t="s">
        <v>18</v>
      </c>
      <c r="B342" s="5" t="s">
        <v>44</v>
      </c>
      <c r="C342" s="5" t="s">
        <v>339</v>
      </c>
      <c r="D342" s="6">
        <f t="shared" ca="1" si="142"/>
        <v>19.130434782608695</v>
      </c>
      <c r="E342" s="6">
        <f t="shared" ca="1" si="143"/>
        <v>486.39150000000001</v>
      </c>
      <c r="F342" s="6">
        <f t="shared" ca="1" si="158"/>
        <v>9304.8808695652169</v>
      </c>
      <c r="G342" s="6">
        <f t="shared" ca="1" si="158"/>
        <v>55.478260869565219</v>
      </c>
      <c r="H342" s="6">
        <f t="shared" ca="1" si="144"/>
        <v>565.08301724137937</v>
      </c>
      <c r="I342" s="6">
        <f t="shared" ca="1" si="159"/>
        <v>31349.823043478264</v>
      </c>
      <c r="J342" s="6">
        <f t="shared" ca="1" si="159"/>
        <v>56</v>
      </c>
      <c r="K342" s="6">
        <f t="shared" ca="1" si="145"/>
        <v>366.25446428571428</v>
      </c>
      <c r="L342" s="6">
        <f t="shared" ca="1" si="160"/>
        <v>20510.25</v>
      </c>
      <c r="M342" s="6">
        <f t="shared" ca="1" si="160"/>
        <v>68.869565217391312</v>
      </c>
      <c r="N342" s="6">
        <f t="shared" ca="1" si="146"/>
        <v>500</v>
      </c>
      <c r="O342" s="6">
        <f t="shared" ca="1" si="161"/>
        <v>34434.782608695656</v>
      </c>
      <c r="P342" s="6">
        <f t="shared" ca="1" si="161"/>
        <v>-12.869565217391312</v>
      </c>
      <c r="Q342" s="6">
        <f t="shared" ca="1" si="161"/>
        <v>-133.74553571428572</v>
      </c>
      <c r="R342" s="6">
        <f t="shared" ca="1" si="161"/>
        <v>-13924.532608695656</v>
      </c>
      <c r="S342" s="6">
        <f t="shared" ca="1" si="161"/>
        <v>-7489.75</v>
      </c>
      <c r="T342" s="6">
        <f t="shared" ca="1" si="161"/>
        <v>-6434.7826086956557</v>
      </c>
      <c r="U342" s="7">
        <f t="shared" ca="1" si="161"/>
        <v>0.81313131313131304</v>
      </c>
      <c r="V342" s="7">
        <f t="shared" ca="1" si="161"/>
        <v>1.9272727272727272</v>
      </c>
      <c r="W342" s="7">
        <f t="shared" ca="1" si="161"/>
        <v>1.204246382894139</v>
      </c>
      <c r="X342" s="7">
        <f t="shared" ca="1" si="161"/>
        <v>9.4043887147335203E-3</v>
      </c>
      <c r="Y342" s="7">
        <f t="shared" ca="1" si="161"/>
        <v>-0.34576185736184661</v>
      </c>
      <c r="Z342" s="7">
        <f t="shared" ca="1" si="161"/>
        <v>0</v>
      </c>
      <c r="AA342" s="28" t="str">
        <f t="shared" si="147"/>
        <v>AKW</v>
      </c>
      <c r="AB342" s="28"/>
      <c r="AC342" s="12"/>
      <c r="AD342" s="12"/>
    </row>
    <row r="343" spans="1:30" x14ac:dyDescent="0.25">
      <c r="A343" s="5" t="s">
        <v>18</v>
      </c>
      <c r="B343" s="5" t="s">
        <v>307</v>
      </c>
      <c r="C343" s="5" t="s">
        <v>322</v>
      </c>
      <c r="D343" s="6" t="str">
        <f t="shared" ca="1" si="142"/>
        <v>-</v>
      </c>
      <c r="E343" s="6" t="str">
        <f t="shared" ca="1" si="143"/>
        <v>-</v>
      </c>
      <c r="F343" s="6" t="str">
        <f t="shared" ca="1" si="158"/>
        <v>-</v>
      </c>
      <c r="G343" s="6" t="str">
        <f t="shared" ca="1" si="158"/>
        <v>-</v>
      </c>
      <c r="H343" s="6" t="str">
        <f t="shared" ca="1" si="144"/>
        <v>-</v>
      </c>
      <c r="I343" s="6" t="str">
        <f t="shared" ca="1" si="159"/>
        <v>-</v>
      </c>
      <c r="J343" s="6">
        <f t="shared" ca="1" si="159"/>
        <v>45</v>
      </c>
      <c r="K343" s="6">
        <f t="shared" ca="1" si="145"/>
        <v>520.66666666666663</v>
      </c>
      <c r="L343" s="6">
        <f t="shared" ca="1" si="160"/>
        <v>23430</v>
      </c>
      <c r="M343" s="6">
        <f t="shared" ca="1" si="160"/>
        <v>9.2399565217391384</v>
      </c>
      <c r="N343" s="6">
        <f t="shared" ca="1" si="146"/>
        <v>1650.007764011687</v>
      </c>
      <c r="O343" s="6">
        <f t="shared" ca="1" si="161"/>
        <v>15246</v>
      </c>
      <c r="P343" s="6">
        <f t="shared" ca="1" si="161"/>
        <v>35.760043478260862</v>
      </c>
      <c r="Q343" s="6">
        <f t="shared" ca="1" si="161"/>
        <v>-1129.3410973450204</v>
      </c>
      <c r="R343" s="6">
        <f t="shared" ca="1" si="161"/>
        <v>8184</v>
      </c>
      <c r="S343" s="6">
        <f t="shared" ca="1" si="161"/>
        <v>-50820.34938052592</v>
      </c>
      <c r="T343" s="6">
        <f t="shared" ca="1" si="161"/>
        <v>59004.349380525913</v>
      </c>
      <c r="U343" s="7">
        <f t="shared" ca="1" si="161"/>
        <v>4.8701527863390996</v>
      </c>
      <c r="V343" s="7" t="str">
        <f t="shared" ca="1" si="161"/>
        <v>-</v>
      </c>
      <c r="W343" s="7" t="str">
        <f t="shared" ca="1" si="161"/>
        <v>-</v>
      </c>
      <c r="X343" s="7" t="str">
        <f t="shared" ca="1" si="161"/>
        <v>-</v>
      </c>
      <c r="Y343" s="7" t="str">
        <f t="shared" ca="1" si="161"/>
        <v>-</v>
      </c>
      <c r="Z343" s="7">
        <f t="shared" ca="1" si="161"/>
        <v>0</v>
      </c>
      <c r="AA343" s="28" t="str">
        <f t="shared" si="147"/>
        <v>AKW</v>
      </c>
      <c r="AB343" s="28"/>
      <c r="AC343" s="12"/>
      <c r="AD343" s="12"/>
    </row>
    <row r="344" spans="1:30" x14ac:dyDescent="0.25">
      <c r="A344" s="5" t="s">
        <v>18</v>
      </c>
      <c r="B344" s="5" t="s">
        <v>308</v>
      </c>
      <c r="C344" s="5" t="s">
        <v>331</v>
      </c>
      <c r="D344" s="6" t="str">
        <f t="shared" ca="1" si="142"/>
        <v>-</v>
      </c>
      <c r="E344" s="6" t="str">
        <f t="shared" ca="1" si="143"/>
        <v>-</v>
      </c>
      <c r="F344" s="6" t="str">
        <f t="shared" ca="1" si="158"/>
        <v>-</v>
      </c>
      <c r="G344" s="6" t="str">
        <f t="shared" ca="1" si="158"/>
        <v>-</v>
      </c>
      <c r="H344" s="6" t="str">
        <f t="shared" ca="1" si="144"/>
        <v>-</v>
      </c>
      <c r="I344" s="6" t="str">
        <f t="shared" ca="1" si="159"/>
        <v>-</v>
      </c>
      <c r="J344" s="6">
        <f t="shared" ca="1" si="159"/>
        <v>29</v>
      </c>
      <c r="K344" s="6">
        <f t="shared" ca="1" si="145"/>
        <v>256.44655172413792</v>
      </c>
      <c r="L344" s="6">
        <f t="shared" ca="1" si="160"/>
        <v>7436.95</v>
      </c>
      <c r="M344" s="6">
        <f t="shared" ca="1" si="160"/>
        <v>30.216535555555556</v>
      </c>
      <c r="N344" s="6">
        <f t="shared" ca="1" si="146"/>
        <v>450</v>
      </c>
      <c r="O344" s="6">
        <f t="shared" ca="1" si="161"/>
        <v>13597.441000000001</v>
      </c>
      <c r="P344" s="6">
        <f t="shared" ca="1" si="161"/>
        <v>-1.2165355555555557</v>
      </c>
      <c r="Q344" s="6">
        <f t="shared" ca="1" si="161"/>
        <v>-193.55344827586208</v>
      </c>
      <c r="R344" s="6">
        <f t="shared" ca="1" si="161"/>
        <v>-6160.4910000000009</v>
      </c>
      <c r="S344" s="6">
        <f t="shared" ca="1" si="161"/>
        <v>-5613.05</v>
      </c>
      <c r="T344" s="6">
        <f t="shared" ca="1" si="161"/>
        <v>-547.44100000000003</v>
      </c>
      <c r="U344" s="7">
        <f t="shared" ca="1" si="161"/>
        <v>0.95973940979041572</v>
      </c>
      <c r="V344" s="7" t="str">
        <f t="shared" ca="1" si="161"/>
        <v>-</v>
      </c>
      <c r="W344" s="7" t="str">
        <f t="shared" ca="1" si="161"/>
        <v>-</v>
      </c>
      <c r="X344" s="7" t="str">
        <f t="shared" ca="1" si="161"/>
        <v>-</v>
      </c>
      <c r="Y344" s="7" t="str">
        <f t="shared" ca="1" si="161"/>
        <v>-</v>
      </c>
      <c r="Z344" s="7">
        <f t="shared" ca="1" si="161"/>
        <v>0</v>
      </c>
      <c r="AA344" s="28" t="str">
        <f t="shared" si="147"/>
        <v>AKW</v>
      </c>
      <c r="AB344" s="28"/>
      <c r="AC344" s="12"/>
      <c r="AD344" s="12"/>
    </row>
    <row r="345" spans="1:30" x14ac:dyDescent="0.25">
      <c r="A345" s="5" t="s">
        <v>18</v>
      </c>
      <c r="B345" s="5" t="s">
        <v>306</v>
      </c>
      <c r="C345" s="5" t="s">
        <v>327</v>
      </c>
      <c r="D345" s="6" t="str">
        <f t="shared" ca="1" si="142"/>
        <v>-</v>
      </c>
      <c r="E345" s="6" t="str">
        <f t="shared" ca="1" si="143"/>
        <v>-</v>
      </c>
      <c r="F345" s="6" t="str">
        <f t="shared" ca="1" si="158"/>
        <v>-</v>
      </c>
      <c r="G345" s="6" t="str">
        <f t="shared" ca="1" si="158"/>
        <v>-</v>
      </c>
      <c r="H345" s="6" t="str">
        <f t="shared" ca="1" si="144"/>
        <v>-</v>
      </c>
      <c r="I345" s="6" t="str">
        <f t="shared" ca="1" si="159"/>
        <v>-</v>
      </c>
      <c r="J345" s="6">
        <f t="shared" ca="1" si="159"/>
        <v>22</v>
      </c>
      <c r="K345" s="6">
        <f t="shared" ca="1" si="145"/>
        <v>343.40909090909093</v>
      </c>
      <c r="L345" s="6">
        <f t="shared" ca="1" si="160"/>
        <v>7555</v>
      </c>
      <c r="M345" s="6">
        <f t="shared" ca="1" si="160"/>
        <v>5.5170395652173916</v>
      </c>
      <c r="N345" s="6">
        <f t="shared" ca="1" si="146"/>
        <v>2635.3137879317919</v>
      </c>
      <c r="O345" s="6">
        <f t="shared" ref="O345:Z360" ca="1" si="162">IFERROR(VLOOKUP($C345,INDIRECT("'"&amp;$AA345&amp;"-"&amp;$C$1&amp;"'!$C:$AH"),O$30,0),0)</f>
        <v>14539.13043478261</v>
      </c>
      <c r="P345" s="6">
        <f t="shared" ca="1" si="162"/>
        <v>16.482960434782608</v>
      </c>
      <c r="Q345" s="6">
        <f t="shared" ca="1" si="162"/>
        <v>-2291.9046970227009</v>
      </c>
      <c r="R345" s="6">
        <f t="shared" ca="1" si="162"/>
        <v>-6984.1304347826099</v>
      </c>
      <c r="S345" s="6">
        <f t="shared" ca="1" si="162"/>
        <v>-50421.903334499424</v>
      </c>
      <c r="T345" s="6">
        <f t="shared" ca="1" si="162"/>
        <v>43437.772899716809</v>
      </c>
      <c r="U345" s="7">
        <f t="shared" ca="1" si="162"/>
        <v>3.9876458633178427</v>
      </c>
      <c r="V345" s="7" t="str">
        <f t="shared" ca="1" si="162"/>
        <v>-</v>
      </c>
      <c r="W345" s="7" t="str">
        <f t="shared" ca="1" si="162"/>
        <v>-</v>
      </c>
      <c r="X345" s="7" t="str">
        <f t="shared" ca="1" si="162"/>
        <v>-</v>
      </c>
      <c r="Y345" s="7" t="str">
        <f t="shared" ca="1" si="162"/>
        <v>-</v>
      </c>
      <c r="Z345" s="7">
        <f t="shared" ca="1" si="162"/>
        <v>0</v>
      </c>
      <c r="AA345" s="28" t="str">
        <f t="shared" si="147"/>
        <v>AKW</v>
      </c>
      <c r="AB345" s="28"/>
      <c r="AC345" s="12"/>
      <c r="AD345" s="12"/>
    </row>
    <row r="346" spans="1:30" x14ac:dyDescent="0.25">
      <c r="A346" s="5" t="s">
        <v>18</v>
      </c>
      <c r="B346" s="5" t="s">
        <v>306</v>
      </c>
      <c r="C346" s="5" t="s">
        <v>333</v>
      </c>
      <c r="D346" s="6" t="str">
        <f t="shared" ca="1" si="142"/>
        <v>-</v>
      </c>
      <c r="E346" s="6" t="str">
        <f t="shared" ca="1" si="143"/>
        <v>-</v>
      </c>
      <c r="F346" s="6" t="str">
        <f t="shared" ca="1" si="158"/>
        <v>-</v>
      </c>
      <c r="G346" s="6" t="str">
        <f t="shared" ca="1" si="158"/>
        <v>-</v>
      </c>
      <c r="H346" s="6" t="str">
        <f t="shared" ca="1" si="144"/>
        <v>-</v>
      </c>
      <c r="I346" s="6" t="str">
        <f t="shared" ca="1" si="159"/>
        <v>-</v>
      </c>
      <c r="J346" s="6">
        <f t="shared" ca="1" si="159"/>
        <v>36</v>
      </c>
      <c r="K346" s="6">
        <f t="shared" ca="1" si="145"/>
        <v>672.23611111111109</v>
      </c>
      <c r="L346" s="6">
        <f t="shared" ca="1" si="160"/>
        <v>24200.5</v>
      </c>
      <c r="M346" s="6">
        <f t="shared" ca="1" si="160"/>
        <v>6.1661030434782615</v>
      </c>
      <c r="N346" s="6">
        <f t="shared" ca="1" si="146"/>
        <v>2175.639507921182</v>
      </c>
      <c r="O346" s="6">
        <f t="shared" ca="1" si="162"/>
        <v>13415.217391304348</v>
      </c>
      <c r="P346" s="6">
        <f t="shared" ca="1" si="162"/>
        <v>29.833896956521738</v>
      </c>
      <c r="Q346" s="6">
        <f t="shared" ca="1" si="162"/>
        <v>-1503.4033968100709</v>
      </c>
      <c r="R346" s="6">
        <f t="shared" ca="1" si="162"/>
        <v>10785.282608695652</v>
      </c>
      <c r="S346" s="6">
        <f t="shared" ca="1" si="162"/>
        <v>-54122.522285162551</v>
      </c>
      <c r="T346" s="6">
        <f t="shared" ca="1" si="162"/>
        <v>64907.804893858207</v>
      </c>
      <c r="U346" s="7">
        <f t="shared" ca="1" si="162"/>
        <v>5.838371455384018</v>
      </c>
      <c r="V346" s="7" t="str">
        <f t="shared" ca="1" si="162"/>
        <v>-</v>
      </c>
      <c r="W346" s="7" t="str">
        <f t="shared" ca="1" si="162"/>
        <v>-</v>
      </c>
      <c r="X346" s="7" t="str">
        <f t="shared" ca="1" si="162"/>
        <v>-</v>
      </c>
      <c r="Y346" s="7" t="str">
        <f t="shared" ca="1" si="162"/>
        <v>-</v>
      </c>
      <c r="Z346" s="7">
        <f t="shared" ca="1" si="162"/>
        <v>0</v>
      </c>
      <c r="AA346" s="28" t="str">
        <f t="shared" si="147"/>
        <v>AKW</v>
      </c>
      <c r="AB346" s="28"/>
      <c r="AC346" s="12"/>
      <c r="AD346" s="12"/>
    </row>
    <row r="347" spans="1:30" x14ac:dyDescent="0.25">
      <c r="A347" s="5" t="s">
        <v>18</v>
      </c>
      <c r="B347" s="5" t="s">
        <v>306</v>
      </c>
      <c r="C347" s="5" t="s">
        <v>334</v>
      </c>
      <c r="D347" s="6" t="str">
        <f t="shared" ca="1" si="142"/>
        <v>-</v>
      </c>
      <c r="E347" s="6" t="str">
        <f t="shared" ca="1" si="143"/>
        <v>-</v>
      </c>
      <c r="F347" s="6" t="str">
        <f t="shared" ca="1" si="158"/>
        <v>-</v>
      </c>
      <c r="G347" s="6" t="str">
        <f t="shared" ca="1" si="158"/>
        <v>-</v>
      </c>
      <c r="H347" s="6" t="str">
        <f t="shared" ca="1" si="144"/>
        <v>-</v>
      </c>
      <c r="I347" s="6" t="str">
        <f t="shared" ca="1" si="159"/>
        <v>-</v>
      </c>
      <c r="J347" s="6">
        <f t="shared" ca="1" si="159"/>
        <v>29</v>
      </c>
      <c r="K347" s="6">
        <f t="shared" ca="1" si="145"/>
        <v>110.34482758620689</v>
      </c>
      <c r="L347" s="6">
        <f t="shared" ca="1" si="160"/>
        <v>3200</v>
      </c>
      <c r="M347" s="6">
        <f t="shared" ca="1" si="160"/>
        <v>8.2214707246376832</v>
      </c>
      <c r="N347" s="6">
        <f t="shared" ca="1" si="146"/>
        <v>1995.3057519170195</v>
      </c>
      <c r="O347" s="6">
        <f t="shared" ca="1" si="162"/>
        <v>16404.347826086956</v>
      </c>
      <c r="P347" s="6">
        <f t="shared" ca="1" si="162"/>
        <v>20.778529275362317</v>
      </c>
      <c r="Q347" s="6">
        <f t="shared" ca="1" si="162"/>
        <v>-1884.9609243308125</v>
      </c>
      <c r="R347" s="6">
        <f t="shared" ca="1" si="162"/>
        <v>-13204.347826086956</v>
      </c>
      <c r="S347" s="6">
        <f t="shared" ca="1" si="162"/>
        <v>-54663.866805593563</v>
      </c>
      <c r="T347" s="6">
        <f t="shared" ca="1" si="162"/>
        <v>41459.518979506611</v>
      </c>
      <c r="U347" s="7">
        <f t="shared" ca="1" si="162"/>
        <v>3.5273494209611771</v>
      </c>
      <c r="V347" s="7" t="str">
        <f t="shared" ca="1" si="162"/>
        <v>-</v>
      </c>
      <c r="W347" s="7" t="str">
        <f t="shared" ca="1" si="162"/>
        <v>-</v>
      </c>
      <c r="X347" s="7" t="str">
        <f t="shared" ca="1" si="162"/>
        <v>-</v>
      </c>
      <c r="Y347" s="7" t="str">
        <f t="shared" ca="1" si="162"/>
        <v>-</v>
      </c>
      <c r="Z347" s="7">
        <f t="shared" ca="1" si="162"/>
        <v>0</v>
      </c>
      <c r="AA347" s="28" t="str">
        <f t="shared" si="147"/>
        <v>AKW</v>
      </c>
      <c r="AB347" s="28"/>
      <c r="AC347" s="12"/>
      <c r="AD347" s="12"/>
    </row>
    <row r="348" spans="1:30" x14ac:dyDescent="0.25">
      <c r="A348" s="5" t="s">
        <v>18</v>
      </c>
      <c r="B348" s="5" t="s">
        <v>306</v>
      </c>
      <c r="C348" s="5" t="s">
        <v>332</v>
      </c>
      <c r="D348" s="6">
        <f t="shared" ca="1" si="142"/>
        <v>2.8695652173913047</v>
      </c>
      <c r="E348" s="6">
        <f t="shared" ca="1" si="143"/>
        <v>2422.083333333333</v>
      </c>
      <c r="F348" s="6">
        <f t="shared" ca="1" si="158"/>
        <v>6950.326086956522</v>
      </c>
      <c r="G348" s="6">
        <f t="shared" ca="1" si="158"/>
        <v>2.3913043478260869</v>
      </c>
      <c r="H348" s="6">
        <f t="shared" ca="1" si="144"/>
        <v>3786.62</v>
      </c>
      <c r="I348" s="6">
        <f t="shared" ca="1" si="159"/>
        <v>9054.9608695652169</v>
      </c>
      <c r="J348" s="6">
        <f t="shared" ca="1" si="159"/>
        <v>31</v>
      </c>
      <c r="K348" s="6">
        <f t="shared" ca="1" si="145"/>
        <v>276.46129032258062</v>
      </c>
      <c r="L348" s="6">
        <f t="shared" ca="1" si="160"/>
        <v>8570.2999999999993</v>
      </c>
      <c r="M348" s="6">
        <f t="shared" ca="1" si="160"/>
        <v>5.841571304347827</v>
      </c>
      <c r="N348" s="6">
        <f t="shared" ca="1" si="146"/>
        <v>2155.2792451465184</v>
      </c>
      <c r="O348" s="6">
        <f t="shared" ca="1" si="162"/>
        <v>12590.217391304348</v>
      </c>
      <c r="P348" s="6">
        <f t="shared" ca="1" si="162"/>
        <v>25.158428695652173</v>
      </c>
      <c r="Q348" s="6">
        <f t="shared" ca="1" si="162"/>
        <v>-1878.8179548239377</v>
      </c>
      <c r="R348" s="6">
        <f t="shared" ca="1" si="162"/>
        <v>-4019.9173913043487</v>
      </c>
      <c r="S348" s="6">
        <f t="shared" ca="1" si="162"/>
        <v>-58243.356599542072</v>
      </c>
      <c r="T348" s="6">
        <f t="shared" ca="1" si="162"/>
        <v>54223.439208237724</v>
      </c>
      <c r="U348" s="7">
        <f t="shared" ca="1" si="162"/>
        <v>5.3067913383042997</v>
      </c>
      <c r="V348" s="7">
        <f t="shared" ca="1" si="162"/>
        <v>9.803030303030301</v>
      </c>
      <c r="W348" s="7">
        <f t="shared" ca="1" si="162"/>
        <v>0.23307883583816821</v>
      </c>
      <c r="X348" s="7">
        <f t="shared" ca="1" si="162"/>
        <v>11.963636363636365</v>
      </c>
      <c r="Y348" s="7">
        <f t="shared" ca="1" si="162"/>
        <v>-5.3524347211065207E-2</v>
      </c>
      <c r="Z348" s="7">
        <f t="shared" ca="1" si="162"/>
        <v>0</v>
      </c>
      <c r="AA348" s="28" t="str">
        <f t="shared" si="147"/>
        <v>AKW</v>
      </c>
      <c r="AB348" s="28"/>
      <c r="AC348" s="12"/>
      <c r="AD348" s="12"/>
    </row>
    <row r="349" spans="1:30" x14ac:dyDescent="0.25">
      <c r="A349" s="5" t="s">
        <v>18</v>
      </c>
      <c r="B349" s="5" t="s">
        <v>306</v>
      </c>
      <c r="C349" s="5" t="s">
        <v>318</v>
      </c>
      <c r="D349" s="6">
        <f t="shared" ca="1" si="142"/>
        <v>2.8695652173913047</v>
      </c>
      <c r="E349" s="6">
        <f t="shared" ca="1" si="143"/>
        <v>6694.7633333333333</v>
      </c>
      <c r="F349" s="6">
        <f t="shared" ca="1" si="158"/>
        <v>19211.060000000001</v>
      </c>
      <c r="G349" s="6">
        <f t="shared" ca="1" si="158"/>
        <v>4.7826086956521738</v>
      </c>
      <c r="H349" s="6">
        <f t="shared" ca="1" si="144"/>
        <v>5431.8110000000006</v>
      </c>
      <c r="I349" s="6">
        <f t="shared" ca="1" si="159"/>
        <v>25978.226521739132</v>
      </c>
      <c r="J349" s="6">
        <f t="shared" ca="1" si="159"/>
        <v>53</v>
      </c>
      <c r="K349" s="6">
        <f t="shared" ca="1" si="145"/>
        <v>395.8103773584906</v>
      </c>
      <c r="L349" s="6">
        <f t="shared" ca="1" si="160"/>
        <v>20977.95</v>
      </c>
      <c r="M349" s="6">
        <f t="shared" ca="1" si="160"/>
        <v>9.9523066666666686</v>
      </c>
      <c r="N349" s="6">
        <f t="shared" ca="1" si="146"/>
        <v>1845.3226981856478</v>
      </c>
      <c r="O349" s="6">
        <f t="shared" ca="1" si="162"/>
        <v>18365.217391304348</v>
      </c>
      <c r="P349" s="6">
        <f t="shared" ca="1" si="162"/>
        <v>43.047693333333328</v>
      </c>
      <c r="Q349" s="6">
        <f t="shared" ca="1" si="162"/>
        <v>-1449.5123208271573</v>
      </c>
      <c r="R349" s="6">
        <f t="shared" ca="1" si="162"/>
        <v>2612.7326086956527</v>
      </c>
      <c r="S349" s="6">
        <f t="shared" ca="1" si="162"/>
        <v>-76824.153003839339</v>
      </c>
      <c r="T349" s="6">
        <f t="shared" ca="1" si="162"/>
        <v>79436.885612534985</v>
      </c>
      <c r="U349" s="7">
        <f t="shared" ca="1" si="162"/>
        <v>5.3253986010613277</v>
      </c>
      <c r="V349" s="7">
        <f t="shared" ca="1" si="162"/>
        <v>17.469696969696969</v>
      </c>
      <c r="W349" s="7">
        <f t="shared" ca="1" si="162"/>
        <v>9.1972540817633133E-2</v>
      </c>
      <c r="X349" s="7">
        <f t="shared" ca="1" si="162"/>
        <v>10.081818181818182</v>
      </c>
      <c r="Y349" s="7">
        <f t="shared" ca="1" si="162"/>
        <v>-0.19247951809007416</v>
      </c>
      <c r="Z349" s="7">
        <f t="shared" ca="1" si="162"/>
        <v>0</v>
      </c>
      <c r="AA349" s="28" t="str">
        <f t="shared" si="147"/>
        <v>AKW</v>
      </c>
      <c r="AB349" s="28"/>
      <c r="AC349" s="12"/>
      <c r="AD349" s="12"/>
    </row>
    <row r="350" spans="1:30" x14ac:dyDescent="0.25">
      <c r="A350" s="5" t="s">
        <v>18</v>
      </c>
      <c r="B350" s="5" t="s">
        <v>214</v>
      </c>
      <c r="C350" s="5" t="s">
        <v>336</v>
      </c>
      <c r="D350" s="6" t="str">
        <f t="shared" ca="1" si="142"/>
        <v>-</v>
      </c>
      <c r="E350" s="6" t="str">
        <f t="shared" ca="1" si="143"/>
        <v>-</v>
      </c>
      <c r="F350" s="6" t="str">
        <f t="shared" ca="1" si="158"/>
        <v>-</v>
      </c>
      <c r="G350" s="6" t="str">
        <f t="shared" ca="1" si="158"/>
        <v>-</v>
      </c>
      <c r="H350" s="6" t="str">
        <f t="shared" ca="1" si="144"/>
        <v>-</v>
      </c>
      <c r="I350" s="6" t="str">
        <f t="shared" ca="1" si="159"/>
        <v>-</v>
      </c>
      <c r="J350" s="6">
        <f t="shared" ca="1" si="159"/>
        <v>29</v>
      </c>
      <c r="K350" s="6">
        <f t="shared" ca="1" si="145"/>
        <v>153.64655172413794</v>
      </c>
      <c r="L350" s="6">
        <f t="shared" ca="1" si="160"/>
        <v>4455.75</v>
      </c>
      <c r="M350" s="6">
        <f t="shared" ca="1" si="160"/>
        <v>16.581157775255392</v>
      </c>
      <c r="N350" s="6">
        <f t="shared" ca="1" si="146"/>
        <v>1378.7257726558407</v>
      </c>
      <c r="O350" s="6">
        <f t="shared" ca="1" si="162"/>
        <v>22860.869565217392</v>
      </c>
      <c r="P350" s="6">
        <f t="shared" ca="1" si="162"/>
        <v>12.418842224744608</v>
      </c>
      <c r="Q350" s="6">
        <f t="shared" ca="1" si="162"/>
        <v>-1225.0792209317028</v>
      </c>
      <c r="R350" s="6">
        <f t="shared" ca="1" si="162"/>
        <v>-18405.119565217392</v>
      </c>
      <c r="S350" s="6">
        <f t="shared" ca="1" si="162"/>
        <v>-35527.297407019381</v>
      </c>
      <c r="T350" s="6">
        <f t="shared" ca="1" si="162"/>
        <v>17122.177841801989</v>
      </c>
      <c r="U350" s="7">
        <f t="shared" ca="1" si="162"/>
        <v>1.7489731653888281</v>
      </c>
      <c r="V350" s="7" t="str">
        <f t="shared" ca="1" si="162"/>
        <v>-</v>
      </c>
      <c r="W350" s="7" t="str">
        <f t="shared" ca="1" si="162"/>
        <v>-</v>
      </c>
      <c r="X350" s="7" t="str">
        <f t="shared" ca="1" si="162"/>
        <v>-</v>
      </c>
      <c r="Y350" s="7" t="str">
        <f t="shared" ca="1" si="162"/>
        <v>-</v>
      </c>
      <c r="Z350" s="7">
        <f t="shared" ca="1" si="162"/>
        <v>0</v>
      </c>
      <c r="AA350" s="28" t="str">
        <f t="shared" si="147"/>
        <v>AKW</v>
      </c>
      <c r="AB350" s="28"/>
      <c r="AC350" s="12"/>
      <c r="AD350" s="12"/>
    </row>
    <row r="351" spans="1:30" x14ac:dyDescent="0.25">
      <c r="A351" s="5" t="s">
        <v>18</v>
      </c>
      <c r="B351" s="5" t="s">
        <v>214</v>
      </c>
      <c r="C351" s="5" t="s">
        <v>323</v>
      </c>
      <c r="D351" s="6">
        <f t="shared" ca="1" si="142"/>
        <v>8.608695652173914</v>
      </c>
      <c r="E351" s="6">
        <f t="shared" ref="E351:E353" ca="1" si="163">IFERROR(F351/D351,"-")</f>
        <v>2458.4977777777772</v>
      </c>
      <c r="F351" s="6">
        <f t="shared" ca="1" si="158"/>
        <v>21164.459130434781</v>
      </c>
      <c r="G351" s="6" t="str">
        <f t="shared" ca="1" si="158"/>
        <v>-</v>
      </c>
      <c r="H351" s="6" t="str">
        <f t="shared" ref="H351:H353" ca="1" si="164">IFERROR(I351/G351,"-")</f>
        <v>-</v>
      </c>
      <c r="I351" s="6" t="str">
        <f t="shared" ca="1" si="159"/>
        <v>-</v>
      </c>
      <c r="J351" s="6">
        <f t="shared" ca="1" si="159"/>
        <v>74</v>
      </c>
      <c r="K351" s="6">
        <f t="shared" ref="K351:K353" ca="1" si="165">IFERROR(L351/J351,"-")</f>
        <v>342.97297297297297</v>
      </c>
      <c r="L351" s="6">
        <f t="shared" ca="1" si="160"/>
        <v>25380</v>
      </c>
      <c r="M351" s="6">
        <f t="shared" ca="1" si="160"/>
        <v>14.508513053348468</v>
      </c>
      <c r="N351" s="6">
        <f t="shared" ref="N351:N353" ca="1" si="166">IFERROR(O351/M351,"-")</f>
        <v>1549.315273516426</v>
      </c>
      <c r="O351" s="6">
        <f t="shared" ca="1" si="162"/>
        <v>22478.26086956522</v>
      </c>
      <c r="P351" s="6">
        <f t="shared" ca="1" si="162"/>
        <v>59.491486946651534</v>
      </c>
      <c r="Q351" s="6">
        <f t="shared" ca="1" si="162"/>
        <v>-1206.3423005434531</v>
      </c>
      <c r="R351" s="6">
        <f t="shared" ca="1" si="162"/>
        <v>2901.7391304347802</v>
      </c>
      <c r="S351" s="6">
        <f t="shared" ca="1" si="162"/>
        <v>-89269.330240215524</v>
      </c>
      <c r="T351" s="6">
        <f t="shared" ca="1" si="162"/>
        <v>92171.069370650308</v>
      </c>
      <c r="U351" s="7">
        <f t="shared" ca="1" si="162"/>
        <v>5.1004537631043654</v>
      </c>
      <c r="V351" s="7">
        <f t="shared" ca="1" si="162"/>
        <v>7.595959595959596</v>
      </c>
      <c r="W351" s="7">
        <f t="shared" ca="1" si="162"/>
        <v>0.19918018426954334</v>
      </c>
      <c r="X351" s="7" t="str">
        <f t="shared" ca="1" si="162"/>
        <v>-</v>
      </c>
      <c r="Y351" s="7" t="str">
        <f t="shared" ca="1" si="162"/>
        <v>-</v>
      </c>
      <c r="Z351" s="7">
        <f t="shared" ca="1" si="162"/>
        <v>0</v>
      </c>
      <c r="AA351" s="28" t="str">
        <f t="shared" ref="AA351:AA353" si="167">VLOOKUP(A351,$AC$96:$AD$104,2,0)</f>
        <v>AKW</v>
      </c>
      <c r="AB351" s="28"/>
      <c r="AC351" s="12"/>
      <c r="AD351" s="12"/>
    </row>
    <row r="352" spans="1:30" x14ac:dyDescent="0.25">
      <c r="A352" s="5" t="s">
        <v>18</v>
      </c>
      <c r="B352" s="5" t="s">
        <v>214</v>
      </c>
      <c r="C352" s="5" t="s">
        <v>316</v>
      </c>
      <c r="D352" s="6">
        <f t="shared" ref="D352:D366" ca="1" si="168">IFERROR(VLOOKUP($C352,INDIRECT("'"&amp;$AA352&amp;"-"&amp;$C$1&amp;"'!$C:$AH"),D$30,0),0)</f>
        <v>8.608695652173914</v>
      </c>
      <c r="E352" s="6">
        <f t="shared" ca="1" si="163"/>
        <v>2719.0861111111112</v>
      </c>
      <c r="F352" s="6">
        <f t="shared" ref="F352:G366" ca="1" si="169">IFERROR(VLOOKUP($C352,INDIRECT("'"&amp;$AA352&amp;"-"&amp;$C$1&amp;"'!$C:$AH"),F$30,0),0)</f>
        <v>23407.784782608698</v>
      </c>
      <c r="G352" s="6">
        <f t="shared" ca="1" si="169"/>
        <v>8.1304347826086953</v>
      </c>
      <c r="H352" s="6">
        <f t="shared" ca="1" si="164"/>
        <v>2247.0352941176475</v>
      </c>
      <c r="I352" s="6">
        <f t="shared" ref="I352:J366" ca="1" si="170">IFERROR(VLOOKUP($C352,INDIRECT("'"&amp;$AA352&amp;"-"&amp;$C$1&amp;"'!$C:$AH"),I$30,0),0)</f>
        <v>18269.373913043481</v>
      </c>
      <c r="J352" s="6">
        <f t="shared" ca="1" si="170"/>
        <v>66</v>
      </c>
      <c r="K352" s="6">
        <f t="shared" ca="1" si="165"/>
        <v>189.27651515151516</v>
      </c>
      <c r="L352" s="6">
        <f t="shared" ref="L352:M366" ca="1" si="171">IFERROR(VLOOKUP($C352,INDIRECT("'"&amp;$AA352&amp;"-"&amp;$C$1&amp;"'!$C:$AH"),L$30,0),0)</f>
        <v>12492.25</v>
      </c>
      <c r="M352" s="6">
        <f t="shared" ca="1" si="171"/>
        <v>15.860237871983419</v>
      </c>
      <c r="N352" s="6">
        <f t="shared" ca="1" si="166"/>
        <v>1543.9211391018621</v>
      </c>
      <c r="O352" s="6">
        <f t="shared" ca="1" si="162"/>
        <v>24486.956521739132</v>
      </c>
      <c r="P352" s="6">
        <f t="shared" ca="1" si="162"/>
        <v>50.139762128016585</v>
      </c>
      <c r="Q352" s="6">
        <f t="shared" ca="1" si="162"/>
        <v>-1354.6446239503468</v>
      </c>
      <c r="R352" s="6">
        <f t="shared" ca="1" si="162"/>
        <v>-11994.706521739132</v>
      </c>
      <c r="S352" s="6">
        <f t="shared" ca="1" si="162"/>
        <v>-89406.545180722896</v>
      </c>
      <c r="T352" s="6">
        <f t="shared" ca="1" si="162"/>
        <v>77411.838658983776</v>
      </c>
      <c r="U352" s="7">
        <f t="shared" ca="1" si="162"/>
        <v>4.1613499452354876</v>
      </c>
      <c r="V352" s="7">
        <f t="shared" ca="1" si="162"/>
        <v>6.6666666666666661</v>
      </c>
      <c r="W352" s="7">
        <f t="shared" ca="1" si="162"/>
        <v>-0.46632070843024082</v>
      </c>
      <c r="X352" s="7">
        <f t="shared" ca="1" si="162"/>
        <v>7.1176470588235299</v>
      </c>
      <c r="Y352" s="7">
        <f t="shared" ca="1" si="162"/>
        <v>-0.31621904179862909</v>
      </c>
      <c r="Z352" s="7">
        <f t="shared" ca="1" si="162"/>
        <v>0</v>
      </c>
      <c r="AA352" s="28" t="str">
        <f t="shared" si="167"/>
        <v>AKW</v>
      </c>
      <c r="AB352" s="28"/>
      <c r="AC352" s="12"/>
      <c r="AD352" s="12"/>
    </row>
    <row r="353" spans="1:30" x14ac:dyDescent="0.25">
      <c r="A353" s="5" t="s">
        <v>18</v>
      </c>
      <c r="B353" s="5" t="s">
        <v>214</v>
      </c>
      <c r="C353" s="5" t="s">
        <v>324</v>
      </c>
      <c r="D353" s="6" t="str">
        <f t="shared" ca="1" si="168"/>
        <v>-</v>
      </c>
      <c r="E353" s="6" t="str">
        <f t="shared" ca="1" si="163"/>
        <v>-</v>
      </c>
      <c r="F353" s="6" t="str">
        <f t="shared" ca="1" si="169"/>
        <v>-</v>
      </c>
      <c r="G353" s="6" t="str">
        <f t="shared" ca="1" si="169"/>
        <v>-</v>
      </c>
      <c r="H353" s="6" t="str">
        <f t="shared" ca="1" si="164"/>
        <v>-</v>
      </c>
      <c r="I353" s="6" t="str">
        <f t="shared" ca="1" si="170"/>
        <v>-</v>
      </c>
      <c r="J353" s="6">
        <f t="shared" ca="1" si="170"/>
        <v>72</v>
      </c>
      <c r="K353" s="6">
        <f t="shared" ca="1" si="165"/>
        <v>112.83333333333333</v>
      </c>
      <c r="L353" s="6">
        <f t="shared" ca="1" si="171"/>
        <v>8124</v>
      </c>
      <c r="M353" s="6">
        <f t="shared" ca="1" si="171"/>
        <v>16.581157775255392</v>
      </c>
      <c r="N353" s="6">
        <f t="shared" ca="1" si="166"/>
        <v>1379.8795180722891</v>
      </c>
      <c r="O353" s="6">
        <f t="shared" ca="1" si="162"/>
        <v>22880</v>
      </c>
      <c r="P353" s="6">
        <f t="shared" ca="1" si="162"/>
        <v>55.418842224744608</v>
      </c>
      <c r="Q353" s="6">
        <f t="shared" ca="1" si="162"/>
        <v>-1267.0461847389558</v>
      </c>
      <c r="R353" s="6">
        <f t="shared" ca="1" si="162"/>
        <v>-14756</v>
      </c>
      <c r="S353" s="6">
        <f t="shared" ca="1" si="162"/>
        <v>-91227.325301204823</v>
      </c>
      <c r="T353" s="6">
        <f t="shared" ca="1" si="162"/>
        <v>76471.325301204823</v>
      </c>
      <c r="U353" s="7">
        <f t="shared" ca="1" si="162"/>
        <v>4.3422782037239864</v>
      </c>
      <c r="V353" s="7" t="str">
        <f t="shared" ca="1" si="162"/>
        <v>-</v>
      </c>
      <c r="W353" s="7" t="str">
        <f t="shared" ca="1" si="162"/>
        <v>-</v>
      </c>
      <c r="X353" s="7" t="str">
        <f t="shared" ca="1" si="162"/>
        <v>-</v>
      </c>
      <c r="Y353" s="7" t="str">
        <f t="shared" ca="1" si="162"/>
        <v>-</v>
      </c>
      <c r="Z353" s="7">
        <f t="shared" ca="1" si="162"/>
        <v>0</v>
      </c>
      <c r="AA353" s="28" t="str">
        <f t="shared" si="167"/>
        <v>AKW</v>
      </c>
      <c r="AB353" s="28"/>
      <c r="AC353" s="12"/>
      <c r="AD353" s="12"/>
    </row>
    <row r="354" spans="1:30" x14ac:dyDescent="0.25">
      <c r="A354" s="5" t="s">
        <v>18</v>
      </c>
      <c r="B354" s="5" t="s">
        <v>214</v>
      </c>
      <c r="C354" s="5" t="s">
        <v>315</v>
      </c>
      <c r="D354" s="6" t="str">
        <f t="shared" ca="1" si="168"/>
        <v>-</v>
      </c>
      <c r="E354" s="6" t="str">
        <f t="shared" ref="E354" ca="1" si="172">IFERROR(F354/D354,"-")</f>
        <v>-</v>
      </c>
      <c r="F354" s="6" t="str">
        <f t="shared" ca="1" si="169"/>
        <v>-</v>
      </c>
      <c r="G354" s="6" t="str">
        <f t="shared" ca="1" si="169"/>
        <v>-</v>
      </c>
      <c r="H354" s="6" t="str">
        <f t="shared" ref="H354" ca="1" si="173">IFERROR(I354/G354,"-")</f>
        <v>-</v>
      </c>
      <c r="I354" s="6" t="str">
        <f t="shared" ca="1" si="170"/>
        <v>-</v>
      </c>
      <c r="J354" s="6">
        <f t="shared" ca="1" si="170"/>
        <v>43</v>
      </c>
      <c r="K354" s="6">
        <f t="shared" ref="K354" ca="1" si="174">IFERROR(L354/J354,"-")</f>
        <v>598.23023255813962</v>
      </c>
      <c r="L354" s="6">
        <f t="shared" ca="1" si="171"/>
        <v>25723.9</v>
      </c>
      <c r="M354" s="6">
        <f t="shared" ca="1" si="171"/>
        <v>15.860237871983419</v>
      </c>
      <c r="N354" s="6">
        <f t="shared" ref="N354" ca="1" si="175">IFERROR(O354/M354,"-")</f>
        <v>1375.0547645125957</v>
      </c>
      <c r="O354" s="6">
        <f t="shared" ca="1" si="162"/>
        <v>21808.695652173912</v>
      </c>
      <c r="P354" s="6">
        <f t="shared" ca="1" si="162"/>
        <v>27.139762128016581</v>
      </c>
      <c r="Q354" s="6">
        <f t="shared" ca="1" si="162"/>
        <v>-776.82453195445612</v>
      </c>
      <c r="R354" s="6">
        <f t="shared" ca="1" si="162"/>
        <v>3915.2043478260894</v>
      </c>
      <c r="S354" s="6">
        <f t="shared" ca="1" si="162"/>
        <v>-33403.454874041614</v>
      </c>
      <c r="T354" s="6">
        <f t="shared" ca="1" si="162"/>
        <v>37318.659221867703</v>
      </c>
      <c r="U354" s="7">
        <f t="shared" ca="1" si="162"/>
        <v>2.7111825400776661</v>
      </c>
      <c r="V354" s="7" t="str">
        <f t="shared" ca="1" si="162"/>
        <v>-</v>
      </c>
      <c r="W354" s="7" t="str">
        <f t="shared" ca="1" si="162"/>
        <v>-</v>
      </c>
      <c r="X354" s="7" t="str">
        <f t="shared" ca="1" si="162"/>
        <v>-</v>
      </c>
      <c r="Y354" s="7" t="str">
        <f t="shared" ca="1" si="162"/>
        <v>-</v>
      </c>
      <c r="Z354" s="7">
        <f t="shared" ca="1" si="162"/>
        <v>0</v>
      </c>
      <c r="AA354" s="28" t="str">
        <f t="shared" ref="AA354" si="176">VLOOKUP(A354,$AC$96:$AD$104,2,0)</f>
        <v>AKW</v>
      </c>
      <c r="AB354" s="28"/>
      <c r="AC354" s="12"/>
      <c r="AD354" s="12"/>
    </row>
    <row r="355" spans="1:30" x14ac:dyDescent="0.25">
      <c r="A355" s="5" t="s">
        <v>18</v>
      </c>
      <c r="B355" s="5" t="s">
        <v>222</v>
      </c>
      <c r="C355" s="5" t="s">
        <v>325</v>
      </c>
      <c r="D355" s="6" t="str">
        <f t="shared" ca="1" si="168"/>
        <v>-</v>
      </c>
      <c r="E355" s="6" t="str">
        <f t="shared" ref="E355:E363" ca="1" si="177">IFERROR(F355/D355,"-")</f>
        <v>-</v>
      </c>
      <c r="F355" s="6" t="str">
        <f t="shared" ca="1" si="169"/>
        <v>-</v>
      </c>
      <c r="G355" s="6" t="str">
        <f t="shared" ca="1" si="169"/>
        <v>-</v>
      </c>
      <c r="H355" s="6" t="str">
        <f t="shared" ref="H355:H363" ca="1" si="178">IFERROR(I355/G355,"-")</f>
        <v>-</v>
      </c>
      <c r="I355" s="6" t="str">
        <f t="shared" ca="1" si="170"/>
        <v>-</v>
      </c>
      <c r="J355" s="6">
        <f t="shared" ca="1" si="170"/>
        <v>24</v>
      </c>
      <c r="K355" s="6">
        <f t="shared" ref="K355:K363" ca="1" si="179">IFERROR(L355/J355,"-")</f>
        <v>172.40416666666667</v>
      </c>
      <c r="L355" s="6">
        <f t="shared" ca="1" si="171"/>
        <v>4137.7</v>
      </c>
      <c r="M355" s="6">
        <f t="shared" ca="1" si="171"/>
        <v>8.5835240274599496</v>
      </c>
      <c r="N355" s="6">
        <f t="shared" ref="N355:N363" ca="1" si="180">IFERROR(O355/M355,"-")</f>
        <v>1547.5806451612912</v>
      </c>
      <c r="O355" s="6">
        <f t="shared" ca="1" si="162"/>
        <v>13283.695652173914</v>
      </c>
      <c r="P355" s="6">
        <f t="shared" ca="1" si="162"/>
        <v>15.41647597254005</v>
      </c>
      <c r="Q355" s="6">
        <f t="shared" ca="1" si="162"/>
        <v>-1375.1764784946245</v>
      </c>
      <c r="R355" s="6">
        <f t="shared" ca="1" si="162"/>
        <v>-9145.995652173915</v>
      </c>
      <c r="S355" s="6">
        <f t="shared" ca="1" si="162"/>
        <v>-33004.235483870987</v>
      </c>
      <c r="T355" s="6">
        <f t="shared" ca="1" si="162"/>
        <v>23858.239831697076</v>
      </c>
      <c r="U355" s="7">
        <f t="shared" ca="1" si="162"/>
        <v>2.7960543854972024</v>
      </c>
      <c r="V355" s="7" t="str">
        <f t="shared" ca="1" si="162"/>
        <v>-</v>
      </c>
      <c r="W355" s="7" t="str">
        <f t="shared" ca="1" si="162"/>
        <v>-</v>
      </c>
      <c r="X355" s="7" t="str">
        <f t="shared" ca="1" si="162"/>
        <v>-</v>
      </c>
      <c r="Y355" s="7" t="str">
        <f t="shared" ca="1" si="162"/>
        <v>-</v>
      </c>
      <c r="Z355" s="7">
        <f t="shared" ca="1" si="162"/>
        <v>0</v>
      </c>
      <c r="AA355" s="28" t="str">
        <f t="shared" ref="AA355:AA363" si="181">VLOOKUP(A355,$AC$96:$AD$104,2,0)</f>
        <v>AKW</v>
      </c>
      <c r="AB355" s="28"/>
      <c r="AC355" s="12"/>
      <c r="AD355" s="12"/>
    </row>
    <row r="356" spans="1:30" x14ac:dyDescent="0.25">
      <c r="A356" s="5" t="s">
        <v>18</v>
      </c>
      <c r="B356" s="5" t="s">
        <v>222</v>
      </c>
      <c r="C356" s="5" t="s">
        <v>326</v>
      </c>
      <c r="D356" s="6">
        <f t="shared" ca="1" si="168"/>
        <v>7.1739130434782608</v>
      </c>
      <c r="E356" s="6">
        <f t="shared" ca="1" si="177"/>
        <v>2261.166666666667</v>
      </c>
      <c r="F356" s="6">
        <f t="shared" ca="1" si="169"/>
        <v>16221.413043478262</v>
      </c>
      <c r="G356" s="6">
        <f t="shared" ca="1" si="169"/>
        <v>9.0869565217391308</v>
      </c>
      <c r="H356" s="6">
        <f t="shared" ca="1" si="178"/>
        <v>1309.6842105263158</v>
      </c>
      <c r="I356" s="6">
        <f t="shared" ca="1" si="170"/>
        <v>11901.04347826087</v>
      </c>
      <c r="J356" s="6">
        <f t="shared" ca="1" si="170"/>
        <v>58</v>
      </c>
      <c r="K356" s="6">
        <f t="shared" ca="1" si="179"/>
        <v>255.32586206896551</v>
      </c>
      <c r="L356" s="6">
        <f t="shared" ca="1" si="171"/>
        <v>14808.9</v>
      </c>
      <c r="M356" s="6">
        <f t="shared" ca="1" si="171"/>
        <v>8.5835240274599496</v>
      </c>
      <c r="N356" s="6">
        <f t="shared" ca="1" si="180"/>
        <v>2252.4193548387107</v>
      </c>
      <c r="O356" s="6">
        <f t="shared" ca="1" si="162"/>
        <v>19333.695652173912</v>
      </c>
      <c r="P356" s="6">
        <f t="shared" ca="1" si="162"/>
        <v>49.416475972540049</v>
      </c>
      <c r="Q356" s="6">
        <f t="shared" ca="1" si="162"/>
        <v>-1997.0934927697451</v>
      </c>
      <c r="R356" s="6">
        <f t="shared" ca="1" si="162"/>
        <v>-4524.7956521739125</v>
      </c>
      <c r="S356" s="6">
        <f t="shared" ca="1" si="162"/>
        <v>-115831.42258064522</v>
      </c>
      <c r="T356" s="6">
        <f t="shared" ca="1" si="162"/>
        <v>111306.62692847131</v>
      </c>
      <c r="U356" s="7">
        <f t="shared" ca="1" si="162"/>
        <v>6.7571314316182391</v>
      </c>
      <c r="V356" s="7">
        <f t="shared" ca="1" si="162"/>
        <v>7.084848484848485</v>
      </c>
      <c r="W356" s="7">
        <f t="shared" ca="1" si="162"/>
        <v>-8.7077065339024581E-2</v>
      </c>
      <c r="X356" s="7">
        <f t="shared" ca="1" si="162"/>
        <v>5.3827751196172242</v>
      </c>
      <c r="Y356" s="7">
        <f t="shared" ca="1" si="162"/>
        <v>0.24433626572752107</v>
      </c>
      <c r="Z356" s="7">
        <f t="shared" ca="1" si="162"/>
        <v>0</v>
      </c>
      <c r="AA356" s="28" t="str">
        <f t="shared" si="181"/>
        <v>AKW</v>
      </c>
      <c r="AB356" s="28"/>
      <c r="AC356" s="12"/>
      <c r="AD356" s="12"/>
    </row>
    <row r="357" spans="1:30" x14ac:dyDescent="0.25">
      <c r="A357" s="5" t="s">
        <v>18</v>
      </c>
      <c r="B357" s="5" t="s">
        <v>309</v>
      </c>
      <c r="C357" s="5" t="s">
        <v>321</v>
      </c>
      <c r="D357" s="6" t="str">
        <f t="shared" ca="1" si="168"/>
        <v>-</v>
      </c>
      <c r="E357" s="6" t="str">
        <f t="shared" ca="1" si="177"/>
        <v>-</v>
      </c>
      <c r="F357" s="6" t="str">
        <f t="shared" ca="1" si="169"/>
        <v>-</v>
      </c>
      <c r="G357" s="6" t="str">
        <f t="shared" ca="1" si="169"/>
        <v>-</v>
      </c>
      <c r="H357" s="6" t="str">
        <f t="shared" ca="1" si="178"/>
        <v>-</v>
      </c>
      <c r="I357" s="6" t="str">
        <f t="shared" ca="1" si="170"/>
        <v>-</v>
      </c>
      <c r="J357" s="6">
        <f t="shared" ca="1" si="170"/>
        <v>20</v>
      </c>
      <c r="K357" s="6">
        <f t="shared" ca="1" si="179"/>
        <v>8.25</v>
      </c>
      <c r="L357" s="6">
        <f t="shared" ca="1" si="171"/>
        <v>165</v>
      </c>
      <c r="M357" s="6">
        <f t="shared" ca="1" si="171"/>
        <v>4.447382181818182</v>
      </c>
      <c r="N357" s="6">
        <f t="shared" ca="1" si="180"/>
        <v>2875.3614097478076</v>
      </c>
      <c r="O357" s="6">
        <f t="shared" ca="1" si="162"/>
        <v>12787.831100000009</v>
      </c>
      <c r="P357" s="6">
        <f t="shared" ca="1" si="162"/>
        <v>15.552617818181819</v>
      </c>
      <c r="Q357" s="6">
        <f t="shared" ca="1" si="162"/>
        <v>-2867.1114097478076</v>
      </c>
      <c r="R357" s="6">
        <f t="shared" ca="1" si="162"/>
        <v>-12622.831100000009</v>
      </c>
      <c r="S357" s="6">
        <f t="shared" ca="1" si="162"/>
        <v>-57342.228194956151</v>
      </c>
      <c r="T357" s="6">
        <f t="shared" ca="1" si="162"/>
        <v>44719.397094956148</v>
      </c>
      <c r="U357" s="7">
        <f t="shared" ca="1" si="162"/>
        <v>4.4970275057007996</v>
      </c>
      <c r="V357" s="7" t="str">
        <f t="shared" ca="1" si="162"/>
        <v>-</v>
      </c>
      <c r="W357" s="7" t="str">
        <f t="shared" ca="1" si="162"/>
        <v>-</v>
      </c>
      <c r="X357" s="7" t="str">
        <f t="shared" ca="1" si="162"/>
        <v>-</v>
      </c>
      <c r="Y357" s="7" t="str">
        <f t="shared" ca="1" si="162"/>
        <v>-</v>
      </c>
      <c r="Z357" s="7">
        <f t="shared" ca="1" si="162"/>
        <v>0</v>
      </c>
      <c r="AA357" s="28" t="str">
        <f t="shared" si="181"/>
        <v>AKW</v>
      </c>
      <c r="AB357" s="28"/>
      <c r="AC357" s="12"/>
      <c r="AD357" s="12"/>
    </row>
    <row r="358" spans="1:30" x14ac:dyDescent="0.25">
      <c r="A358" s="5" t="s">
        <v>18</v>
      </c>
      <c r="B358" s="5" t="s">
        <v>47</v>
      </c>
      <c r="C358" s="5" t="s">
        <v>270</v>
      </c>
      <c r="D358" s="6">
        <f t="shared" ca="1" si="168"/>
        <v>25.347826086956523</v>
      </c>
      <c r="E358" s="6">
        <f t="shared" ca="1" si="177"/>
        <v>441.00905660377362</v>
      </c>
      <c r="F358" s="6">
        <f t="shared" ca="1" si="169"/>
        <v>11178.620869565219</v>
      </c>
      <c r="G358" s="6">
        <f t="shared" ca="1" si="169"/>
        <v>30.130434782608695</v>
      </c>
      <c r="H358" s="6">
        <f t="shared" ca="1" si="178"/>
        <v>654.08698412698425</v>
      </c>
      <c r="I358" s="6">
        <f t="shared" ca="1" si="170"/>
        <v>19707.925217391308</v>
      </c>
      <c r="J358" s="6">
        <f t="shared" ca="1" si="170"/>
        <v>30</v>
      </c>
      <c r="K358" s="6">
        <f t="shared" ca="1" si="179"/>
        <v>466.90499999999997</v>
      </c>
      <c r="L358" s="6">
        <f t="shared" ca="1" si="171"/>
        <v>14007.15</v>
      </c>
      <c r="M358" s="6">
        <f t="shared" ca="1" si="171"/>
        <v>29.269565217391303</v>
      </c>
      <c r="N358" s="6">
        <f t="shared" ca="1" si="180"/>
        <v>420</v>
      </c>
      <c r="O358" s="6">
        <f t="shared" ca="1" si="162"/>
        <v>12293.217391304348</v>
      </c>
      <c r="P358" s="6">
        <f t="shared" ca="1" si="162"/>
        <v>0.73043478260869676</v>
      </c>
      <c r="Q358" s="6">
        <f t="shared" ca="1" si="162"/>
        <v>46.904999999999973</v>
      </c>
      <c r="R358" s="6">
        <f t="shared" ca="1" si="162"/>
        <v>1713.9326086956517</v>
      </c>
      <c r="S358" s="6">
        <f t="shared" ca="1" si="162"/>
        <v>1407.1499999999992</v>
      </c>
      <c r="T358" s="6">
        <f t="shared" ca="1" si="162"/>
        <v>306.78260869565264</v>
      </c>
      <c r="U358" s="7">
        <f t="shared" ca="1" si="162"/>
        <v>1.0249554367201426</v>
      </c>
      <c r="V358" s="7">
        <f t="shared" ca="1" si="162"/>
        <v>0.183533447684391</v>
      </c>
      <c r="W358" s="7">
        <f t="shared" ca="1" si="162"/>
        <v>0.2530302407997127</v>
      </c>
      <c r="X358" s="7">
        <f t="shared" ca="1" si="162"/>
        <v>-4.3290043290043186E-3</v>
      </c>
      <c r="Y358" s="7">
        <f t="shared" ca="1" si="162"/>
        <v>-0.28926308348078394</v>
      </c>
      <c r="Z358" s="7">
        <f t="shared" ca="1" si="162"/>
        <v>0</v>
      </c>
      <c r="AA358" s="28" t="str">
        <f t="shared" si="181"/>
        <v>AKW</v>
      </c>
      <c r="AB358" s="28"/>
      <c r="AC358" s="12"/>
      <c r="AD358" s="12"/>
    </row>
    <row r="359" spans="1:30" x14ac:dyDescent="0.25">
      <c r="A359" s="5" t="s">
        <v>18</v>
      </c>
      <c r="B359" s="5" t="s">
        <v>305</v>
      </c>
      <c r="C359" s="5" t="s">
        <v>337</v>
      </c>
      <c r="D359" s="6">
        <f t="shared" ca="1" si="168"/>
        <v>7.6521739130434785</v>
      </c>
      <c r="E359" s="6">
        <f t="shared" ca="1" si="177"/>
        <v>557.20624999999995</v>
      </c>
      <c r="F359" s="6">
        <f t="shared" ca="1" si="169"/>
        <v>4263.8391304347824</v>
      </c>
      <c r="G359" s="6">
        <f t="shared" ca="1" si="169"/>
        <v>15.782608695652174</v>
      </c>
      <c r="H359" s="6">
        <f t="shared" ca="1" si="178"/>
        <v>552.56969696969702</v>
      </c>
      <c r="I359" s="6">
        <f t="shared" ca="1" si="170"/>
        <v>8720.9913043478264</v>
      </c>
      <c r="J359" s="6">
        <f t="shared" ca="1" si="170"/>
        <v>8</v>
      </c>
      <c r="K359" s="6">
        <f t="shared" ca="1" si="179"/>
        <v>550.15000000000009</v>
      </c>
      <c r="L359" s="6">
        <f t="shared" ca="1" si="171"/>
        <v>4401.2000000000007</v>
      </c>
      <c r="M359" s="6">
        <f t="shared" ca="1" si="171"/>
        <v>16.838608695652173</v>
      </c>
      <c r="N359" s="6">
        <f t="shared" ca="1" si="180"/>
        <v>400.00000000000006</v>
      </c>
      <c r="O359" s="6">
        <f t="shared" ca="1" si="162"/>
        <v>6735.4434782608705</v>
      </c>
      <c r="P359" s="6">
        <f t="shared" ca="1" si="162"/>
        <v>-8.838608695652173</v>
      </c>
      <c r="Q359" s="6">
        <f t="shared" ca="1" si="162"/>
        <v>150.15000000000003</v>
      </c>
      <c r="R359" s="6">
        <f t="shared" ca="1" si="162"/>
        <v>-2334.2434782608698</v>
      </c>
      <c r="S359" s="6">
        <f t="shared" ca="1" si="162"/>
        <v>1201.2000000000003</v>
      </c>
      <c r="T359" s="6">
        <f t="shared" ca="1" si="162"/>
        <v>-3535.4434782608696</v>
      </c>
      <c r="U359" s="7">
        <f t="shared" ca="1" si="162"/>
        <v>0.47509863460783708</v>
      </c>
      <c r="V359" s="7">
        <f t="shared" ca="1" si="162"/>
        <v>4.5454545454545421E-2</v>
      </c>
      <c r="W359" s="7">
        <f t="shared" ca="1" si="162"/>
        <v>3.2215303008209802E-2</v>
      </c>
      <c r="X359" s="7">
        <f t="shared" ca="1" si="162"/>
        <v>-0.49311294765840219</v>
      </c>
      <c r="Y359" s="7">
        <f t="shared" ca="1" si="162"/>
        <v>-0.49533260080126507</v>
      </c>
      <c r="Z359" s="7">
        <f t="shared" ca="1" si="162"/>
        <v>0</v>
      </c>
      <c r="AA359" s="28" t="str">
        <f t="shared" si="181"/>
        <v>AKW</v>
      </c>
      <c r="AB359" s="28"/>
      <c r="AC359" s="12"/>
      <c r="AD359" s="12"/>
    </row>
    <row r="360" spans="1:30" x14ac:dyDescent="0.25">
      <c r="A360" s="5" t="s">
        <v>18</v>
      </c>
      <c r="B360" s="5" t="s">
        <v>311</v>
      </c>
      <c r="C360" s="5" t="s">
        <v>311</v>
      </c>
      <c r="D360" s="6">
        <f t="shared" ca="1" si="168"/>
        <v>0</v>
      </c>
      <c r="E360" s="6" t="str">
        <f t="shared" ca="1" si="177"/>
        <v>-</v>
      </c>
      <c r="F360" s="6">
        <f t="shared" ca="1" si="169"/>
        <v>0</v>
      </c>
      <c r="G360" s="6">
        <f t="shared" ca="1" si="169"/>
        <v>0</v>
      </c>
      <c r="H360" s="6" t="str">
        <f t="shared" ca="1" si="178"/>
        <v>-</v>
      </c>
      <c r="I360" s="6">
        <f t="shared" ca="1" si="170"/>
        <v>0</v>
      </c>
      <c r="J360" s="6">
        <f t="shared" ca="1" si="170"/>
        <v>0</v>
      </c>
      <c r="K360" s="6" t="str">
        <f t="shared" ca="1" si="179"/>
        <v>-</v>
      </c>
      <c r="L360" s="6">
        <f t="shared" ca="1" si="171"/>
        <v>0</v>
      </c>
      <c r="M360" s="6">
        <f t="shared" ca="1" si="171"/>
        <v>0</v>
      </c>
      <c r="N360" s="6" t="str">
        <f t="shared" ca="1" si="180"/>
        <v>-</v>
      </c>
      <c r="O360" s="6">
        <f t="shared" ca="1" si="162"/>
        <v>28730.16663478261</v>
      </c>
      <c r="P360" s="6">
        <f t="shared" ca="1" si="162"/>
        <v>0</v>
      </c>
      <c r="Q360" s="6" t="str">
        <f t="shared" ca="1" si="162"/>
        <v>-</v>
      </c>
      <c r="R360" s="6">
        <f t="shared" ca="1" si="162"/>
        <v>0</v>
      </c>
      <c r="S360" s="6">
        <f t="shared" ca="1" si="162"/>
        <v>0</v>
      </c>
      <c r="T360" s="6" t="str">
        <f t="shared" ca="1" si="162"/>
        <v>-</v>
      </c>
      <c r="U360" s="7">
        <f t="shared" ca="1" si="162"/>
        <v>60072.166600000004</v>
      </c>
      <c r="V360" s="7">
        <f t="shared" ca="1" si="162"/>
        <v>0</v>
      </c>
      <c r="W360" s="7" t="str">
        <f t="shared" ca="1" si="162"/>
        <v>-</v>
      </c>
      <c r="X360" s="7">
        <f t="shared" ca="1" si="162"/>
        <v>-28730.16663478261</v>
      </c>
      <c r="Y360" s="7" t="str">
        <f t="shared" ca="1" si="162"/>
        <v>-</v>
      </c>
      <c r="Z360" s="7" t="str">
        <f t="shared" ca="1" si="162"/>
        <v>-</v>
      </c>
      <c r="AA360" s="28" t="str">
        <f t="shared" si="181"/>
        <v>AKW</v>
      </c>
      <c r="AB360" s="28"/>
      <c r="AC360" s="12"/>
      <c r="AD360" s="12"/>
    </row>
    <row r="361" spans="1:30" x14ac:dyDescent="0.25">
      <c r="A361" s="5" t="s">
        <v>18</v>
      </c>
      <c r="B361" s="5" t="s">
        <v>310</v>
      </c>
      <c r="C361" s="5" t="s">
        <v>320</v>
      </c>
      <c r="D361" s="6" t="str">
        <f t="shared" ca="1" si="168"/>
        <v>-</v>
      </c>
      <c r="E361" s="6" t="str">
        <f t="shared" ca="1" si="177"/>
        <v>-</v>
      </c>
      <c r="F361" s="6" t="str">
        <f t="shared" ca="1" si="169"/>
        <v>-</v>
      </c>
      <c r="G361" s="6" t="str">
        <f t="shared" ca="1" si="169"/>
        <v>-</v>
      </c>
      <c r="H361" s="6" t="str">
        <f t="shared" ca="1" si="178"/>
        <v>-</v>
      </c>
      <c r="I361" s="6" t="str">
        <f t="shared" ca="1" si="170"/>
        <v>-</v>
      </c>
      <c r="J361" s="6">
        <f t="shared" ca="1" si="170"/>
        <v>17</v>
      </c>
      <c r="K361" s="6">
        <f t="shared" ca="1" si="179"/>
        <v>3385.25</v>
      </c>
      <c r="L361" s="6">
        <f t="shared" ca="1" si="171"/>
        <v>57549.25</v>
      </c>
      <c r="M361" s="6">
        <f t="shared" ca="1" si="171"/>
        <v>15.318333942272561</v>
      </c>
      <c r="N361" s="6">
        <f t="shared" ca="1" si="180"/>
        <v>5950.0000000000018</v>
      </c>
      <c r="O361" s="6">
        <f t="shared" ref="O361:Z366" ca="1" si="182">IFERROR(VLOOKUP($C361,INDIRECT("'"&amp;$AA361&amp;"-"&amp;$C$1&amp;"'!$C:$AH"),O$30,0),0)</f>
        <v>91144.086956521773</v>
      </c>
      <c r="P361" s="6">
        <f t="shared" ca="1" si="182"/>
        <v>1.6816660577274387</v>
      </c>
      <c r="Q361" s="6">
        <f t="shared" ca="1" si="182"/>
        <v>-2564.7500000000018</v>
      </c>
      <c r="R361" s="6">
        <f t="shared" ca="1" si="182"/>
        <v>-33594.836956521773</v>
      </c>
      <c r="S361" s="6">
        <f t="shared" ca="1" si="182"/>
        <v>-43600.750000000029</v>
      </c>
      <c r="T361" s="6">
        <f t="shared" ca="1" si="182"/>
        <v>10005.913043478264</v>
      </c>
      <c r="U361" s="7">
        <f t="shared" ca="1" si="182"/>
        <v>1.1097812636847342</v>
      </c>
      <c r="V361" s="7" t="str">
        <f t="shared" ca="1" si="182"/>
        <v>-</v>
      </c>
      <c r="W361" s="7" t="str">
        <f t="shared" ca="1" si="182"/>
        <v>-</v>
      </c>
      <c r="X361" s="7" t="str">
        <f t="shared" ca="1" si="182"/>
        <v>-</v>
      </c>
      <c r="Y361" s="7" t="str">
        <f t="shared" ca="1" si="182"/>
        <v>-</v>
      </c>
      <c r="Z361" s="7">
        <f t="shared" ca="1" si="182"/>
        <v>0</v>
      </c>
      <c r="AA361" s="28" t="str">
        <f t="shared" si="181"/>
        <v>AKW</v>
      </c>
      <c r="AB361" s="28"/>
      <c r="AC361" s="12"/>
      <c r="AD361" s="12"/>
    </row>
    <row r="362" spans="1:30" x14ac:dyDescent="0.25">
      <c r="A362" s="5" t="s">
        <v>18</v>
      </c>
      <c r="B362" s="5" t="s">
        <v>278</v>
      </c>
      <c r="C362" s="5" t="s">
        <v>317</v>
      </c>
      <c r="D362" s="6" t="str">
        <f t="shared" ca="1" si="168"/>
        <v>-</v>
      </c>
      <c r="E362" s="6" t="str">
        <f t="shared" ca="1" si="177"/>
        <v>-</v>
      </c>
      <c r="F362" s="6" t="str">
        <f t="shared" ca="1" si="169"/>
        <v>-</v>
      </c>
      <c r="G362" s="6" t="str">
        <f t="shared" ca="1" si="169"/>
        <v>-</v>
      </c>
      <c r="H362" s="6" t="str">
        <f t="shared" ca="1" si="178"/>
        <v>-</v>
      </c>
      <c r="I362" s="6" t="str">
        <f t="shared" ca="1" si="170"/>
        <v>-</v>
      </c>
      <c r="J362" s="6">
        <f t="shared" ca="1" si="170"/>
        <v>72</v>
      </c>
      <c r="K362" s="6">
        <f t="shared" ca="1" si="179"/>
        <v>958.19791666666663</v>
      </c>
      <c r="L362" s="6">
        <f t="shared" ca="1" si="171"/>
        <v>68990.25</v>
      </c>
      <c r="M362" s="6">
        <f t="shared" ca="1" si="171"/>
        <v>61.925217391304358</v>
      </c>
      <c r="N362" s="6">
        <f t="shared" ca="1" si="180"/>
        <v>870.00000000000011</v>
      </c>
      <c r="O362" s="6">
        <f t="shared" ca="1" si="182"/>
        <v>53874.939130434796</v>
      </c>
      <c r="P362" s="6">
        <f t="shared" ca="1" si="182"/>
        <v>10.074782608695642</v>
      </c>
      <c r="Q362" s="6">
        <f t="shared" ca="1" si="182"/>
        <v>88.197916666666515</v>
      </c>
      <c r="R362" s="6">
        <f t="shared" ca="1" si="182"/>
        <v>15115.310869565204</v>
      </c>
      <c r="S362" s="6">
        <f t="shared" ca="1" si="182"/>
        <v>6350.2499999999891</v>
      </c>
      <c r="T362" s="6">
        <f t="shared" ca="1" si="182"/>
        <v>8765.0608695652099</v>
      </c>
      <c r="U362" s="7">
        <f t="shared" ca="1" si="182"/>
        <v>1.1626927289577891</v>
      </c>
      <c r="V362" s="7" t="str">
        <f t="shared" ca="1" si="182"/>
        <v>-</v>
      </c>
      <c r="W362" s="7" t="str">
        <f t="shared" ca="1" si="182"/>
        <v>-</v>
      </c>
      <c r="X362" s="7" t="str">
        <f t="shared" ca="1" si="182"/>
        <v>-</v>
      </c>
      <c r="Y362" s="7" t="str">
        <f t="shared" ca="1" si="182"/>
        <v>-</v>
      </c>
      <c r="Z362" s="7">
        <f t="shared" ca="1" si="182"/>
        <v>0</v>
      </c>
      <c r="AA362" s="28" t="str">
        <f t="shared" si="181"/>
        <v>AKW</v>
      </c>
      <c r="AB362" s="28"/>
      <c r="AC362" s="12"/>
      <c r="AD362" s="12"/>
    </row>
    <row r="363" spans="1:30" x14ac:dyDescent="0.25">
      <c r="A363" s="5" t="s">
        <v>18</v>
      </c>
      <c r="B363" s="5" t="s">
        <v>49</v>
      </c>
      <c r="C363" s="5" t="s">
        <v>264</v>
      </c>
      <c r="D363" s="6">
        <f t="shared" ca="1" si="168"/>
        <v>105.69565217391305</v>
      </c>
      <c r="E363" s="6">
        <f t="shared" ca="1" si="177"/>
        <v>251.3900452488688</v>
      </c>
      <c r="F363" s="6">
        <f t="shared" ca="1" si="169"/>
        <v>26570.834782608697</v>
      </c>
      <c r="G363" s="6">
        <f t="shared" ca="1" si="169"/>
        <v>105.69565217391305</v>
      </c>
      <c r="H363" s="6">
        <f t="shared" ca="1" si="178"/>
        <v>266.78968325791857</v>
      </c>
      <c r="I363" s="6">
        <f t="shared" ca="1" si="170"/>
        <v>28198.509565217391</v>
      </c>
      <c r="J363" s="6">
        <f t="shared" ca="1" si="170"/>
        <v>127</v>
      </c>
      <c r="K363" s="6">
        <f t="shared" ca="1" si="179"/>
        <v>259.95102362204722</v>
      </c>
      <c r="L363" s="6">
        <f t="shared" ca="1" si="171"/>
        <v>33013.78</v>
      </c>
      <c r="M363" s="6" t="str">
        <f t="shared" ca="1" si="171"/>
        <v>-</v>
      </c>
      <c r="N363" s="6" t="str">
        <f t="shared" ca="1" si="180"/>
        <v>-</v>
      </c>
      <c r="O363" s="6" t="str">
        <f t="shared" ca="1" si="182"/>
        <v>-</v>
      </c>
      <c r="P363" s="6" t="str">
        <f t="shared" ca="1" si="182"/>
        <v>-</v>
      </c>
      <c r="Q363" s="6" t="str">
        <f t="shared" ca="1" si="182"/>
        <v>-</v>
      </c>
      <c r="R363" s="6" t="str">
        <f t="shared" ca="1" si="182"/>
        <v>-</v>
      </c>
      <c r="S363" s="6" t="str">
        <f t="shared" ca="1" si="182"/>
        <v>-</v>
      </c>
      <c r="T363" s="6" t="str">
        <f t="shared" ca="1" si="182"/>
        <v>-</v>
      </c>
      <c r="U363" s="7" t="str">
        <f t="shared" ca="1" si="182"/>
        <v>-</v>
      </c>
      <c r="V363" s="7">
        <f t="shared" ca="1" si="182"/>
        <v>0.20156314273961329</v>
      </c>
      <c r="W363" s="7">
        <f t="shared" ca="1" si="182"/>
        <v>0.24248185162810076</v>
      </c>
      <c r="X363" s="7">
        <f t="shared" ca="1" si="182"/>
        <v>0.20156314273961329</v>
      </c>
      <c r="Y363" s="7">
        <f t="shared" ca="1" si="182"/>
        <v>0.17076329596945083</v>
      </c>
      <c r="Z363" s="7">
        <f t="shared" ca="1" si="182"/>
        <v>0</v>
      </c>
      <c r="AA363" s="28" t="str">
        <f t="shared" si="181"/>
        <v>AKW</v>
      </c>
      <c r="AB363" s="28"/>
      <c r="AC363" s="12"/>
      <c r="AD363" s="12"/>
    </row>
    <row r="364" spans="1:30" x14ac:dyDescent="0.25">
      <c r="A364" s="5" t="s">
        <v>18</v>
      </c>
      <c r="B364" s="5" t="s">
        <v>45</v>
      </c>
      <c r="C364" s="5" t="s">
        <v>329</v>
      </c>
      <c r="D364" s="6" t="str">
        <f t="shared" ca="1" si="168"/>
        <v>-</v>
      </c>
      <c r="E364" s="6" t="str">
        <f t="shared" ref="E364" ca="1" si="183">IFERROR(F364/D364,"-")</f>
        <v>-</v>
      </c>
      <c r="F364" s="6" t="str">
        <f t="shared" ca="1" si="169"/>
        <v>-</v>
      </c>
      <c r="G364" s="6" t="str">
        <f t="shared" ca="1" si="169"/>
        <v>-</v>
      </c>
      <c r="H364" s="6" t="str">
        <f t="shared" ref="H364" ca="1" si="184">IFERROR(I364/G364,"-")</f>
        <v>-</v>
      </c>
      <c r="I364" s="6" t="str">
        <f t="shared" ca="1" si="170"/>
        <v>-</v>
      </c>
      <c r="J364" s="6">
        <f t="shared" ca="1" si="170"/>
        <v>10</v>
      </c>
      <c r="K364" s="6">
        <f t="shared" ref="K364" ca="1" si="185">IFERROR(L364/J364,"-")</f>
        <v>25</v>
      </c>
      <c r="L364" s="6">
        <f t="shared" ca="1" si="171"/>
        <v>250</v>
      </c>
      <c r="M364" s="6" t="str">
        <f t="shared" ca="1" si="171"/>
        <v>-</v>
      </c>
      <c r="N364" s="6" t="str">
        <f t="shared" ref="N364" ca="1" si="186">IFERROR(O364/M364,"-")</f>
        <v>-</v>
      </c>
      <c r="O364" s="6" t="str">
        <f t="shared" ca="1" si="182"/>
        <v>-</v>
      </c>
      <c r="P364" s="6" t="str">
        <f t="shared" ca="1" si="182"/>
        <v>-</v>
      </c>
      <c r="Q364" s="6" t="str">
        <f t="shared" ca="1" si="182"/>
        <v>-</v>
      </c>
      <c r="R364" s="6" t="str">
        <f t="shared" ca="1" si="182"/>
        <v>-</v>
      </c>
      <c r="S364" s="6" t="str">
        <f t="shared" ca="1" si="182"/>
        <v>-</v>
      </c>
      <c r="T364" s="6" t="str">
        <f t="shared" ca="1" si="182"/>
        <v>-</v>
      </c>
      <c r="U364" s="7" t="str">
        <f t="shared" ca="1" si="182"/>
        <v>-</v>
      </c>
      <c r="V364" s="7" t="str">
        <f t="shared" ca="1" si="182"/>
        <v>-</v>
      </c>
      <c r="W364" s="7" t="str">
        <f t="shared" ca="1" si="182"/>
        <v>-</v>
      </c>
      <c r="X364" s="7" t="str">
        <f t="shared" ca="1" si="182"/>
        <v>-</v>
      </c>
      <c r="Y364" s="7" t="str">
        <f t="shared" ca="1" si="182"/>
        <v>-</v>
      </c>
      <c r="Z364" s="7">
        <f t="shared" ca="1" si="182"/>
        <v>0</v>
      </c>
      <c r="AA364" s="28" t="str">
        <f t="shared" ref="AA364" si="187">VLOOKUP(A364,$AC$96:$AD$104,2,0)</f>
        <v>AKW</v>
      </c>
      <c r="AB364" s="28"/>
      <c r="AC364" s="12"/>
      <c r="AD364" s="12"/>
    </row>
    <row r="365" spans="1:30" x14ac:dyDescent="0.25">
      <c r="A365" s="5" t="s">
        <v>18</v>
      </c>
      <c r="B365" s="5" t="s">
        <v>304</v>
      </c>
      <c r="C365" s="5" t="s">
        <v>330</v>
      </c>
      <c r="D365" s="6" t="str">
        <f t="shared" ca="1" si="168"/>
        <v>-</v>
      </c>
      <c r="E365" s="6" t="str">
        <f t="shared" ref="E365:E366" ca="1" si="188">IFERROR(F365/D365,"-")</f>
        <v>-</v>
      </c>
      <c r="F365" s="6" t="str">
        <f t="shared" ca="1" si="169"/>
        <v>-</v>
      </c>
      <c r="G365" s="6" t="str">
        <f t="shared" ca="1" si="169"/>
        <v>-</v>
      </c>
      <c r="H365" s="6" t="str">
        <f t="shared" ref="H365:H366" ca="1" si="189">IFERROR(I365/G365,"-")</f>
        <v>-</v>
      </c>
      <c r="I365" s="6" t="str">
        <f t="shared" ca="1" si="170"/>
        <v>-</v>
      </c>
      <c r="J365" s="6">
        <f t="shared" ca="1" si="170"/>
        <v>9</v>
      </c>
      <c r="K365" s="6">
        <f t="shared" ref="K365:K366" ca="1" si="190">IFERROR(L365/J365,"-")</f>
        <v>0</v>
      </c>
      <c r="L365" s="6">
        <f t="shared" ca="1" si="171"/>
        <v>0</v>
      </c>
      <c r="M365" s="6" t="str">
        <f t="shared" ca="1" si="171"/>
        <v>-</v>
      </c>
      <c r="N365" s="6" t="str">
        <f t="shared" ref="N365:N366" ca="1" si="191">IFERROR(O365/M365,"-")</f>
        <v>-</v>
      </c>
      <c r="O365" s="6" t="str">
        <f t="shared" ca="1" si="182"/>
        <v>-</v>
      </c>
      <c r="P365" s="6" t="str">
        <f t="shared" ca="1" si="182"/>
        <v>-</v>
      </c>
      <c r="Q365" s="6" t="str">
        <f t="shared" ca="1" si="182"/>
        <v>-</v>
      </c>
      <c r="R365" s="6" t="str">
        <f t="shared" ca="1" si="182"/>
        <v>-</v>
      </c>
      <c r="S365" s="6" t="str">
        <f t="shared" ca="1" si="182"/>
        <v>-</v>
      </c>
      <c r="T365" s="6" t="str">
        <f t="shared" ca="1" si="182"/>
        <v>-</v>
      </c>
      <c r="U365" s="7" t="str">
        <f t="shared" ca="1" si="182"/>
        <v>-</v>
      </c>
      <c r="V365" s="7" t="str">
        <f t="shared" ca="1" si="182"/>
        <v>-</v>
      </c>
      <c r="W365" s="7" t="str">
        <f t="shared" ca="1" si="182"/>
        <v>-</v>
      </c>
      <c r="X365" s="7" t="str">
        <f t="shared" ca="1" si="182"/>
        <v>-</v>
      </c>
      <c r="Y365" s="7" t="str">
        <f t="shared" ca="1" si="182"/>
        <v>-</v>
      </c>
      <c r="Z365" s="7">
        <f t="shared" ca="1" si="182"/>
        <v>0</v>
      </c>
      <c r="AA365" s="28" t="str">
        <f t="shared" ref="AA365:AA366" si="192">VLOOKUP(A365,$AC$96:$AD$104,2,0)</f>
        <v>AKW</v>
      </c>
    </row>
    <row r="366" spans="1:30" x14ac:dyDescent="0.25">
      <c r="A366" s="5" t="s">
        <v>18</v>
      </c>
      <c r="B366" s="5" t="s">
        <v>711</v>
      </c>
      <c r="C366" s="5" t="s">
        <v>711</v>
      </c>
      <c r="D366" s="6">
        <f t="shared" ca="1" si="168"/>
        <v>0</v>
      </c>
      <c r="E366" s="6" t="str">
        <f t="shared" ca="1" si="188"/>
        <v>-</v>
      </c>
      <c r="F366" s="6">
        <f t="shared" ca="1" si="169"/>
        <v>0</v>
      </c>
      <c r="G366" s="6">
        <f t="shared" ca="1" si="169"/>
        <v>0</v>
      </c>
      <c r="H366" s="6" t="str">
        <f t="shared" ca="1" si="189"/>
        <v>-</v>
      </c>
      <c r="I366" s="6">
        <f t="shared" ca="1" si="170"/>
        <v>0</v>
      </c>
      <c r="J366" s="6">
        <f t="shared" ca="1" si="170"/>
        <v>3</v>
      </c>
      <c r="K366" s="6">
        <f t="shared" ca="1" si="190"/>
        <v>533.33333333333337</v>
      </c>
      <c r="L366" s="6">
        <f t="shared" ca="1" si="171"/>
        <v>1600</v>
      </c>
      <c r="M366" s="6">
        <f t="shared" ca="1" si="171"/>
        <v>0</v>
      </c>
      <c r="N366" s="6" t="str">
        <f t="shared" ca="1" si="191"/>
        <v>-</v>
      </c>
      <c r="O366" s="6">
        <f t="shared" ca="1" si="182"/>
        <v>0</v>
      </c>
      <c r="P366" s="6">
        <f t="shared" ca="1" si="182"/>
        <v>6.2727272727272725</v>
      </c>
      <c r="Q366" s="6">
        <f t="shared" ca="1" si="182"/>
        <v>533.33333333333337</v>
      </c>
      <c r="R366" s="6">
        <f t="shared" ca="1" si="182"/>
        <v>3345.4545454545455</v>
      </c>
      <c r="S366" s="6">
        <f t="shared" ca="1" si="182"/>
        <v>0</v>
      </c>
      <c r="T366" s="6" t="str">
        <f t="shared" ca="1" si="182"/>
        <v>-</v>
      </c>
      <c r="U366" s="7">
        <f t="shared" ca="1" si="182"/>
        <v>0</v>
      </c>
      <c r="V366" s="7">
        <f t="shared" ca="1" si="182"/>
        <v>3</v>
      </c>
      <c r="W366" s="7" t="str">
        <f t="shared" ca="1" si="182"/>
        <v>-</v>
      </c>
      <c r="X366" s="7">
        <f t="shared" ca="1" si="182"/>
        <v>1600</v>
      </c>
      <c r="Y366" s="7" t="str">
        <f t="shared" ca="1" si="182"/>
        <v>-</v>
      </c>
      <c r="Z366" s="7" t="str">
        <f t="shared" ca="1" si="182"/>
        <v>-</v>
      </c>
      <c r="AA366" s="28" t="str">
        <f t="shared" si="192"/>
        <v>AKW</v>
      </c>
    </row>
  </sheetData>
  <mergeCells count="43">
    <mergeCell ref="X6:AB7"/>
    <mergeCell ref="C1:C2"/>
    <mergeCell ref="D1:H2"/>
    <mergeCell ref="C7:C8"/>
    <mergeCell ref="C13:C14"/>
    <mergeCell ref="D12:F13"/>
    <mergeCell ref="G12:I13"/>
    <mergeCell ref="R6:T7"/>
    <mergeCell ref="U6:W7"/>
    <mergeCell ref="R12:T13"/>
    <mergeCell ref="U12:W13"/>
    <mergeCell ref="X12:AB13"/>
    <mergeCell ref="D6:F7"/>
    <mergeCell ref="G6:I7"/>
    <mergeCell ref="J6:N7"/>
    <mergeCell ref="O6:Q7"/>
    <mergeCell ref="AC12:AD13"/>
    <mergeCell ref="AE12:AF13"/>
    <mergeCell ref="AG12:AH13"/>
    <mergeCell ref="AC6:AD7"/>
    <mergeCell ref="AE6:AF7"/>
    <mergeCell ref="AG6:AH7"/>
    <mergeCell ref="AC31:AD32"/>
    <mergeCell ref="AE31:AF32"/>
    <mergeCell ref="D31:F32"/>
    <mergeCell ref="G31:I32"/>
    <mergeCell ref="J31:L32"/>
    <mergeCell ref="M31:O32"/>
    <mergeCell ref="P31:R32"/>
    <mergeCell ref="V31:Z32"/>
    <mergeCell ref="S31:U32"/>
    <mergeCell ref="AA31:AB32"/>
    <mergeCell ref="J12:N13"/>
    <mergeCell ref="O12:Q13"/>
    <mergeCell ref="C93:C94"/>
    <mergeCell ref="P93:T94"/>
    <mergeCell ref="U93:V94"/>
    <mergeCell ref="W93:X94"/>
    <mergeCell ref="Y93:Z94"/>
    <mergeCell ref="D93:F94"/>
    <mergeCell ref="G93:I94"/>
    <mergeCell ref="J93:L94"/>
    <mergeCell ref="M93:O94"/>
  </mergeCells>
  <conditionalFormatting sqref="N8">
    <cfRule type="duplicateValues" dxfId="62" priority="13"/>
    <cfRule type="duplicateValues" dxfId="61" priority="14"/>
  </conditionalFormatting>
  <conditionalFormatting sqref="N14">
    <cfRule type="duplicateValues" dxfId="60" priority="11"/>
    <cfRule type="duplicateValues" dxfId="59" priority="12"/>
  </conditionalFormatting>
  <conditionalFormatting sqref="A96:B366">
    <cfRule type="containsText" dxfId="58" priority="7" operator="containsText" text="Credit">
      <formula>NOT(ISERROR(SEARCH("Credit",A96)))</formula>
    </cfRule>
    <cfRule type="containsText" dxfId="57" priority="8" operator="containsText" text="Cash">
      <formula>NOT(ISERROR(SEARCH("Cash",A96)))</formula>
    </cfRule>
  </conditionalFormatting>
  <conditionalFormatting sqref="C34:C90">
    <cfRule type="duplicateValues" dxfId="56" priority="1"/>
  </conditionalFormatting>
  <dataValidations count="2">
    <dataValidation type="list" allowBlank="1" showInputMessage="1" showErrorMessage="1" sqref="C1:C2" xr:uid="{4E0EFC5E-C04D-4CAC-9EE2-32D93D4F997F}">
      <formula1>$AB$1:$AB$2</formula1>
    </dataValidation>
    <dataValidation type="list" allowBlank="1" showInputMessage="1" showErrorMessage="1" sqref="C93:C94" xr:uid="{357EFD3F-0329-4C3D-8662-0454E36BA8EB}">
      <formula1>$A$25:$A$30</formula1>
    </dataValidation>
  </dataValidations>
  <pageMargins left="0.7" right="0.7" top="0.75" bottom="0.75" header="0.3" footer="0.3"/>
  <pageSetup orientation="portrait" horizontalDpi="200" verticalDpi="200" r:id="rId1"/>
  <ignoredErrors>
    <ignoredError sqref="A1:B2 A5:BA5 A8 BC25:XFD28 J1 M1:N1 AI25:BA28 AI31:XFD33 AI37:XFD90 B30 BC1:XFD9 A13:A15 BC11:XFD15 AI6:BA8 AI11:BA15 E9 A9:B9 A7:B7 C14:AH14 C25:C28 A12:C12 B13:C13 B8:AH8 A6:C6 A11:D11 B14 AC9:BA9 E15 AG30:XFD30 X25:AB28 AC1:BA2 I2:N2 C15:C23 X9:Z9 AB364:XFD364 A91:AB92 AA93:AB94 AB97:AB104 AE91:XFD104 A93:B93 A95:AA95 A94:Z94 P1:AA2 A3:N4 P3:BA4 D93:Z93 X15:AB15 H15 O11 A367:XFD1048576 AB365:XFD365 AB105:XFD363 D96:AA350 AB366:XFD366 C41:C51 C53:C75 C36:C39 C85:C90 C77:C83 V34:AF90 T34:T90 Q34:Q90 E34:E90 V31 S31 P31 C32 G31 C31:D31 C34 C30:E30 C33:AF33 D32:AF32 C35:D35 F30:AF30 D34 E31:F31 H31:O31 Q31:R31 T31:U31 W31:AF31 F35:P90 F34:P34 R35:S90 R34:S34 U35:U90 U34 D84 D77:D83 D85:D90 C40:D40 D36:D39 C76:D76 D53:D75 D52 D41:D5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ollect">
                <anchor moveWithCells="1" sizeWithCells="1">
                  <from>
                    <xdr:col>9</xdr:col>
                    <xdr:colOff>57150</xdr:colOff>
                    <xdr:row>0</xdr:row>
                    <xdr:rowOff>76200</xdr:rowOff>
                  </from>
                  <to>
                    <xdr:col>11</xdr:col>
                    <xdr:colOff>76200</xdr:colOff>
                    <xdr:row>2</xdr:row>
                    <xdr:rowOff>38100</xdr:rowOff>
                  </to>
                </anchor>
              </controlPr>
            </control>
          </mc:Choice>
        </mc:AlternateContent>
        <mc:AlternateContent xmlns:mc="http://schemas.openxmlformats.org/markup-compatibility/2006">
          <mc:Choice Requires="x14">
            <control shapeId="1034" r:id="rId5" name="Button 10">
              <controlPr defaultSize="0" print="0" autoFill="0" autoPict="0" macro="[0]!filterx">
                <anchor moveWithCells="1" sizeWithCells="1">
                  <from>
                    <xdr:col>1</xdr:col>
                    <xdr:colOff>266700</xdr:colOff>
                    <xdr:row>92</xdr:row>
                    <xdr:rowOff>57150</xdr:rowOff>
                  </from>
                  <to>
                    <xdr:col>1</xdr:col>
                    <xdr:colOff>962025</xdr:colOff>
                    <xdr:row>93</xdr:row>
                    <xdr:rowOff>123825</xdr:rowOff>
                  </to>
                </anchor>
              </controlPr>
            </control>
          </mc:Choice>
        </mc:AlternateContent>
        <mc:AlternateContent xmlns:mc="http://schemas.openxmlformats.org/markup-compatibility/2006">
          <mc:Choice Requires="x14">
            <control shapeId="1035" r:id="rId6" name="Button 11">
              <controlPr defaultSize="0" print="0" autoFill="0" autoPict="0" macro="[0]!clear">
                <anchor moveWithCells="1" sizeWithCells="1">
                  <from>
                    <xdr:col>0</xdr:col>
                    <xdr:colOff>114300</xdr:colOff>
                    <xdr:row>92</xdr:row>
                    <xdr:rowOff>57150</xdr:rowOff>
                  </from>
                  <to>
                    <xdr:col>1</xdr:col>
                    <xdr:colOff>85725</xdr:colOff>
                    <xdr:row>93</xdr:row>
                    <xdr:rowOff>123825</xdr:rowOff>
                  </to>
                </anchor>
              </controlPr>
            </control>
          </mc:Choice>
        </mc:AlternateContent>
        <mc:AlternateContent xmlns:mc="http://schemas.openxmlformats.org/markup-compatibility/2006">
          <mc:Choice Requires="x14">
            <control shapeId="1037" r:id="rId7" name="Button 13">
              <controlPr defaultSize="0" print="0" autoFill="0" autoPict="0" macro="[0]!Doc_Test">
                <anchor moveWithCells="1" sizeWithCells="1">
                  <from>
                    <xdr:col>28</xdr:col>
                    <xdr:colOff>76200</xdr:colOff>
                    <xdr:row>93</xdr:row>
                    <xdr:rowOff>28575</xdr:rowOff>
                  </from>
                  <to>
                    <xdr:col>29</xdr:col>
                    <xdr:colOff>133350</xdr:colOff>
                    <xdr:row>94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422BD-7C73-4EFB-9681-CFAEAAEB7622}">
  <sheetPr codeName="Sheet2">
    <outlinePr summaryBelow="0"/>
  </sheetPr>
  <dimension ref="A1:AM487"/>
  <sheetViews>
    <sheetView showGridLines="0" zoomScale="90" zoomScaleNormal="90" workbookViewId="0"/>
  </sheetViews>
  <sheetFormatPr defaultRowHeight="15" outlineLevelRow="1" x14ac:dyDescent="0.25"/>
  <cols>
    <col min="1" max="1" width="4" bestFit="1" customWidth="1"/>
    <col min="2" max="2" width="14.5703125" bestFit="1" customWidth="1"/>
    <col min="3" max="3" width="38.28515625" style="3" bestFit="1" customWidth="1"/>
    <col min="4" max="4" width="7.7109375" style="3" bestFit="1" customWidth="1"/>
    <col min="5" max="5" width="7.42578125" style="3" customWidth="1"/>
    <col min="6" max="6" width="11.140625" style="3" bestFit="1" customWidth="1"/>
    <col min="7" max="7" width="7.7109375" style="3" bestFit="1" customWidth="1"/>
    <col min="8" max="8" width="7.28515625" style="3" bestFit="1" customWidth="1"/>
    <col min="9" max="9" width="11.140625" style="3" bestFit="1" customWidth="1"/>
    <col min="10" max="10" width="6.85546875" style="3" bestFit="1" customWidth="1"/>
    <col min="11" max="11" width="7.28515625" style="3" bestFit="1" customWidth="1"/>
    <col min="12" max="12" width="9.140625" style="3" bestFit="1" customWidth="1"/>
    <col min="13" max="13" width="8.85546875" style="3" bestFit="1" customWidth="1"/>
    <col min="14" max="14" width="9.7109375" style="3" bestFit="1" customWidth="1"/>
    <col min="15" max="15" width="9.140625" style="3" bestFit="1" customWidth="1"/>
    <col min="16" max="16" width="11.85546875" style="3" bestFit="1" customWidth="1"/>
    <col min="17" max="17" width="10.7109375" style="3" bestFit="1" customWidth="1"/>
    <col min="18" max="18" width="11.85546875" style="3" bestFit="1" customWidth="1"/>
    <col min="19" max="19" width="9.42578125" style="3" bestFit="1" customWidth="1"/>
    <col min="20" max="20" width="10.140625" style="3" customWidth="1"/>
    <col min="21" max="21" width="11.28515625" style="3" bestFit="1" customWidth="1"/>
    <col min="22" max="22" width="12.5703125" style="3" bestFit="1" customWidth="1"/>
    <col min="23" max="23" width="10.140625" style="3" customWidth="1"/>
    <col min="24" max="24" width="8.28515625" style="3" bestFit="1" customWidth="1"/>
    <col min="25" max="25" width="12" style="3" bestFit="1" customWidth="1"/>
    <col min="26" max="26" width="14.28515625" style="3" customWidth="1"/>
    <col min="27" max="27" width="12" style="3" bestFit="1" customWidth="1"/>
    <col min="28" max="28" width="13.42578125" style="3" bestFit="1" customWidth="1"/>
    <col min="29" max="29" width="12" bestFit="1" customWidth="1"/>
    <col min="30" max="30" width="13.42578125" bestFit="1" customWidth="1"/>
    <col min="31" max="31" width="7.5703125" bestFit="1" customWidth="1"/>
    <col min="32" max="32" width="7.85546875" bestFit="1" customWidth="1"/>
    <col min="33" max="33" width="7.5703125" bestFit="1" customWidth="1"/>
    <col min="34" max="34" width="7.85546875" bestFit="1" customWidth="1"/>
    <col min="35" max="35" width="5.7109375" bestFit="1" customWidth="1"/>
    <col min="36" max="36" width="7.140625" customWidth="1"/>
    <col min="37" max="38" width="5.7109375" bestFit="1" customWidth="1"/>
    <col min="39" max="39" width="3.28515625" bestFit="1" customWidth="1"/>
    <col min="40" max="40" width="2.42578125" bestFit="1" customWidth="1"/>
  </cols>
  <sheetData>
    <row r="1" spans="3:36" ht="15" customHeight="1" x14ac:dyDescent="0.25">
      <c r="C1" s="112" t="s">
        <v>22</v>
      </c>
      <c r="D1" s="114">
        <v>44698</v>
      </c>
      <c r="E1" s="115"/>
      <c r="F1" s="115"/>
      <c r="G1" s="115"/>
      <c r="H1" s="115"/>
      <c r="I1"/>
      <c r="J1"/>
      <c r="K1" s="9">
        <v>0.55555555555555558</v>
      </c>
      <c r="L1" s="32">
        <v>0.55555555555555558</v>
      </c>
      <c r="M1" s="32">
        <v>0.55555555555555558</v>
      </c>
      <c r="AC1" s="3"/>
      <c r="AD1" s="3"/>
      <c r="AE1" s="3"/>
    </row>
    <row r="2" spans="3:36" ht="24.75" customHeight="1" x14ac:dyDescent="0.25">
      <c r="C2" s="113"/>
      <c r="D2" s="114"/>
      <c r="E2" s="115"/>
      <c r="F2" s="115"/>
      <c r="G2" s="115"/>
      <c r="H2" s="115"/>
      <c r="I2"/>
      <c r="J2"/>
    </row>
    <row r="3" spans="3:36" x14ac:dyDescent="0.25">
      <c r="C3"/>
      <c r="D3"/>
      <c r="E3"/>
      <c r="F3"/>
      <c r="G3"/>
      <c r="H3"/>
      <c r="I3"/>
      <c r="J3"/>
      <c r="K3"/>
      <c r="L3"/>
      <c r="M3"/>
      <c r="N3"/>
      <c r="O3"/>
      <c r="P3"/>
      <c r="Q3"/>
    </row>
    <row r="4" spans="3:36" x14ac:dyDescent="0.25">
      <c r="C4"/>
      <c r="D4"/>
      <c r="E4"/>
      <c r="F4"/>
      <c r="G4"/>
      <c r="H4"/>
      <c r="I4"/>
      <c r="J4"/>
      <c r="K4"/>
      <c r="L4"/>
      <c r="M4"/>
      <c r="N4"/>
      <c r="O4"/>
      <c r="P4"/>
      <c r="Q4"/>
    </row>
    <row r="5" spans="3:36" x14ac:dyDescent="0.25">
      <c r="C5"/>
      <c r="D5"/>
      <c r="E5"/>
      <c r="F5"/>
      <c r="G5"/>
      <c r="H5"/>
      <c r="I5"/>
      <c r="J5"/>
      <c r="K5"/>
      <c r="L5"/>
      <c r="M5"/>
      <c r="N5"/>
      <c r="O5"/>
      <c r="P5"/>
      <c r="Q5"/>
    </row>
    <row r="6" spans="3:36" x14ac:dyDescent="0.25">
      <c r="C6" s="33"/>
      <c r="D6" s="34"/>
      <c r="E6" s="34"/>
      <c r="F6" s="34"/>
      <c r="G6" s="34"/>
      <c r="N6" s="35"/>
      <c r="AC6" s="3"/>
      <c r="AD6" s="3"/>
      <c r="AE6" s="3"/>
    </row>
    <row r="7" spans="3:36" x14ac:dyDescent="0.25">
      <c r="D7" s="118" t="s">
        <v>355</v>
      </c>
      <c r="E7" s="118"/>
      <c r="F7" s="118"/>
      <c r="G7" s="118" t="s">
        <v>356</v>
      </c>
      <c r="H7" s="118"/>
      <c r="I7" s="118"/>
      <c r="J7" s="119" t="s">
        <v>357</v>
      </c>
      <c r="K7" s="120"/>
      <c r="L7" s="120"/>
      <c r="M7" s="120"/>
      <c r="N7" s="121"/>
      <c r="O7" s="122" t="s">
        <v>358</v>
      </c>
      <c r="P7" s="123"/>
      <c r="Q7" s="123"/>
      <c r="R7" s="122" t="s">
        <v>1</v>
      </c>
      <c r="S7" s="123"/>
      <c r="T7" s="123"/>
      <c r="U7" s="122" t="s">
        <v>2</v>
      </c>
      <c r="V7" s="123"/>
      <c r="W7" s="123"/>
      <c r="X7" s="122" t="s">
        <v>3</v>
      </c>
      <c r="Y7" s="123"/>
      <c r="Z7" s="123"/>
      <c r="AA7" s="123"/>
      <c r="AB7" s="123"/>
      <c r="AC7" s="3"/>
      <c r="AD7" s="3"/>
    </row>
    <row r="8" spans="3:36" x14ac:dyDescent="0.25">
      <c r="C8" s="116" t="s">
        <v>359</v>
      </c>
      <c r="D8" s="124" t="s">
        <v>20</v>
      </c>
      <c r="E8" s="125"/>
      <c r="F8" s="126"/>
      <c r="G8" s="124" t="s">
        <v>360</v>
      </c>
      <c r="H8" s="125" t="s">
        <v>360</v>
      </c>
      <c r="I8" s="126" t="s">
        <v>360</v>
      </c>
      <c r="J8" s="124" t="s">
        <v>17</v>
      </c>
      <c r="K8" s="125"/>
      <c r="L8" s="125"/>
      <c r="M8" s="125"/>
      <c r="N8" s="126"/>
      <c r="O8" s="124" t="s">
        <v>17</v>
      </c>
      <c r="P8" s="125"/>
      <c r="Q8" s="126"/>
      <c r="R8" s="124" t="s">
        <v>17</v>
      </c>
      <c r="S8" s="125"/>
      <c r="T8" s="126"/>
      <c r="U8" s="124" t="s">
        <v>17</v>
      </c>
      <c r="V8" s="125"/>
      <c r="W8" s="125"/>
      <c r="X8" s="124" t="s">
        <v>361</v>
      </c>
      <c r="Y8" s="125"/>
      <c r="Z8" s="125"/>
      <c r="AA8" s="125"/>
      <c r="AB8" s="126"/>
      <c r="AC8" s="127" t="s">
        <v>6</v>
      </c>
      <c r="AD8" s="128"/>
      <c r="AE8" s="127" t="s">
        <v>7</v>
      </c>
      <c r="AF8" s="129"/>
      <c r="AG8" s="127" t="s">
        <v>8</v>
      </c>
      <c r="AH8" s="129"/>
    </row>
    <row r="9" spans="3:36" x14ac:dyDescent="0.25">
      <c r="C9" s="117"/>
      <c r="D9" s="4" t="s">
        <v>9</v>
      </c>
      <c r="E9" s="4" t="s">
        <v>10</v>
      </c>
      <c r="F9" s="4" t="s">
        <v>11</v>
      </c>
      <c r="G9" s="4" t="s">
        <v>9</v>
      </c>
      <c r="H9" s="4" t="s">
        <v>10</v>
      </c>
      <c r="I9" s="4" t="s">
        <v>11</v>
      </c>
      <c r="J9" s="4" t="s">
        <v>9</v>
      </c>
      <c r="K9" s="4" t="s">
        <v>10</v>
      </c>
      <c r="L9" s="4" t="s">
        <v>11</v>
      </c>
      <c r="M9" s="4" t="s">
        <v>12</v>
      </c>
      <c r="N9" s="4" t="s">
        <v>13</v>
      </c>
      <c r="O9" s="4" t="s">
        <v>9</v>
      </c>
      <c r="P9" s="4" t="s">
        <v>10</v>
      </c>
      <c r="Q9" s="4" t="s">
        <v>11</v>
      </c>
      <c r="R9" s="4" t="s">
        <v>9</v>
      </c>
      <c r="S9" s="4" t="s">
        <v>10</v>
      </c>
      <c r="T9" s="4" t="s">
        <v>11</v>
      </c>
      <c r="U9" s="4" t="s">
        <v>9</v>
      </c>
      <c r="V9" s="4" t="s">
        <v>10</v>
      </c>
      <c r="W9" s="4" t="s">
        <v>11</v>
      </c>
      <c r="X9" s="4" t="s">
        <v>9</v>
      </c>
      <c r="Y9" s="4" t="s">
        <v>10</v>
      </c>
      <c r="Z9" s="4" t="s">
        <v>11</v>
      </c>
      <c r="AA9" s="4" t="s">
        <v>14</v>
      </c>
      <c r="AB9" s="4" t="s">
        <v>15</v>
      </c>
      <c r="AC9" s="4" t="s">
        <v>16</v>
      </c>
      <c r="AD9" s="4" t="s">
        <v>11</v>
      </c>
      <c r="AE9" s="4" t="s">
        <v>16</v>
      </c>
      <c r="AF9" s="4" t="s">
        <v>11</v>
      </c>
      <c r="AG9" s="4" t="s">
        <v>16</v>
      </c>
      <c r="AH9" s="4" t="s">
        <v>11</v>
      </c>
    </row>
    <row r="10" spans="3:36" collapsed="1" x14ac:dyDescent="0.25">
      <c r="C10" s="5" t="s">
        <v>29</v>
      </c>
      <c r="D10" s="6">
        <v>5975.5555555555557</v>
      </c>
      <c r="E10" s="10">
        <v>665.5044049832652</v>
      </c>
      <c r="F10" s="6">
        <v>3976758.5444444451</v>
      </c>
      <c r="G10" s="6">
        <v>7876.1111111111113</v>
      </c>
      <c r="H10" s="10">
        <v>581.49728927135504</v>
      </c>
      <c r="I10" s="11">
        <v>4579937.2611111114</v>
      </c>
      <c r="J10" s="11">
        <v>6409</v>
      </c>
      <c r="K10" s="10">
        <v>596.94004524886839</v>
      </c>
      <c r="L10" s="6">
        <v>3825788.7499999972</v>
      </c>
      <c r="M10" s="7">
        <v>0.61939218523878437</v>
      </c>
      <c r="N10" s="7">
        <v>0.38060781476121563</v>
      </c>
      <c r="O10" s="6">
        <v>6047.0699984831335</v>
      </c>
      <c r="P10" s="10">
        <v>652.77970339030139</v>
      </c>
      <c r="Q10" s="6">
        <v>3947404.5599902105</v>
      </c>
      <c r="R10" s="6">
        <v>11536.199999999999</v>
      </c>
      <c r="S10" s="6">
        <v>596.94004524886839</v>
      </c>
      <c r="T10" s="6">
        <v>6886419.7499999944</v>
      </c>
      <c r="U10" s="6">
        <v>10884.725997269639</v>
      </c>
      <c r="V10" s="6">
        <v>652.77970339030139</v>
      </c>
      <c r="W10" s="6">
        <v>7105328.2079823781</v>
      </c>
      <c r="X10" s="6">
        <v>361.93000151686647</v>
      </c>
      <c r="Y10" s="6">
        <v>-55.839658141433006</v>
      </c>
      <c r="Z10" s="6">
        <v>-121615.80999021325</v>
      </c>
      <c r="AA10" s="6">
        <v>-357876.36902844411</v>
      </c>
      <c r="AB10" s="6">
        <v>236260.55903823144</v>
      </c>
      <c r="AC10" s="8">
        <v>1.0598521269983072</v>
      </c>
      <c r="AD10" s="8">
        <v>0.9691909435321433</v>
      </c>
      <c r="AE10" s="8">
        <v>7.253625883227964E-2</v>
      </c>
      <c r="AF10" s="8">
        <v>-3.796302761588418E-2</v>
      </c>
      <c r="AG10" s="8">
        <v>-0.18627354165197152</v>
      </c>
      <c r="AH10" s="8">
        <v>-0.16466350260181395</v>
      </c>
      <c r="AI10" s="36">
        <v>0</v>
      </c>
      <c r="AJ10" s="36">
        <v>0</v>
      </c>
    </row>
    <row r="11" spans="3:36" s="16" customFormat="1" hidden="1" outlineLevel="1" x14ac:dyDescent="0.25">
      <c r="C11" s="37" t="s">
        <v>362</v>
      </c>
      <c r="D11" s="15">
        <v>2851.666666666667</v>
      </c>
      <c r="E11" s="15">
        <v>631.08084161309182</v>
      </c>
      <c r="F11" s="15">
        <v>1799632.2000000004</v>
      </c>
      <c r="G11" s="15">
        <v>4350.5555555555557</v>
      </c>
      <c r="H11" s="15">
        <v>482.62751500446967</v>
      </c>
      <c r="I11" s="15">
        <v>2099697.8166666678</v>
      </c>
      <c r="J11" s="15">
        <v>3247</v>
      </c>
      <c r="K11" s="15">
        <v>498.50338774253152</v>
      </c>
      <c r="L11" s="15">
        <v>1618640.4999999998</v>
      </c>
      <c r="M11" s="15" t="s">
        <v>364</v>
      </c>
      <c r="N11" s="15" t="s">
        <v>364</v>
      </c>
      <c r="O11" s="15">
        <v>3184.6144915115015</v>
      </c>
      <c r="P11" s="15">
        <v>608.4068633813007</v>
      </c>
      <c r="Q11" s="15">
        <v>1937541.3138591484</v>
      </c>
      <c r="R11" s="15">
        <v>5844.5999999999995</v>
      </c>
      <c r="S11" s="15">
        <v>498.50338774253152</v>
      </c>
      <c r="T11" s="15">
        <v>2913552.8999999994</v>
      </c>
      <c r="U11" s="15">
        <v>5732.3060847207025</v>
      </c>
      <c r="V11" s="15">
        <v>608.4068633813007</v>
      </c>
      <c r="W11" s="15">
        <v>3487574.3649464669</v>
      </c>
      <c r="X11" s="6">
        <v>62.385508488498544</v>
      </c>
      <c r="Y11" s="6">
        <v>-109.90347563876918</v>
      </c>
      <c r="Z11" s="6">
        <v>-318900.81385914865</v>
      </c>
      <c r="AA11" s="6">
        <v>-356856.5853990835</v>
      </c>
      <c r="AB11" s="6">
        <v>37955.771539934911</v>
      </c>
      <c r="AC11" s="8">
        <v>1.0195896579177119</v>
      </c>
      <c r="AD11" s="8">
        <v>0.83540954116535993</v>
      </c>
      <c r="AE11" s="8">
        <v>0.13863237872589118</v>
      </c>
      <c r="AF11" s="8">
        <v>-0.10057149455316515</v>
      </c>
      <c r="AG11" s="8">
        <v>-0.25365853658536586</v>
      </c>
      <c r="AH11" s="8">
        <v>-0.22910788059510426</v>
      </c>
    </row>
    <row r="12" spans="3:36" s="16" customFormat="1" hidden="1" outlineLevel="1" x14ac:dyDescent="0.25">
      <c r="C12" s="37" t="s">
        <v>363</v>
      </c>
      <c r="D12" s="15">
        <v>3123.8888888888891</v>
      </c>
      <c r="E12" s="15">
        <v>696.92822692512902</v>
      </c>
      <c r="F12" s="15">
        <v>2177126.3444444449</v>
      </c>
      <c r="G12" s="15">
        <v>3525.5555555555557</v>
      </c>
      <c r="H12" s="15">
        <v>703.50315159155389</v>
      </c>
      <c r="I12" s="15">
        <v>2480239.444444445</v>
      </c>
      <c r="J12" s="15">
        <v>3162</v>
      </c>
      <c r="K12" s="15">
        <v>698.02284946236614</v>
      </c>
      <c r="L12" s="15">
        <v>2207148.2500000019</v>
      </c>
      <c r="M12" s="15" t="s">
        <v>364</v>
      </c>
      <c r="N12" s="15" t="s">
        <v>364</v>
      </c>
      <c r="O12" s="15">
        <v>2862.4555069716321</v>
      </c>
      <c r="P12" s="15">
        <v>702.14654559204666</v>
      </c>
      <c r="Q12" s="15">
        <v>2009863.246131062</v>
      </c>
      <c r="R12" s="15">
        <v>5691.5999999999995</v>
      </c>
      <c r="S12" s="15">
        <v>698.02284946236625</v>
      </c>
      <c r="T12" s="15">
        <v>3972866.8500000034</v>
      </c>
      <c r="U12" s="15">
        <v>5152.4199125489376</v>
      </c>
      <c r="V12" s="15">
        <v>702.14654559204655</v>
      </c>
      <c r="W12" s="15">
        <v>3617753.8430359112</v>
      </c>
      <c r="X12" s="6">
        <v>299.54449302836792</v>
      </c>
      <c r="Y12" s="6">
        <v>-4.1236961296805248</v>
      </c>
      <c r="Z12" s="6">
        <v>197285.00386893982</v>
      </c>
      <c r="AA12" s="6">
        <v>-13039.127162049819</v>
      </c>
      <c r="AB12" s="6">
        <v>210324.13103098943</v>
      </c>
      <c r="AC12" s="8">
        <v>1.1046459909328947</v>
      </c>
      <c r="AD12" s="8">
        <v>1.098158421598439</v>
      </c>
      <c r="AE12" s="8">
        <v>1.2199893295393836E-2</v>
      </c>
      <c r="AF12" s="8">
        <v>1.3789693754873895E-2</v>
      </c>
      <c r="AG12" s="8">
        <v>-0.10312007563819732</v>
      </c>
      <c r="AH12" s="8">
        <v>-0.11010678628474659</v>
      </c>
    </row>
    <row r="13" spans="3:36" s="16" customFormat="1" hidden="1" outlineLevel="1" x14ac:dyDescent="0.25">
      <c r="C13" s="5" t="s">
        <v>344</v>
      </c>
      <c r="D13" s="6">
        <v>29.444444444444446</v>
      </c>
      <c r="E13" s="6">
        <v>31044.090377358625</v>
      </c>
      <c r="F13" s="6">
        <v>914075.9944444485</v>
      </c>
      <c r="G13" s="6">
        <v>31.666666666666668</v>
      </c>
      <c r="H13" s="6">
        <v>25557.578596491228</v>
      </c>
      <c r="I13" s="6">
        <v>809323.32222222222</v>
      </c>
      <c r="J13" s="6">
        <v>26</v>
      </c>
      <c r="K13" s="6">
        <v>28785.147307692321</v>
      </c>
      <c r="L13" s="6">
        <v>748413.83000000031</v>
      </c>
      <c r="M13" s="7" t="s">
        <v>364</v>
      </c>
      <c r="N13" s="7" t="s">
        <v>364</v>
      </c>
      <c r="O13" s="6">
        <v>41.42094017094017</v>
      </c>
      <c r="P13" s="6">
        <v>27196.86350044463</v>
      </c>
      <c r="Q13" s="6">
        <v>1126519.6558891435</v>
      </c>
      <c r="R13" s="6">
        <v>46.8</v>
      </c>
      <c r="S13" s="6">
        <v>28785.147307692321</v>
      </c>
      <c r="T13" s="6">
        <v>1347144.8940000006</v>
      </c>
      <c r="U13" s="6">
        <v>74.557692307692307</v>
      </c>
      <c r="V13" s="6">
        <v>27196.86350044463</v>
      </c>
      <c r="W13" s="6">
        <v>2027735.3806004582</v>
      </c>
      <c r="X13" s="6">
        <v>-15.42094017094017</v>
      </c>
      <c r="Y13" s="6">
        <v>1588.2838072476916</v>
      </c>
      <c r="Z13" s="6">
        <v>-378105.82588914316</v>
      </c>
      <c r="AA13" s="6">
        <v>41295.378988439981</v>
      </c>
      <c r="AB13" s="6">
        <v>-419401.20487758308</v>
      </c>
      <c r="AC13" s="8">
        <v>0.62770183131287083</v>
      </c>
      <c r="AD13" s="8">
        <v>0.66435931773359924</v>
      </c>
      <c r="AE13" s="8">
        <v>-0.11698113207547176</v>
      </c>
      <c r="AF13" s="8">
        <v>-0.18123456414051584</v>
      </c>
      <c r="AG13" s="8">
        <v>-0.17894736842105266</v>
      </c>
      <c r="AH13" s="8">
        <v>-7.5259776346217194E-2</v>
      </c>
      <c r="AI13" s="36"/>
      <c r="AJ13" s="36"/>
    </row>
    <row r="14" spans="3:36" s="16" customFormat="1" hidden="1" outlineLevel="1" x14ac:dyDescent="0.25">
      <c r="C14" s="5" t="s">
        <v>209</v>
      </c>
      <c r="D14" s="6">
        <v>305</v>
      </c>
      <c r="E14" s="6">
        <v>911.14956284152868</v>
      </c>
      <c r="F14" s="6">
        <v>277900.61666666623</v>
      </c>
      <c r="G14" s="6">
        <v>298.33333333333337</v>
      </c>
      <c r="H14" s="6">
        <v>994.32869646182587</v>
      </c>
      <c r="I14" s="6">
        <v>296641.39444444474</v>
      </c>
      <c r="J14" s="6">
        <v>438</v>
      </c>
      <c r="K14" s="6">
        <v>938.01041095890491</v>
      </c>
      <c r="L14" s="6">
        <v>410848.56000000035</v>
      </c>
      <c r="M14" s="7" t="s">
        <v>364</v>
      </c>
      <c r="N14" s="7" t="s">
        <v>364</v>
      </c>
      <c r="O14" s="6">
        <v>286.11111111111114</v>
      </c>
      <c r="P14" s="6">
        <v>1083.3581465601246</v>
      </c>
      <c r="Q14" s="6">
        <v>309960.80304359127</v>
      </c>
      <c r="R14" s="6">
        <v>788.4</v>
      </c>
      <c r="S14" s="6">
        <v>938.01041095890491</v>
      </c>
      <c r="T14" s="6">
        <v>739527.40800000064</v>
      </c>
      <c r="U14" s="6">
        <v>515</v>
      </c>
      <c r="V14" s="6">
        <v>1083.3581465601249</v>
      </c>
      <c r="W14" s="6">
        <v>557929.44547846424</v>
      </c>
      <c r="X14" s="6">
        <v>151.88888888888886</v>
      </c>
      <c r="Y14" s="6">
        <v>-145.34773560121971</v>
      </c>
      <c r="Z14" s="6">
        <v>100887.75695640908</v>
      </c>
      <c r="AA14" s="6">
        <v>-63662.308193334233</v>
      </c>
      <c r="AB14" s="6">
        <v>164550.06514974334</v>
      </c>
      <c r="AC14" s="8">
        <v>1.5308737864077668</v>
      </c>
      <c r="AD14" s="8">
        <v>1.3254855322536403</v>
      </c>
      <c r="AE14" s="8">
        <v>0.43606557377049182</v>
      </c>
      <c r="AF14" s="8">
        <v>0.47840103749320334</v>
      </c>
      <c r="AG14" s="8">
        <v>0.46815642458100543</v>
      </c>
      <c r="AH14" s="8">
        <v>0.38500077094582436</v>
      </c>
    </row>
    <row r="15" spans="3:36" s="16" customFormat="1" hidden="1" outlineLevel="1" x14ac:dyDescent="0.25">
      <c r="C15" s="5" t="s">
        <v>345</v>
      </c>
      <c r="D15" s="6">
        <v>0</v>
      </c>
      <c r="E15" s="6">
        <v>0</v>
      </c>
      <c r="F15" s="6">
        <v>64939.655555555495</v>
      </c>
      <c r="G15" s="6">
        <v>0</v>
      </c>
      <c r="H15" s="6">
        <v>0</v>
      </c>
      <c r="I15" s="6">
        <v>49954.544444444429</v>
      </c>
      <c r="J15" s="6">
        <v>0</v>
      </c>
      <c r="K15" s="6">
        <v>0</v>
      </c>
      <c r="L15" s="6">
        <v>68834.160000000047</v>
      </c>
      <c r="M15" s="7" t="s">
        <v>364</v>
      </c>
      <c r="N15" s="7" t="s">
        <v>364</v>
      </c>
      <c r="O15" s="6">
        <v>0</v>
      </c>
      <c r="P15" s="6">
        <v>0</v>
      </c>
      <c r="Q15" s="6">
        <v>83838.372871966945</v>
      </c>
      <c r="R15" s="6">
        <v>0</v>
      </c>
      <c r="S15" s="6" t="s">
        <v>364</v>
      </c>
      <c r="T15" s="6">
        <v>123901.48800000008</v>
      </c>
      <c r="U15" s="6">
        <v>0</v>
      </c>
      <c r="V15" s="6">
        <v>0</v>
      </c>
      <c r="W15" s="6">
        <v>150909.07116954049</v>
      </c>
      <c r="X15" s="6">
        <v>0</v>
      </c>
      <c r="Y15" s="6">
        <v>0</v>
      </c>
      <c r="Z15" s="6">
        <v>-15004.212871966898</v>
      </c>
      <c r="AA15" s="6">
        <v>0</v>
      </c>
      <c r="AB15" s="6">
        <v>0</v>
      </c>
      <c r="AC15" s="8" t="s">
        <v>367</v>
      </c>
      <c r="AD15" s="8">
        <v>0.82103406402125134</v>
      </c>
      <c r="AE15" s="8" t="s">
        <v>364</v>
      </c>
      <c r="AF15" s="8">
        <v>5.9971128752181725E-2</v>
      </c>
      <c r="AG15" s="8" t="s">
        <v>364</v>
      </c>
      <c r="AH15" s="8">
        <v>0.37793589683421219</v>
      </c>
    </row>
    <row r="16" spans="3:36" s="16" customFormat="1" hidden="1" outlineLevel="1" x14ac:dyDescent="0.25">
      <c r="C16" s="5" t="s">
        <v>346</v>
      </c>
      <c r="D16" s="6">
        <v>18.333333333333336</v>
      </c>
      <c r="E16" s="6">
        <v>107859.53757575777</v>
      </c>
      <c r="F16" s="6">
        <v>1977424.8555555593</v>
      </c>
      <c r="G16" s="6">
        <v>26.666666666666668</v>
      </c>
      <c r="H16" s="6">
        <v>96750.741041666319</v>
      </c>
      <c r="I16" s="6">
        <v>2580019.7611111021</v>
      </c>
      <c r="J16" s="6">
        <v>29</v>
      </c>
      <c r="K16" s="6">
        <v>87279.131379310289</v>
      </c>
      <c r="L16" s="6">
        <v>2531094.8099999982</v>
      </c>
      <c r="M16" s="7" t="s">
        <v>364</v>
      </c>
      <c r="N16" s="7" t="s">
        <v>364</v>
      </c>
      <c r="O16" s="6">
        <v>30.555555555555557</v>
      </c>
      <c r="P16" s="6">
        <v>87800.903669305291</v>
      </c>
      <c r="Q16" s="6">
        <v>2682805.3898954396</v>
      </c>
      <c r="R16" s="6">
        <v>52.199999999999996</v>
      </c>
      <c r="S16" s="6">
        <v>87279.131379310274</v>
      </c>
      <c r="T16" s="6">
        <v>4555970.6579999961</v>
      </c>
      <c r="U16" s="6">
        <v>55</v>
      </c>
      <c r="V16" s="6">
        <v>87800.903669305291</v>
      </c>
      <c r="W16" s="6">
        <v>4829049.7018117914</v>
      </c>
      <c r="X16" s="6">
        <v>-1.5555555555555571</v>
      </c>
      <c r="Y16" s="6">
        <v>-521.77228999500221</v>
      </c>
      <c r="Z16" s="6">
        <v>-151710.57989544142</v>
      </c>
      <c r="AA16" s="6">
        <v>-15131.396409855064</v>
      </c>
      <c r="AB16" s="6">
        <v>-136579.18348558614</v>
      </c>
      <c r="AC16" s="8">
        <v>0.9490909090909091</v>
      </c>
      <c r="AD16" s="8">
        <v>0.94345076968055663</v>
      </c>
      <c r="AE16" s="8">
        <v>0.58181818181818157</v>
      </c>
      <c r="AF16" s="8">
        <v>0.2799954460413035</v>
      </c>
      <c r="AG16" s="8">
        <v>8.7499999999999953E-2</v>
      </c>
      <c r="AH16" s="8">
        <v>-1.8963014101114492E-2</v>
      </c>
    </row>
    <row r="17" spans="2:39" s="16" customFormat="1" hidden="1" outlineLevel="1" x14ac:dyDescent="0.25">
      <c r="C17" s="5" t="s">
        <v>347</v>
      </c>
      <c r="D17" s="6">
        <v>340</v>
      </c>
      <c r="E17" s="6">
        <v>8102.9142810457115</v>
      </c>
      <c r="F17" s="6">
        <v>2754990.8555555418</v>
      </c>
      <c r="G17" s="6">
        <v>433.33333333333337</v>
      </c>
      <c r="H17" s="6">
        <v>7316.505320512676</v>
      </c>
      <c r="I17" s="6">
        <v>3170485.6388888266</v>
      </c>
      <c r="J17" s="6">
        <v>321</v>
      </c>
      <c r="K17" s="6">
        <v>7774.5698442367684</v>
      </c>
      <c r="L17" s="6">
        <v>2495636.9200000027</v>
      </c>
      <c r="M17" s="7" t="s">
        <v>364</v>
      </c>
      <c r="N17" s="7" t="s">
        <v>364</v>
      </c>
      <c r="O17" s="6">
        <v>420.5555555555556</v>
      </c>
      <c r="P17" s="6">
        <v>7706.2940495922112</v>
      </c>
      <c r="Q17" s="6">
        <v>3240924.7753007249</v>
      </c>
      <c r="R17" s="6">
        <v>577.79999999999995</v>
      </c>
      <c r="S17" s="6">
        <v>7774.5698442367693</v>
      </c>
      <c r="T17" s="6">
        <v>4492146.4560000049</v>
      </c>
      <c r="U17" s="6">
        <v>757</v>
      </c>
      <c r="V17" s="6">
        <v>7706.294049592213</v>
      </c>
      <c r="W17" s="6">
        <v>5833664.5955413049</v>
      </c>
      <c r="X17" s="6">
        <v>-99.5555555555556</v>
      </c>
      <c r="Y17" s="6">
        <v>68.275794644557209</v>
      </c>
      <c r="Z17" s="6">
        <v>-745287.85530072218</v>
      </c>
      <c r="AA17" s="6">
        <v>21916.530080902863</v>
      </c>
      <c r="AB17" s="6">
        <v>-767204.38538162492</v>
      </c>
      <c r="AC17" s="8">
        <v>0.76327608982826944</v>
      </c>
      <c r="AD17" s="8">
        <v>0.77003852080103674</v>
      </c>
      <c r="AE17" s="8">
        <v>-5.5882352941176473E-2</v>
      </c>
      <c r="AF17" s="8">
        <v>-9.413967201834525E-2</v>
      </c>
      <c r="AG17" s="8">
        <v>-0.25923076923076932</v>
      </c>
      <c r="AH17" s="8">
        <v>-0.21285342239409763</v>
      </c>
    </row>
    <row r="18" spans="2:39" s="16" customFormat="1" hidden="1" outlineLevel="1" x14ac:dyDescent="0.25">
      <c r="C18" s="5" t="s">
        <v>348</v>
      </c>
      <c r="D18" s="6">
        <v>21.111111111111111</v>
      </c>
      <c r="E18" s="6">
        <v>36501.179210526301</v>
      </c>
      <c r="F18" s="6">
        <v>770580.44999999972</v>
      </c>
      <c r="G18" s="6">
        <v>17.777777777777779</v>
      </c>
      <c r="H18" s="6">
        <v>28385.627187499867</v>
      </c>
      <c r="I18" s="6">
        <v>504633.37222221988</v>
      </c>
      <c r="J18" s="6">
        <v>20</v>
      </c>
      <c r="K18" s="6">
        <v>29780.042000000081</v>
      </c>
      <c r="L18" s="6">
        <v>595600.8400000016</v>
      </c>
      <c r="M18" s="7" t="s">
        <v>364</v>
      </c>
      <c r="N18" s="7" t="s">
        <v>364</v>
      </c>
      <c r="O18" s="6">
        <v>18.440860215053764</v>
      </c>
      <c r="P18" s="6">
        <v>39766.763848396506</v>
      </c>
      <c r="Q18" s="6">
        <v>733333.33333333337</v>
      </c>
      <c r="R18" s="6">
        <v>36</v>
      </c>
      <c r="S18" s="6">
        <v>29780.042000000081</v>
      </c>
      <c r="T18" s="6">
        <v>1072081.5120000029</v>
      </c>
      <c r="U18" s="6">
        <v>33.193548387096776</v>
      </c>
      <c r="V18" s="6">
        <v>39766.763848396498</v>
      </c>
      <c r="W18" s="6">
        <v>1320000</v>
      </c>
      <c r="X18" s="6">
        <v>1.5591397849462361</v>
      </c>
      <c r="Y18" s="6">
        <v>-9986.7218483964243</v>
      </c>
      <c r="Z18" s="6">
        <v>-137732.49333333177</v>
      </c>
      <c r="AA18" s="6">
        <v>-199734.43696792849</v>
      </c>
      <c r="AB18" s="6">
        <v>62001.943634596682</v>
      </c>
      <c r="AC18" s="8">
        <v>1.0845481049562682</v>
      </c>
      <c r="AD18" s="8">
        <v>0.81218296363636577</v>
      </c>
      <c r="AE18" s="8">
        <v>-5.2631578947368404E-2</v>
      </c>
      <c r="AF18" s="8">
        <v>-0.22707507048744643</v>
      </c>
      <c r="AG18" s="8">
        <v>0.12499999999999994</v>
      </c>
      <c r="AH18" s="8">
        <v>0.18026447077250246</v>
      </c>
    </row>
    <row r="19" spans="2:39" s="16" customFormat="1" hidden="1" outlineLevel="1" x14ac:dyDescent="0.25">
      <c r="C19" s="5" t="s">
        <v>349</v>
      </c>
      <c r="D19" s="6">
        <v>3.3333333333333335</v>
      </c>
      <c r="E19" s="6">
        <v>87229.078333333324</v>
      </c>
      <c r="F19" s="6">
        <v>290763.5944444444</v>
      </c>
      <c r="G19" s="6">
        <v>2.7777777777777777</v>
      </c>
      <c r="H19" s="6">
        <v>48170.79800000001</v>
      </c>
      <c r="I19" s="6">
        <v>133807.77222222224</v>
      </c>
      <c r="J19" s="6">
        <v>1</v>
      </c>
      <c r="K19" s="6">
        <v>52396.109999999993</v>
      </c>
      <c r="L19" s="6">
        <v>52396.109999999993</v>
      </c>
      <c r="M19" s="7" t="s">
        <v>364</v>
      </c>
      <c r="N19" s="7" t="s">
        <v>364</v>
      </c>
      <c r="O19" s="6">
        <v>3.3333333333333335</v>
      </c>
      <c r="P19" s="6">
        <v>57841</v>
      </c>
      <c r="Q19" s="6">
        <v>192803.33333333334</v>
      </c>
      <c r="R19" s="6">
        <v>1.7999999999999998</v>
      </c>
      <c r="S19" s="6">
        <v>52396.109999999993</v>
      </c>
      <c r="T19" s="6">
        <v>94312.997999999978</v>
      </c>
      <c r="U19" s="6">
        <v>6</v>
      </c>
      <c r="V19" s="6">
        <v>57841</v>
      </c>
      <c r="W19" s="6">
        <v>347046</v>
      </c>
      <c r="X19" s="6">
        <v>-2.3333333333333335</v>
      </c>
      <c r="Y19" s="6">
        <v>-5444.8900000000067</v>
      </c>
      <c r="Z19" s="6">
        <v>-140407.22333333336</v>
      </c>
      <c r="AA19" s="6">
        <v>-5444.8900000000067</v>
      </c>
      <c r="AB19" s="6">
        <v>-134962.33333333334</v>
      </c>
      <c r="AC19" s="8">
        <v>0.3</v>
      </c>
      <c r="AD19" s="8">
        <v>0.27175935754914327</v>
      </c>
      <c r="AE19" s="8">
        <v>-0.70000000000000007</v>
      </c>
      <c r="AF19" s="8">
        <v>-0.81979824503094312</v>
      </c>
      <c r="AG19" s="8">
        <v>-0.64</v>
      </c>
      <c r="AH19" s="8">
        <v>-0.60842252187725865</v>
      </c>
    </row>
    <row r="20" spans="2:39" s="16" customFormat="1" hidden="1" outlineLevel="1" x14ac:dyDescent="0.25">
      <c r="C20" s="5" t="s">
        <v>365</v>
      </c>
      <c r="D20" s="6">
        <v>1.6666666666666667</v>
      </c>
      <c r="E20" s="6">
        <v>16135.470000000007</v>
      </c>
      <c r="F20" s="6">
        <v>26892.450000000012</v>
      </c>
      <c r="G20" s="6">
        <v>2.2222222222222223</v>
      </c>
      <c r="H20" s="6">
        <v>68658.219999999958</v>
      </c>
      <c r="I20" s="6">
        <v>152573.82222222214</v>
      </c>
      <c r="J20" s="6">
        <v>4</v>
      </c>
      <c r="K20" s="6">
        <v>34986.550000000032</v>
      </c>
      <c r="L20" s="6">
        <v>139946.20000000013</v>
      </c>
      <c r="M20" s="7" t="s">
        <v>364</v>
      </c>
      <c r="N20" s="7" t="s">
        <v>364</v>
      </c>
      <c r="O20" s="6">
        <v>3.3333333333333335</v>
      </c>
      <c r="P20" s="6">
        <v>35000</v>
      </c>
      <c r="Q20" s="6">
        <v>116666.66666666667</v>
      </c>
      <c r="R20" s="6">
        <v>7.1999999999999993</v>
      </c>
      <c r="S20" s="6">
        <v>34986.550000000032</v>
      </c>
      <c r="T20" s="6">
        <v>251903.16000000021</v>
      </c>
      <c r="U20" s="6">
        <v>6</v>
      </c>
      <c r="V20" s="6">
        <v>35000</v>
      </c>
      <c r="W20" s="6">
        <v>210000</v>
      </c>
      <c r="X20" s="6">
        <v>0.66666666666666652</v>
      </c>
      <c r="Y20" s="6">
        <v>-13.449999999967986</v>
      </c>
      <c r="Z20" s="6">
        <v>23279.533333333457</v>
      </c>
      <c r="AA20" s="6">
        <v>-53.799999999871943</v>
      </c>
      <c r="AB20" s="6">
        <v>23333.333333333328</v>
      </c>
      <c r="AC20" s="8">
        <v>1.2</v>
      </c>
      <c r="AD20" s="8">
        <v>1.1995388571428582</v>
      </c>
      <c r="AE20" s="8">
        <v>1.3999999999999997</v>
      </c>
      <c r="AF20" s="8">
        <v>4.2039215467538309</v>
      </c>
      <c r="AG20" s="8">
        <v>0.79999999999999993</v>
      </c>
      <c r="AH20" s="8">
        <v>-8.2764015728923751E-2</v>
      </c>
    </row>
    <row r="21" spans="2:39" s="16" customFormat="1" x14ac:dyDescent="0.25">
      <c r="C21" s="20" t="s">
        <v>366</v>
      </c>
      <c r="D21" s="38">
        <v>6694.4444444444443</v>
      </c>
      <c r="E21" s="38">
        <v>1651.2687659751027</v>
      </c>
      <c r="F21" s="38">
        <v>11054327.01666666</v>
      </c>
      <c r="G21" s="38">
        <v>8688.8888888888887</v>
      </c>
      <c r="H21" s="38">
        <v>1412.9973401534442</v>
      </c>
      <c r="I21" s="38">
        <v>12277376.888888815</v>
      </c>
      <c r="J21" s="38">
        <v>7248</v>
      </c>
      <c r="K21" s="38">
        <v>1499.5254111479028</v>
      </c>
      <c r="L21" s="38">
        <v>10868560.18</v>
      </c>
      <c r="M21" s="39">
        <v>0.61939218523878437</v>
      </c>
      <c r="N21" s="39">
        <v>0.38060781476121563</v>
      </c>
      <c r="O21" s="38">
        <v>6850.8206877580169</v>
      </c>
      <c r="P21" s="38">
        <v>1815.0025313819174</v>
      </c>
      <c r="Q21" s="38">
        <v>12434256.890324408</v>
      </c>
      <c r="R21" s="38">
        <v>13046.399999999998</v>
      </c>
      <c r="S21" s="38">
        <v>1499.5254111479032</v>
      </c>
      <c r="T21" s="38">
        <v>19563408.324000001</v>
      </c>
      <c r="U21" s="38">
        <v>12331.477237964429</v>
      </c>
      <c r="V21" s="38">
        <v>1815.0025313819174</v>
      </c>
      <c r="W21" s="38">
        <v>22381662.402583934</v>
      </c>
      <c r="X21" s="38">
        <v>397.1793122419831</v>
      </c>
      <c r="Y21" s="38">
        <v>-315.47712023401459</v>
      </c>
      <c r="Z21" s="38">
        <v>-1565696.7103244085</v>
      </c>
      <c r="AA21" s="38">
        <v>-2286578.1674561379</v>
      </c>
      <c r="AB21" s="38">
        <v>720881.4571317283</v>
      </c>
      <c r="AC21" s="40">
        <v>1.0579754354031945</v>
      </c>
      <c r="AD21" s="40">
        <v>0.87408200392395463</v>
      </c>
      <c r="AE21" s="40">
        <v>8.2688796680497945E-2</v>
      </c>
      <c r="AF21" s="40">
        <v>-1.6804897881759682E-2</v>
      </c>
      <c r="AG21" s="40">
        <v>-0.1658312020460358</v>
      </c>
      <c r="AH21" s="40">
        <v>-0.11474899904423501</v>
      </c>
    </row>
    <row r="22" spans="2:39" x14ac:dyDescent="0.25">
      <c r="C22" s="41"/>
      <c r="D22" s="42"/>
      <c r="E22" s="43"/>
      <c r="F22" s="42"/>
      <c r="G22" s="42"/>
      <c r="H22" s="43"/>
      <c r="I22" s="42"/>
      <c r="J22" s="42"/>
      <c r="K22" s="44"/>
      <c r="L22" s="42"/>
      <c r="M22" s="42"/>
      <c r="N22" s="43"/>
      <c r="O22" s="42"/>
      <c r="P22" s="42"/>
      <c r="Q22" s="42"/>
      <c r="R22" s="43"/>
      <c r="S22" s="42"/>
      <c r="T22" s="42"/>
      <c r="V22" s="42"/>
      <c r="W22" s="45"/>
      <c r="X22" s="45"/>
      <c r="Y22" s="45"/>
      <c r="Z22" s="45"/>
      <c r="AA22" s="42"/>
      <c r="AB22" s="42"/>
      <c r="AC22" s="42"/>
      <c r="AD22" s="46"/>
      <c r="AE22" s="46"/>
      <c r="AF22" s="47"/>
      <c r="AG22" s="47"/>
      <c r="AH22" s="47"/>
      <c r="AI22" s="47"/>
      <c r="AJ22" s="47"/>
      <c r="AK22" s="47"/>
      <c r="AL22" s="47"/>
      <c r="AM22" s="47"/>
    </row>
    <row r="23" spans="2:39" x14ac:dyDescent="0.25">
      <c r="C23" s="41"/>
      <c r="D23" s="48">
        <v>2</v>
      </c>
      <c r="E23" s="48">
        <v>3</v>
      </c>
      <c r="F23" s="48">
        <v>4</v>
      </c>
      <c r="G23" s="48">
        <v>5</v>
      </c>
      <c r="H23" s="48">
        <v>6</v>
      </c>
      <c r="I23" s="48">
        <v>7</v>
      </c>
      <c r="J23" s="48">
        <v>8</v>
      </c>
      <c r="K23" s="48">
        <v>9</v>
      </c>
      <c r="L23" s="48">
        <v>10</v>
      </c>
      <c r="M23" s="48">
        <v>11</v>
      </c>
      <c r="N23" s="48">
        <v>12</v>
      </c>
      <c r="O23" s="48">
        <v>5</v>
      </c>
      <c r="P23" s="48">
        <v>6</v>
      </c>
      <c r="Q23" s="48">
        <v>7</v>
      </c>
      <c r="R23" s="48">
        <v>8</v>
      </c>
      <c r="S23" s="48">
        <v>9</v>
      </c>
      <c r="T23" s="48">
        <v>10</v>
      </c>
      <c r="U23" s="48">
        <v>2</v>
      </c>
      <c r="V23" s="48">
        <v>3</v>
      </c>
      <c r="W23" s="48">
        <v>4</v>
      </c>
      <c r="X23" s="49"/>
      <c r="Y23" s="50"/>
      <c r="Z23" s="50"/>
      <c r="AA23" s="50"/>
      <c r="AB23" s="50"/>
      <c r="AC23" s="50"/>
      <c r="AD23" s="50"/>
      <c r="AE23" s="50"/>
      <c r="AF23" s="50"/>
      <c r="AG23" s="50"/>
    </row>
    <row r="24" spans="2:39" x14ac:dyDescent="0.25">
      <c r="C24" s="9">
        <v>0.55555555555555558</v>
      </c>
      <c r="D24" s="118" t="s">
        <v>30</v>
      </c>
      <c r="E24" s="118"/>
      <c r="F24" s="118"/>
      <c r="G24" s="118" t="s">
        <v>31</v>
      </c>
      <c r="H24" s="118"/>
      <c r="I24" s="118"/>
      <c r="J24" s="119" t="s">
        <v>357</v>
      </c>
      <c r="K24" s="120"/>
      <c r="L24" s="120"/>
      <c r="M24" s="130" t="s">
        <v>358</v>
      </c>
      <c r="N24" s="131"/>
      <c r="O24" s="132"/>
      <c r="P24" s="119" t="s">
        <v>32</v>
      </c>
      <c r="Q24" s="120"/>
      <c r="R24" s="121"/>
      <c r="S24" s="119" t="s">
        <v>2</v>
      </c>
      <c r="T24" s="120"/>
      <c r="U24" s="121"/>
      <c r="V24" s="122" t="s">
        <v>3</v>
      </c>
      <c r="W24" s="123"/>
      <c r="X24" s="123"/>
      <c r="Y24" s="123"/>
      <c r="Z24" s="123"/>
    </row>
    <row r="25" spans="2:39" x14ac:dyDescent="0.25">
      <c r="D25" s="133" t="s">
        <v>20</v>
      </c>
      <c r="E25" s="133" t="s">
        <v>5</v>
      </c>
      <c r="F25" s="133" t="s">
        <v>5</v>
      </c>
      <c r="G25" s="133" t="s">
        <v>360</v>
      </c>
      <c r="H25" s="133" t="s">
        <v>360</v>
      </c>
      <c r="I25" s="133" t="s">
        <v>360</v>
      </c>
      <c r="J25" s="124" t="s">
        <v>17</v>
      </c>
      <c r="K25" s="125"/>
      <c r="L25" s="125"/>
      <c r="M25" s="124" t="s">
        <v>17</v>
      </c>
      <c r="N25" s="125"/>
      <c r="O25" s="126"/>
      <c r="P25" s="124" t="s">
        <v>17</v>
      </c>
      <c r="Q25" s="125"/>
      <c r="R25" s="126"/>
      <c r="S25" s="134" t="s">
        <v>17</v>
      </c>
      <c r="T25" s="135"/>
      <c r="U25" s="135"/>
      <c r="V25" s="124" t="s">
        <v>17</v>
      </c>
      <c r="W25" s="125"/>
      <c r="X25" s="125"/>
      <c r="Y25" s="125"/>
      <c r="Z25" s="126"/>
      <c r="AA25" s="127" t="s">
        <v>6</v>
      </c>
      <c r="AB25" s="128"/>
      <c r="AC25" s="127" t="s">
        <v>7</v>
      </c>
      <c r="AD25" s="129"/>
      <c r="AE25" s="127" t="s">
        <v>8</v>
      </c>
      <c r="AF25" s="129"/>
    </row>
    <row r="26" spans="2:39" x14ac:dyDescent="0.25">
      <c r="C26" s="97" t="s">
        <v>33</v>
      </c>
      <c r="D26" s="4" t="s">
        <v>9</v>
      </c>
      <c r="E26" s="4" t="s">
        <v>10</v>
      </c>
      <c r="F26" s="4" t="s">
        <v>11</v>
      </c>
      <c r="G26" s="4" t="s">
        <v>9</v>
      </c>
      <c r="H26" s="4" t="s">
        <v>10</v>
      </c>
      <c r="I26" s="4" t="s">
        <v>11</v>
      </c>
      <c r="J26" s="4" t="s">
        <v>9</v>
      </c>
      <c r="K26" s="4" t="s">
        <v>10</v>
      </c>
      <c r="L26" s="4" t="s">
        <v>11</v>
      </c>
      <c r="M26" s="4" t="s">
        <v>9</v>
      </c>
      <c r="N26" s="4" t="s">
        <v>10</v>
      </c>
      <c r="O26" s="4" t="s">
        <v>11</v>
      </c>
      <c r="P26" s="4" t="s">
        <v>9</v>
      </c>
      <c r="Q26" s="4" t="s">
        <v>10</v>
      </c>
      <c r="R26" s="4" t="s">
        <v>11</v>
      </c>
      <c r="S26" s="4" t="s">
        <v>9</v>
      </c>
      <c r="T26" s="4" t="s">
        <v>10</v>
      </c>
      <c r="U26" s="4" t="s">
        <v>11</v>
      </c>
      <c r="V26" s="4" t="s">
        <v>9</v>
      </c>
      <c r="W26" s="4" t="s">
        <v>10</v>
      </c>
      <c r="X26" s="4" t="s">
        <v>11</v>
      </c>
      <c r="Y26" s="4" t="s">
        <v>14</v>
      </c>
      <c r="Z26" s="4" t="s">
        <v>15</v>
      </c>
      <c r="AA26" s="4" t="s">
        <v>16</v>
      </c>
      <c r="AB26" s="4" t="s">
        <v>11</v>
      </c>
      <c r="AC26" s="4" t="s">
        <v>16</v>
      </c>
      <c r="AD26" s="4" t="s">
        <v>11</v>
      </c>
      <c r="AE26" s="4" t="s">
        <v>16</v>
      </c>
      <c r="AF26" s="4" t="s">
        <v>11</v>
      </c>
    </row>
    <row r="27" spans="2:39" collapsed="1" x14ac:dyDescent="0.25">
      <c r="B27" s="51"/>
      <c r="C27" s="52" t="s">
        <v>35</v>
      </c>
      <c r="D27" s="6">
        <v>106</v>
      </c>
      <c r="E27" s="53">
        <v>720.81132075471703</v>
      </c>
      <c r="F27" s="6">
        <v>76406</v>
      </c>
      <c r="G27" s="6">
        <v>198.33333333333334</v>
      </c>
      <c r="H27" s="53">
        <v>437.49873949579825</v>
      </c>
      <c r="I27" s="6">
        <v>86770.583333333328</v>
      </c>
      <c r="J27" s="6">
        <v>118</v>
      </c>
      <c r="K27" s="53">
        <v>725.1966949152544</v>
      </c>
      <c r="L27" s="6">
        <v>85573.210000000021</v>
      </c>
      <c r="M27" s="6">
        <v>228.08333333333334</v>
      </c>
      <c r="N27" s="53">
        <v>696.89574660633468</v>
      </c>
      <c r="O27" s="6">
        <v>158950.30487179485</v>
      </c>
      <c r="P27" s="6">
        <v>212.39999999999998</v>
      </c>
      <c r="Q27" s="53">
        <v>725.1966949152544</v>
      </c>
      <c r="R27" s="6">
        <v>154031.77800000002</v>
      </c>
      <c r="S27" s="6">
        <v>590</v>
      </c>
      <c r="T27" s="6">
        <v>249.90677966101694</v>
      </c>
      <c r="U27" s="6">
        <v>147445</v>
      </c>
      <c r="V27" s="6">
        <v>-110.08333333333334</v>
      </c>
      <c r="W27" s="6">
        <v>28.300948308919715</v>
      </c>
      <c r="X27" s="6">
        <v>-73377.094871794834</v>
      </c>
      <c r="Y27" s="6">
        <v>3339.5119004525263</v>
      </c>
      <c r="Z27" s="6">
        <v>-76716.606772247353</v>
      </c>
      <c r="AA27" s="8">
        <v>0.51735476799415414</v>
      </c>
      <c r="AB27" s="8">
        <v>0.53836455405996941</v>
      </c>
      <c r="AC27" s="8">
        <v>0.11320754716981132</v>
      </c>
      <c r="AD27" s="8">
        <v>0.11998023715415047</v>
      </c>
      <c r="AE27" s="8">
        <v>-0.40504201680672269</v>
      </c>
      <c r="AF27" s="8">
        <v>-1.3799300262089293E-2</v>
      </c>
      <c r="AG27" s="54"/>
      <c r="AH27" s="55"/>
    </row>
    <row r="28" spans="2:39" s="16" customFormat="1" ht="15" hidden="1" customHeight="1" outlineLevel="1" x14ac:dyDescent="0.25">
      <c r="B28" s="51"/>
      <c r="C28" s="56" t="s">
        <v>362</v>
      </c>
      <c r="D28" s="15">
        <v>106</v>
      </c>
      <c r="E28" s="57">
        <v>720.48113207547169</v>
      </c>
      <c r="F28" s="15">
        <v>76371</v>
      </c>
      <c r="G28" s="15">
        <v>197.7777777777778</v>
      </c>
      <c r="H28" s="57">
        <v>436.84865168539324</v>
      </c>
      <c r="I28" s="15">
        <v>86398.955555555556</v>
      </c>
      <c r="J28" s="15">
        <v>116</v>
      </c>
      <c r="K28" s="57">
        <v>713.42793103448287</v>
      </c>
      <c r="L28" s="15">
        <v>82757.640000000014</v>
      </c>
      <c r="M28" s="15">
        <v>227.17403100775195</v>
      </c>
      <c r="N28" s="57">
        <v>698.25290626875062</v>
      </c>
      <c r="O28" s="15">
        <v>158624.92737995007</v>
      </c>
      <c r="P28" s="6">
        <v>208.79999999999998</v>
      </c>
      <c r="Q28" s="53">
        <v>713.42793103448287</v>
      </c>
      <c r="R28" s="6">
        <v>148963.75200000001</v>
      </c>
      <c r="S28" s="15">
        <v>587.64784053156143</v>
      </c>
      <c r="T28" s="15">
        <v>250.39345704765879</v>
      </c>
      <c r="U28" s="15">
        <v>147143.17431728897</v>
      </c>
      <c r="V28" s="6">
        <v>-111.17403100775195</v>
      </c>
      <c r="W28" s="6">
        <v>15.175024765732246</v>
      </c>
      <c r="X28" s="6">
        <v>-75867.287379950052</v>
      </c>
      <c r="Y28" s="15">
        <v>1760.3028728249406</v>
      </c>
      <c r="Z28" s="15">
        <v>-77627.590252775</v>
      </c>
      <c r="AA28" s="17">
        <v>0.51062174441955333</v>
      </c>
      <c r="AB28" s="17">
        <v>0.52171900953355732</v>
      </c>
      <c r="AC28" s="17">
        <v>9.4339622641509441E-2</v>
      </c>
      <c r="AD28" s="17">
        <v>8.3626507443925233E-2</v>
      </c>
      <c r="AE28" s="17">
        <v>-0.41348314606741582</v>
      </c>
      <c r="AF28" s="17">
        <v>-4.2145365440374255E-2</v>
      </c>
      <c r="AG28" s="54"/>
      <c r="AH28" s="55"/>
    </row>
    <row r="29" spans="2:39" s="16" customFormat="1" ht="15" hidden="1" customHeight="1" outlineLevel="1" x14ac:dyDescent="0.25">
      <c r="B29" s="51"/>
      <c r="C29" s="56" t="s">
        <v>363</v>
      </c>
      <c r="D29" s="15">
        <v>1</v>
      </c>
      <c r="E29" s="57">
        <v>34</v>
      </c>
      <c r="F29" s="15">
        <v>34</v>
      </c>
      <c r="G29" s="15">
        <v>0.55555555555555558</v>
      </c>
      <c r="H29" s="57">
        <v>668.93000000000006</v>
      </c>
      <c r="I29" s="15">
        <v>371.62777777777785</v>
      </c>
      <c r="J29" s="15">
        <v>2</v>
      </c>
      <c r="K29" s="57">
        <v>1407.7849999999999</v>
      </c>
      <c r="L29" s="15">
        <v>2815.5699999999997</v>
      </c>
      <c r="M29" s="15">
        <v>0.90930232558139534</v>
      </c>
      <c r="N29" s="57">
        <v>357.83202427943769</v>
      </c>
      <c r="O29" s="15">
        <v>325.377491844791</v>
      </c>
      <c r="P29" s="6">
        <v>3.5999999999999996</v>
      </c>
      <c r="Q29" s="53">
        <v>1407.7849999999999</v>
      </c>
      <c r="R29" s="6">
        <v>5068.0259999999989</v>
      </c>
      <c r="S29" s="15">
        <v>2.3521594684385381</v>
      </c>
      <c r="T29" s="15">
        <v>128.31854589833168</v>
      </c>
      <c r="U29" s="15">
        <v>301.82568271102599</v>
      </c>
      <c r="V29" s="6">
        <v>1.0906976744186045</v>
      </c>
      <c r="W29" s="6">
        <v>1049.9529757205621</v>
      </c>
      <c r="X29" s="6">
        <v>2490.1925081552085</v>
      </c>
      <c r="Y29" s="15">
        <v>2099.9059514411242</v>
      </c>
      <c r="Z29" s="15">
        <v>390.28655671408433</v>
      </c>
      <c r="AA29" s="17">
        <v>2.1994884910485935</v>
      </c>
      <c r="AB29" s="17">
        <v>8.6532414520641172</v>
      </c>
      <c r="AC29" s="17">
        <v>1</v>
      </c>
      <c r="AD29" s="17">
        <v>81.810882352941164</v>
      </c>
      <c r="AE29" s="17">
        <v>2.5999999999999996</v>
      </c>
      <c r="AF29" s="17">
        <v>6.5763174024187858</v>
      </c>
      <c r="AG29" s="54"/>
      <c r="AH29" s="55"/>
    </row>
    <row r="30" spans="2:39" collapsed="1" x14ac:dyDescent="0.25">
      <c r="B30" s="51"/>
      <c r="C30" s="52" t="s">
        <v>36</v>
      </c>
      <c r="D30" s="6">
        <v>146</v>
      </c>
      <c r="E30" s="53">
        <v>1050.3493150684931</v>
      </c>
      <c r="F30" s="6">
        <v>153351</v>
      </c>
      <c r="G30" s="6">
        <v>192.22222222222223</v>
      </c>
      <c r="H30" s="53">
        <v>863.90517341040481</v>
      </c>
      <c r="I30" s="6">
        <v>166061.77222222227</v>
      </c>
      <c r="J30" s="6">
        <v>138</v>
      </c>
      <c r="K30" s="53">
        <v>829.06253623188422</v>
      </c>
      <c r="L30" s="6">
        <v>114410.63000000002</v>
      </c>
      <c r="M30" s="6">
        <v>269.19934640522877</v>
      </c>
      <c r="N30" s="53">
        <v>991.53484613050068</v>
      </c>
      <c r="O30" s="6">
        <v>266920.53251633985</v>
      </c>
      <c r="P30" s="6">
        <v>248.39999999999998</v>
      </c>
      <c r="Q30" s="53">
        <v>829.06253623188422</v>
      </c>
      <c r="R30" s="6">
        <v>205939.13400000002</v>
      </c>
      <c r="S30" s="6">
        <v>365</v>
      </c>
      <c r="T30" s="6">
        <v>1017.1616438356165</v>
      </c>
      <c r="U30" s="6">
        <v>371264</v>
      </c>
      <c r="V30" s="6">
        <v>-131.19934640522877</v>
      </c>
      <c r="W30" s="6">
        <v>-162.47230989861646</v>
      </c>
      <c r="X30" s="6">
        <v>-152509.90251633985</v>
      </c>
      <c r="Y30" s="6">
        <v>-22421.17876600907</v>
      </c>
      <c r="Z30" s="6">
        <v>-130088.72375033077</v>
      </c>
      <c r="AA30" s="8">
        <v>0.51263125948406674</v>
      </c>
      <c r="AB30" s="8">
        <v>0.42863180633358072</v>
      </c>
      <c r="AC30" s="8">
        <v>-5.4794520547945202E-2</v>
      </c>
      <c r="AD30" s="8">
        <v>-0.25392967766757296</v>
      </c>
      <c r="AE30" s="8">
        <v>-0.28208092485549136</v>
      </c>
      <c r="AF30" s="8">
        <v>-0.31103571599310154</v>
      </c>
      <c r="AG30" s="54"/>
      <c r="AH30" s="55"/>
    </row>
    <row r="31" spans="2:39" ht="15" hidden="1" customHeight="1" outlineLevel="1" x14ac:dyDescent="0.25">
      <c r="B31" s="51"/>
      <c r="C31" s="56" t="s">
        <v>362</v>
      </c>
      <c r="D31" s="15">
        <v>56</v>
      </c>
      <c r="E31" s="57">
        <v>1108.9285714285713</v>
      </c>
      <c r="F31" s="15">
        <v>62100</v>
      </c>
      <c r="G31" s="15">
        <v>97.222222222222229</v>
      </c>
      <c r="H31" s="57">
        <v>565.29959999999994</v>
      </c>
      <c r="I31" s="15">
        <v>54959.683333333334</v>
      </c>
      <c r="J31" s="15">
        <v>66</v>
      </c>
      <c r="K31" s="57">
        <v>702.76499999999999</v>
      </c>
      <c r="L31" s="15">
        <v>46382.49</v>
      </c>
      <c r="M31" s="15">
        <v>114.36573540091419</v>
      </c>
      <c r="N31" s="57">
        <v>873.67770966175931</v>
      </c>
      <c r="O31" s="15">
        <v>99918.793768853502</v>
      </c>
      <c r="P31" s="6">
        <v>118.8</v>
      </c>
      <c r="Q31" s="53">
        <v>702.76499999999987</v>
      </c>
      <c r="R31" s="6">
        <v>83488.481999999989</v>
      </c>
      <c r="S31" s="15">
        <v>155.06535947712419</v>
      </c>
      <c r="T31" s="15">
        <v>896.25842078083588</v>
      </c>
      <c r="U31" s="15">
        <v>138978.63420277994</v>
      </c>
      <c r="V31" s="6">
        <v>-48.36573540091419</v>
      </c>
      <c r="W31" s="6">
        <v>-170.91270966175932</v>
      </c>
      <c r="X31" s="6">
        <v>-53536.303768853504</v>
      </c>
      <c r="Y31" s="15">
        <v>-10404.100384605425</v>
      </c>
      <c r="Z31" s="15">
        <v>-43132.203384248074</v>
      </c>
      <c r="AA31" s="17">
        <v>0.57709592622855133</v>
      </c>
      <c r="AB31" s="17">
        <v>0.46420186083609688</v>
      </c>
      <c r="AC31" s="17">
        <v>0.17857142857142858</v>
      </c>
      <c r="AD31" s="17">
        <v>-0.25310000000000005</v>
      </c>
      <c r="AE31" s="17">
        <v>-0.32114285714285717</v>
      </c>
      <c r="AF31" s="17">
        <v>-0.15606336887554853</v>
      </c>
      <c r="AG31" s="54"/>
      <c r="AH31" s="55"/>
    </row>
    <row r="32" spans="2:39" ht="15" hidden="1" customHeight="1" outlineLevel="1" x14ac:dyDescent="0.25">
      <c r="B32" s="51"/>
      <c r="C32" s="56" t="s">
        <v>363</v>
      </c>
      <c r="D32" s="15">
        <v>90</v>
      </c>
      <c r="E32" s="57">
        <v>1013.9</v>
      </c>
      <c r="F32" s="15">
        <v>91251</v>
      </c>
      <c r="G32" s="15">
        <v>95</v>
      </c>
      <c r="H32" s="57">
        <v>1169.4956725146205</v>
      </c>
      <c r="I32" s="15">
        <v>111102.08888888895</v>
      </c>
      <c r="J32" s="15">
        <v>72</v>
      </c>
      <c r="K32" s="57">
        <v>944.83527777777761</v>
      </c>
      <c r="L32" s="15">
        <v>68028.139999999985</v>
      </c>
      <c r="M32" s="15">
        <v>154.83361100431458</v>
      </c>
      <c r="N32" s="57">
        <v>1078.5884128403663</v>
      </c>
      <c r="O32" s="15">
        <v>167001.73874748635</v>
      </c>
      <c r="P32" s="6">
        <v>129.6</v>
      </c>
      <c r="Q32" s="53">
        <v>944.83527777777761</v>
      </c>
      <c r="R32" s="6">
        <v>122450.65199999997</v>
      </c>
      <c r="S32" s="15">
        <v>209.93464052287581</v>
      </c>
      <c r="T32" s="15">
        <v>1106.4651608647157</v>
      </c>
      <c r="U32" s="15">
        <v>232285.36579722006</v>
      </c>
      <c r="V32" s="6">
        <v>-82.833611004314577</v>
      </c>
      <c r="W32" s="6">
        <v>-133.75313506258874</v>
      </c>
      <c r="X32" s="6">
        <v>-98973.598747486365</v>
      </c>
      <c r="Y32" s="15">
        <v>-10279.853797653683</v>
      </c>
      <c r="Z32" s="15">
        <v>-88693.744949832675</v>
      </c>
      <c r="AA32" s="17">
        <v>0.46501531245689059</v>
      </c>
      <c r="AB32" s="17">
        <v>0.40734989054731574</v>
      </c>
      <c r="AC32" s="17">
        <v>-0.2</v>
      </c>
      <c r="AD32" s="17">
        <v>-0.25449430691170527</v>
      </c>
      <c r="AE32" s="17">
        <v>-0.24210526315789474</v>
      </c>
      <c r="AF32" s="17">
        <v>-0.38769702099810549</v>
      </c>
      <c r="AG32" s="54"/>
      <c r="AH32" s="55"/>
    </row>
    <row r="33" spans="2:34" collapsed="1" x14ac:dyDescent="0.25">
      <c r="B33" s="51"/>
      <c r="C33" s="52" t="s">
        <v>37</v>
      </c>
      <c r="D33" s="6">
        <v>0</v>
      </c>
      <c r="E33" s="53" t="s">
        <v>364</v>
      </c>
      <c r="F33" s="6">
        <v>0</v>
      </c>
      <c r="G33" s="6">
        <v>3.8888888888888893</v>
      </c>
      <c r="H33" s="53">
        <v>703.21714285714302</v>
      </c>
      <c r="I33" s="6">
        <v>2734.733333333334</v>
      </c>
      <c r="J33" s="6">
        <v>2</v>
      </c>
      <c r="K33" s="53">
        <v>102.75</v>
      </c>
      <c r="L33" s="6">
        <v>205.5</v>
      </c>
      <c r="M33" s="6">
        <v>22</v>
      </c>
      <c r="N33" s="53">
        <v>846.31000000000017</v>
      </c>
      <c r="O33" s="6">
        <v>18618.820000000003</v>
      </c>
      <c r="P33" s="6">
        <v>3.5999999999999996</v>
      </c>
      <c r="Q33" s="53">
        <v>102.75</v>
      </c>
      <c r="R33" s="6">
        <v>369.9</v>
      </c>
      <c r="S33" s="6">
        <v>30</v>
      </c>
      <c r="T33" s="6">
        <v>1023.1333333333333</v>
      </c>
      <c r="U33" s="6">
        <v>30694</v>
      </c>
      <c r="V33" s="6">
        <v>-20</v>
      </c>
      <c r="W33" s="6">
        <v>-743.56000000000017</v>
      </c>
      <c r="X33" s="6">
        <v>-18413.320000000003</v>
      </c>
      <c r="Y33" s="6">
        <v>-1487.1200000000003</v>
      </c>
      <c r="Z33" s="6">
        <v>-16926.200000000004</v>
      </c>
      <c r="AA33" s="8">
        <v>9.0909090909090912E-2</v>
      </c>
      <c r="AB33" s="8">
        <v>1.1037219329688991E-2</v>
      </c>
      <c r="AC33" s="8" t="s">
        <v>364</v>
      </c>
      <c r="AD33" s="8" t="s">
        <v>364</v>
      </c>
      <c r="AE33" s="8">
        <v>-0.48571428571428577</v>
      </c>
      <c r="AF33" s="8">
        <v>-0.92485556178542705</v>
      </c>
      <c r="AG33" s="54"/>
      <c r="AH33" s="55"/>
    </row>
    <row r="34" spans="2:34" ht="15" hidden="1" customHeight="1" outlineLevel="1" x14ac:dyDescent="0.25">
      <c r="B34" s="51"/>
      <c r="C34" s="56" t="s">
        <v>362</v>
      </c>
      <c r="D34" s="15">
        <v>0</v>
      </c>
      <c r="E34" s="57" t="s">
        <v>364</v>
      </c>
      <c r="F34" s="15">
        <v>0</v>
      </c>
      <c r="G34" s="15">
        <v>1.1111111111111112</v>
      </c>
      <c r="H34" s="57">
        <v>165.35</v>
      </c>
      <c r="I34" s="15">
        <v>183.72222222222223</v>
      </c>
      <c r="J34" s="15">
        <v>1</v>
      </c>
      <c r="K34" s="57">
        <v>0</v>
      </c>
      <c r="L34" s="15">
        <v>0</v>
      </c>
      <c r="M34" s="15">
        <v>3.7078651685393251</v>
      </c>
      <c r="N34" s="57">
        <v>430.77377621827083</v>
      </c>
      <c r="O34" s="15">
        <v>1597.2510803598802</v>
      </c>
      <c r="P34" s="6">
        <v>1.7999999999999998</v>
      </c>
      <c r="Q34" s="53">
        <v>0</v>
      </c>
      <c r="R34" s="6">
        <v>0</v>
      </c>
      <c r="S34" s="15">
        <v>5.0561797752808975</v>
      </c>
      <c r="T34" s="15">
        <v>520.77726787440395</v>
      </c>
      <c r="U34" s="15">
        <v>2633.1434892526036</v>
      </c>
      <c r="V34" s="6">
        <v>-2.7078651685393251</v>
      </c>
      <c r="W34" s="6">
        <v>-430.77377621827083</v>
      </c>
      <c r="X34" s="6">
        <v>-1597.2510803598802</v>
      </c>
      <c r="Y34" s="15">
        <v>-430.77377621827083</v>
      </c>
      <c r="Z34" s="15">
        <v>-1166.4773041416095</v>
      </c>
      <c r="AA34" s="17">
        <v>0.26969696969696977</v>
      </c>
      <c r="AB34" s="17">
        <v>0</v>
      </c>
      <c r="AC34" s="17" t="s">
        <v>364</v>
      </c>
      <c r="AD34" s="17" t="s">
        <v>364</v>
      </c>
      <c r="AE34" s="17">
        <v>-0.10000000000000003</v>
      </c>
      <c r="AF34" s="17">
        <v>-1</v>
      </c>
      <c r="AG34" s="54"/>
      <c r="AH34" s="55"/>
    </row>
    <row r="35" spans="2:34" ht="15" hidden="1" customHeight="1" outlineLevel="1" x14ac:dyDescent="0.25">
      <c r="B35" s="51"/>
      <c r="C35" s="56" t="s">
        <v>363</v>
      </c>
      <c r="D35" s="15">
        <v>0</v>
      </c>
      <c r="E35" s="57" t="s">
        <v>364</v>
      </c>
      <c r="F35" s="15">
        <v>0</v>
      </c>
      <c r="G35" s="15">
        <v>2.7777777777777777</v>
      </c>
      <c r="H35" s="57">
        <v>918.36400000000026</v>
      </c>
      <c r="I35" s="15">
        <v>2551.0111111111119</v>
      </c>
      <c r="J35" s="15">
        <v>1</v>
      </c>
      <c r="K35" s="57">
        <v>205.5</v>
      </c>
      <c r="L35" s="15">
        <v>205.5</v>
      </c>
      <c r="M35" s="15">
        <v>18.292134831460675</v>
      </c>
      <c r="N35" s="57">
        <v>930.54031563143167</v>
      </c>
      <c r="O35" s="15">
        <v>17021.568919640122</v>
      </c>
      <c r="P35" s="6">
        <v>1.7999999999999998</v>
      </c>
      <c r="Q35" s="53">
        <v>205.5</v>
      </c>
      <c r="R35" s="6">
        <v>369.9</v>
      </c>
      <c r="S35" s="15">
        <v>24.943820224719101</v>
      </c>
      <c r="T35" s="15">
        <v>1124.9622655209541</v>
      </c>
      <c r="U35" s="15">
        <v>28060.856510747395</v>
      </c>
      <c r="V35" s="6">
        <v>-17.292134831460675</v>
      </c>
      <c r="W35" s="6">
        <v>-725.04031563143167</v>
      </c>
      <c r="X35" s="6">
        <v>-16816.068919640122</v>
      </c>
      <c r="Y35" s="15">
        <v>-725.04031563143167</v>
      </c>
      <c r="Z35" s="15">
        <v>-16091.02860400869</v>
      </c>
      <c r="AA35" s="17">
        <v>5.4668304668304663E-2</v>
      </c>
      <c r="AB35" s="17">
        <v>1.2072917659363728E-2</v>
      </c>
      <c r="AC35" s="17" t="s">
        <v>364</v>
      </c>
      <c r="AD35" s="17" t="s">
        <v>364</v>
      </c>
      <c r="AE35" s="17">
        <v>-0.64</v>
      </c>
      <c r="AF35" s="17">
        <v>-0.91944370641706341</v>
      </c>
      <c r="AG35" s="54"/>
      <c r="AH35" s="55"/>
    </row>
    <row r="36" spans="2:34" collapsed="1" x14ac:dyDescent="0.25">
      <c r="B36" s="51"/>
      <c r="C36" s="52" t="s">
        <v>38</v>
      </c>
      <c r="D36" s="6">
        <v>111</v>
      </c>
      <c r="E36" s="53">
        <v>845.40540540540542</v>
      </c>
      <c r="F36" s="6">
        <v>93840</v>
      </c>
      <c r="G36" s="6">
        <v>101.11111111111111</v>
      </c>
      <c r="H36" s="53">
        <v>849.83104395604391</v>
      </c>
      <c r="I36" s="6">
        <v>85927.361111111109</v>
      </c>
      <c r="J36" s="6">
        <v>108</v>
      </c>
      <c r="K36" s="53">
        <v>841.50537037037054</v>
      </c>
      <c r="L36" s="6">
        <v>90882.580000000016</v>
      </c>
      <c r="M36" s="6">
        <v>236.66666666666669</v>
      </c>
      <c r="N36" s="53">
        <v>855.08720472440848</v>
      </c>
      <c r="O36" s="6">
        <v>202370.63845144334</v>
      </c>
      <c r="P36" s="6">
        <v>194.39999999999998</v>
      </c>
      <c r="Q36" s="53">
        <v>841.50537037037066</v>
      </c>
      <c r="R36" s="6">
        <v>163588.64400000003</v>
      </c>
      <c r="S36" s="6">
        <v>315</v>
      </c>
      <c r="T36" s="6">
        <v>842.3301587301587</v>
      </c>
      <c r="U36" s="6">
        <v>265334</v>
      </c>
      <c r="V36" s="6">
        <v>-128.66666666666669</v>
      </c>
      <c r="W36" s="6">
        <v>-13.581834354037937</v>
      </c>
      <c r="X36" s="6">
        <v>-111488.05845144333</v>
      </c>
      <c r="Y36" s="6">
        <v>-1466.8381102360972</v>
      </c>
      <c r="Z36" s="6">
        <v>-110021.22034120724</v>
      </c>
      <c r="AA36" s="8">
        <v>0.45633802816901403</v>
      </c>
      <c r="AB36" s="8">
        <v>0.44908975281908947</v>
      </c>
      <c r="AC36" s="8">
        <v>-2.7027027027027029E-2</v>
      </c>
      <c r="AD36" s="8">
        <v>-3.1515558397271777E-2</v>
      </c>
      <c r="AE36" s="8">
        <v>6.8131868131868098E-2</v>
      </c>
      <c r="AF36" s="8">
        <v>5.7667532492722585E-2</v>
      </c>
      <c r="AG36" s="54"/>
      <c r="AH36" s="55"/>
    </row>
    <row r="37" spans="2:34" ht="15" hidden="1" customHeight="1" outlineLevel="1" x14ac:dyDescent="0.25">
      <c r="B37" s="51"/>
      <c r="C37" s="56" t="s">
        <v>362</v>
      </c>
      <c r="D37" s="15">
        <v>62</v>
      </c>
      <c r="E37" s="57">
        <v>877.45161290322585</v>
      </c>
      <c r="F37" s="15">
        <v>54402</v>
      </c>
      <c r="G37" s="15">
        <v>51.666666666666671</v>
      </c>
      <c r="H37" s="57">
        <v>785.96634408602154</v>
      </c>
      <c r="I37" s="15">
        <v>40608.261111111118</v>
      </c>
      <c r="J37" s="15">
        <v>49</v>
      </c>
      <c r="K37" s="57">
        <v>766.28591836734688</v>
      </c>
      <c r="L37" s="15">
        <v>37548.009999999995</v>
      </c>
      <c r="M37" s="15">
        <v>118.47607559308403</v>
      </c>
      <c r="N37" s="57">
        <v>825.6046475488921</v>
      </c>
      <c r="O37" s="15">
        <v>97814.398633004035</v>
      </c>
      <c r="P37" s="6">
        <v>88.2</v>
      </c>
      <c r="Q37" s="53">
        <v>766.28591836734677</v>
      </c>
      <c r="R37" s="6">
        <v>67586.417999999991</v>
      </c>
      <c r="S37" s="15">
        <v>157.6899879372738</v>
      </c>
      <c r="T37" s="15">
        <v>813.28745182469447</v>
      </c>
      <c r="U37" s="15">
        <v>128247.28846777222</v>
      </c>
      <c r="V37" s="6">
        <v>-69.476075593084033</v>
      </c>
      <c r="W37" s="6">
        <v>-59.318729181545223</v>
      </c>
      <c r="X37" s="6">
        <v>-60266.38863300404</v>
      </c>
      <c r="Y37" s="15">
        <v>-2906.6177298957159</v>
      </c>
      <c r="Z37" s="15">
        <v>-57359.770903108329</v>
      </c>
      <c r="AA37" s="17">
        <v>0.41358561004581706</v>
      </c>
      <c r="AB37" s="17">
        <v>0.38386996725174094</v>
      </c>
      <c r="AC37" s="17">
        <v>-0.20967741935483872</v>
      </c>
      <c r="AD37" s="17">
        <v>-0.30980460277195698</v>
      </c>
      <c r="AE37" s="17">
        <v>-5.1612903225806542E-2</v>
      </c>
      <c r="AF37" s="17">
        <v>-7.5360309143446338E-2</v>
      </c>
      <c r="AG37" s="54"/>
      <c r="AH37" s="55"/>
    </row>
    <row r="38" spans="2:34" ht="15" hidden="1" customHeight="1" outlineLevel="1" x14ac:dyDescent="0.25">
      <c r="B38" s="51"/>
      <c r="C38" s="56" t="s">
        <v>363</v>
      </c>
      <c r="D38" s="15">
        <v>49</v>
      </c>
      <c r="E38" s="57">
        <v>804.85714285714289</v>
      </c>
      <c r="F38" s="15">
        <v>39438</v>
      </c>
      <c r="G38" s="15">
        <v>49.44444444444445</v>
      </c>
      <c r="H38" s="57">
        <v>916.56606741573023</v>
      </c>
      <c r="I38" s="15">
        <v>45319.1</v>
      </c>
      <c r="J38" s="15">
        <v>59</v>
      </c>
      <c r="K38" s="57">
        <v>903.97576271186438</v>
      </c>
      <c r="L38" s="15">
        <v>53334.57</v>
      </c>
      <c r="M38" s="15">
        <v>118.19059107358265</v>
      </c>
      <c r="N38" s="57">
        <v>884.64097580614589</v>
      </c>
      <c r="O38" s="15">
        <v>104556.23981843931</v>
      </c>
      <c r="P38" s="6">
        <v>106.19999999999999</v>
      </c>
      <c r="Q38" s="53">
        <v>903.97576271186449</v>
      </c>
      <c r="R38" s="6">
        <v>96002.225999999995</v>
      </c>
      <c r="S38" s="15">
        <v>157.31001206272617</v>
      </c>
      <c r="T38" s="15">
        <v>871.44301710157833</v>
      </c>
      <c r="U38" s="15">
        <v>137086.71153222778</v>
      </c>
      <c r="V38" s="6">
        <v>-59.190591073582652</v>
      </c>
      <c r="W38" s="6">
        <v>19.334786905718488</v>
      </c>
      <c r="X38" s="6">
        <v>-51221.66981843931</v>
      </c>
      <c r="Y38" s="15">
        <v>1140.7524274373909</v>
      </c>
      <c r="Z38" s="15">
        <v>-52362.422245876704</v>
      </c>
      <c r="AA38" s="17">
        <v>0.49919371300265353</v>
      </c>
      <c r="AB38" s="17">
        <v>0.51010413240390873</v>
      </c>
      <c r="AC38" s="17">
        <v>0.20408163265306123</v>
      </c>
      <c r="AD38" s="17">
        <v>0.35236497794005778</v>
      </c>
      <c r="AE38" s="17">
        <v>0.193258426966292</v>
      </c>
      <c r="AF38" s="17">
        <v>0.1768673693873003</v>
      </c>
      <c r="AG38" s="54"/>
      <c r="AH38" s="55"/>
    </row>
    <row r="39" spans="2:34" collapsed="1" x14ac:dyDescent="0.25">
      <c r="B39" s="51"/>
      <c r="C39" s="52" t="s">
        <v>154</v>
      </c>
      <c r="D39" s="6">
        <v>288</v>
      </c>
      <c r="E39" s="53">
        <v>512.41666666666663</v>
      </c>
      <c r="F39" s="6">
        <v>147576</v>
      </c>
      <c r="G39" s="6">
        <v>455.5555555555556</v>
      </c>
      <c r="H39" s="53">
        <v>486.5571097560977</v>
      </c>
      <c r="I39" s="6">
        <v>221653.79444444453</v>
      </c>
      <c r="J39" s="6">
        <v>291</v>
      </c>
      <c r="K39" s="53">
        <v>421.89848797250869</v>
      </c>
      <c r="L39" s="6">
        <v>122772.46000000002</v>
      </c>
      <c r="M39" s="6">
        <v>530.04861111111109</v>
      </c>
      <c r="N39" s="53">
        <v>468.78203867198096</v>
      </c>
      <c r="O39" s="6">
        <v>248477.26851191866</v>
      </c>
      <c r="P39" s="6">
        <v>523.79999999999995</v>
      </c>
      <c r="Q39" s="53">
        <v>421.89848797250863</v>
      </c>
      <c r="R39" s="6">
        <v>220990.42800000001</v>
      </c>
      <c r="S39" s="6">
        <v>0</v>
      </c>
      <c r="T39" s="6" t="s">
        <v>364</v>
      </c>
      <c r="U39" s="6">
        <v>0</v>
      </c>
      <c r="V39" s="6">
        <v>-239.04861111111109</v>
      </c>
      <c r="W39" s="6">
        <v>-46.883550699472266</v>
      </c>
      <c r="X39" s="6">
        <v>-125704.80851191864</v>
      </c>
      <c r="Y39" s="6">
        <v>-13643.113253546429</v>
      </c>
      <c r="Z39" s="6">
        <v>-112061.69525837222</v>
      </c>
      <c r="AA39" s="8">
        <v>0.54900624942680831</v>
      </c>
      <c r="AB39" s="8">
        <v>0.49409936263087589</v>
      </c>
      <c r="AC39" s="8">
        <v>1.0416666666666666E-2</v>
      </c>
      <c r="AD39" s="8">
        <v>-0.16807299289857416</v>
      </c>
      <c r="AE39" s="8">
        <v>-0.36121951219512199</v>
      </c>
      <c r="AF39" s="8">
        <v>-0.44610711353839783</v>
      </c>
      <c r="AG39" s="54"/>
      <c r="AH39" s="55"/>
    </row>
    <row r="40" spans="2:34" ht="15" hidden="1" customHeight="1" outlineLevel="1" x14ac:dyDescent="0.25">
      <c r="B40" s="51"/>
      <c r="C40" s="56" t="s">
        <v>362</v>
      </c>
      <c r="D40" s="15">
        <v>129</v>
      </c>
      <c r="E40" s="57">
        <v>471.18604651162792</v>
      </c>
      <c r="F40" s="15">
        <v>60783</v>
      </c>
      <c r="G40" s="15">
        <v>182.7777777777778</v>
      </c>
      <c r="H40" s="57">
        <v>489.2407598784194</v>
      </c>
      <c r="I40" s="15">
        <v>89422.338888888888</v>
      </c>
      <c r="J40" s="15">
        <v>136</v>
      </c>
      <c r="K40" s="57">
        <v>280.94882352941181</v>
      </c>
      <c r="L40" s="15">
        <v>38209.040000000008</v>
      </c>
      <c r="M40" s="15">
        <v>205.79645154033452</v>
      </c>
      <c r="N40" s="57">
        <v>427.55740112536898</v>
      </c>
      <c r="O40" s="15">
        <v>87989.795981408359</v>
      </c>
      <c r="P40" s="6">
        <v>244.79999999999998</v>
      </c>
      <c r="Q40" s="53">
        <v>280.94882352941181</v>
      </c>
      <c r="R40" s="6">
        <v>68776.272000000012</v>
      </c>
      <c r="S40" s="15">
        <v>0</v>
      </c>
      <c r="T40" s="15" t="s">
        <v>364</v>
      </c>
      <c r="U40" s="15">
        <v>0</v>
      </c>
      <c r="V40" s="6">
        <v>-69.796451540334516</v>
      </c>
      <c r="W40" s="6">
        <v>-146.60857759595717</v>
      </c>
      <c r="X40" s="6">
        <v>-49780.755981408351</v>
      </c>
      <c r="Y40" s="15">
        <v>-24153.981705887287</v>
      </c>
      <c r="Z40" s="15">
        <v>-25626.774275521067</v>
      </c>
      <c r="AA40" s="17">
        <v>0.66084715738329947</v>
      </c>
      <c r="AB40" s="17">
        <v>0.43424398901974176</v>
      </c>
      <c r="AC40" s="17">
        <v>5.4263565891472867E-2</v>
      </c>
      <c r="AD40" s="17">
        <v>-0.37138607834427378</v>
      </c>
      <c r="AE40" s="17">
        <v>-0.25592705167173263</v>
      </c>
      <c r="AF40" s="17">
        <v>-0.57271258530291425</v>
      </c>
      <c r="AG40" s="54"/>
      <c r="AH40" s="55"/>
    </row>
    <row r="41" spans="2:34" ht="15" hidden="1" customHeight="1" outlineLevel="1" x14ac:dyDescent="0.25">
      <c r="B41" s="51"/>
      <c r="C41" s="56" t="s">
        <v>363</v>
      </c>
      <c r="D41" s="15">
        <v>158</v>
      </c>
      <c r="E41" s="57">
        <v>549.3291139240506</v>
      </c>
      <c r="F41" s="15">
        <v>86794</v>
      </c>
      <c r="G41" s="15">
        <v>272.77777777777777</v>
      </c>
      <c r="H41" s="57">
        <v>484.7589002036662</v>
      </c>
      <c r="I41" s="15">
        <v>132231.45555555561</v>
      </c>
      <c r="J41" s="15">
        <v>155</v>
      </c>
      <c r="K41" s="57">
        <v>545.57045161290318</v>
      </c>
      <c r="L41" s="15">
        <v>84563.42</v>
      </c>
      <c r="M41" s="15">
        <v>324.2521595707766</v>
      </c>
      <c r="N41" s="57">
        <v>494.94650318737405</v>
      </c>
      <c r="O41" s="15">
        <v>160487.47253051031</v>
      </c>
      <c r="P41" s="6">
        <v>279</v>
      </c>
      <c r="Q41" s="53">
        <v>545.57045161290318</v>
      </c>
      <c r="R41" s="6">
        <v>152214.15599999999</v>
      </c>
      <c r="S41" s="15">
        <v>0</v>
      </c>
      <c r="T41" s="15" t="s">
        <v>364</v>
      </c>
      <c r="U41" s="15">
        <v>0</v>
      </c>
      <c r="V41" s="6">
        <v>-169.2521595707766</v>
      </c>
      <c r="W41" s="6">
        <v>50.623948425529136</v>
      </c>
      <c r="X41" s="6">
        <v>-75924.052530510307</v>
      </c>
      <c r="Y41" s="15">
        <v>47.288885810855277</v>
      </c>
      <c r="Z41" s="15">
        <v>-75971.341416321156</v>
      </c>
      <c r="AA41" s="17">
        <v>0.47802303061043194</v>
      </c>
      <c r="AB41" s="17">
        <v>0.52691601822019862</v>
      </c>
      <c r="AC41" s="17">
        <v>-1.8987341772151899E-2</v>
      </c>
      <c r="AD41" s="17">
        <v>-2.569970274442936E-2</v>
      </c>
      <c r="AE41" s="17">
        <v>-0.43177189409368633</v>
      </c>
      <c r="AF41" s="17">
        <v>-0.36048938095163302</v>
      </c>
      <c r="AG41" s="54"/>
      <c r="AH41" s="55"/>
    </row>
    <row r="42" spans="2:34" collapsed="1" x14ac:dyDescent="0.25">
      <c r="B42" s="51"/>
      <c r="C42" s="52" t="s">
        <v>39</v>
      </c>
      <c r="D42" s="6">
        <v>323</v>
      </c>
      <c r="E42" s="53">
        <v>516.2445820433436</v>
      </c>
      <c r="F42" s="6">
        <v>166747</v>
      </c>
      <c r="G42" s="6">
        <v>376.66666666666669</v>
      </c>
      <c r="H42" s="53">
        <v>505.14050147492605</v>
      </c>
      <c r="I42" s="6">
        <v>190269.58888888883</v>
      </c>
      <c r="J42" s="6">
        <v>244</v>
      </c>
      <c r="K42" s="53">
        <v>510.4775819672131</v>
      </c>
      <c r="L42" s="6">
        <v>124556.53</v>
      </c>
      <c r="M42" s="6">
        <v>544.47222222222217</v>
      </c>
      <c r="N42" s="53">
        <v>529.66170943494433</v>
      </c>
      <c r="O42" s="6">
        <v>288386.08796206507</v>
      </c>
      <c r="P42" s="6">
        <v>439.2</v>
      </c>
      <c r="Q42" s="53">
        <v>510.4775819672131</v>
      </c>
      <c r="R42" s="6">
        <v>224201.75399999999</v>
      </c>
      <c r="S42" s="6">
        <v>1021</v>
      </c>
      <c r="T42" s="6">
        <v>529.79236043095</v>
      </c>
      <c r="U42" s="6">
        <v>540918</v>
      </c>
      <c r="V42" s="6">
        <v>-300.47222222222217</v>
      </c>
      <c r="W42" s="6">
        <v>-19.18412746773123</v>
      </c>
      <c r="X42" s="6">
        <v>-163829.55796206507</v>
      </c>
      <c r="Y42" s="6">
        <v>-4680.9271021264203</v>
      </c>
      <c r="Z42" s="6">
        <v>-159148.63085993865</v>
      </c>
      <c r="AA42" s="8">
        <v>0.44814040099994901</v>
      </c>
      <c r="AB42" s="8">
        <v>0.43190894151726361</v>
      </c>
      <c r="AC42" s="8">
        <v>-0.24458204334365324</v>
      </c>
      <c r="AD42" s="8">
        <v>-0.2530208639435792</v>
      </c>
      <c r="AE42" s="8">
        <v>-0.35221238938053101</v>
      </c>
      <c r="AF42" s="8">
        <v>-0.34536816562558031</v>
      </c>
      <c r="AG42" s="54"/>
      <c r="AH42" s="55"/>
    </row>
    <row r="43" spans="2:34" ht="15" hidden="1" customHeight="1" outlineLevel="1" x14ac:dyDescent="0.25">
      <c r="B43" s="51"/>
      <c r="C43" s="56" t="s">
        <v>362</v>
      </c>
      <c r="D43" s="15">
        <v>215</v>
      </c>
      <c r="E43" s="57">
        <v>537.25116279069766</v>
      </c>
      <c r="F43" s="15">
        <v>115509</v>
      </c>
      <c r="G43" s="15">
        <v>273.88888888888891</v>
      </c>
      <c r="H43" s="57">
        <v>473.42752535496936</v>
      </c>
      <c r="I43" s="15">
        <v>129666.53888888884</v>
      </c>
      <c r="J43" s="15">
        <v>155</v>
      </c>
      <c r="K43" s="57">
        <v>468.09612903225803</v>
      </c>
      <c r="L43" s="15">
        <v>72554.899999999994</v>
      </c>
      <c r="M43" s="15">
        <v>371.82058446703417</v>
      </c>
      <c r="N43" s="57">
        <v>524.1024704337832</v>
      </c>
      <c r="O43" s="15">
        <v>194872.08687730576</v>
      </c>
      <c r="P43" s="6">
        <v>279</v>
      </c>
      <c r="Q43" s="53">
        <v>468.09612903225798</v>
      </c>
      <c r="R43" s="6">
        <v>130598.81999999998</v>
      </c>
      <c r="S43" s="15">
        <v>697.24184494006977</v>
      </c>
      <c r="T43" s="15">
        <v>524.23175013920945</v>
      </c>
      <c r="U43" s="15">
        <v>365516.31264322408</v>
      </c>
      <c r="V43" s="6">
        <v>-216.82058446703417</v>
      </c>
      <c r="W43" s="6">
        <v>-56.006341401525162</v>
      </c>
      <c r="X43" s="6">
        <v>-122317.18687730576</v>
      </c>
      <c r="Y43" s="15">
        <v>-7515.4053135062959</v>
      </c>
      <c r="Z43" s="15">
        <v>-114801.78156379949</v>
      </c>
      <c r="AA43" s="17">
        <v>0.41686772189381677</v>
      </c>
      <c r="AB43" s="17">
        <v>0.37232063946480748</v>
      </c>
      <c r="AC43" s="17">
        <v>-0.27906976744186046</v>
      </c>
      <c r="AD43" s="17">
        <v>-0.37186799297024481</v>
      </c>
      <c r="AE43" s="17">
        <v>-0.43407707910750515</v>
      </c>
      <c r="AF43" s="17">
        <v>-0.44045009127472562</v>
      </c>
      <c r="AG43" s="54"/>
      <c r="AH43" s="55"/>
    </row>
    <row r="44" spans="2:34" ht="15" hidden="1" customHeight="1" outlineLevel="1" x14ac:dyDescent="0.25">
      <c r="B44" s="51"/>
      <c r="C44" s="56" t="s">
        <v>363</v>
      </c>
      <c r="D44" s="15">
        <v>107</v>
      </c>
      <c r="E44" s="57">
        <v>478.85981308411215</v>
      </c>
      <c r="F44" s="15">
        <v>51238</v>
      </c>
      <c r="G44" s="15">
        <v>102.77777777777777</v>
      </c>
      <c r="H44" s="57">
        <v>589.65129729729745</v>
      </c>
      <c r="I44" s="15">
        <v>60603.05000000001</v>
      </c>
      <c r="J44" s="15">
        <v>89</v>
      </c>
      <c r="K44" s="57">
        <v>584.28797752808987</v>
      </c>
      <c r="L44" s="15">
        <v>52001.63</v>
      </c>
      <c r="M44" s="15">
        <v>172.65163775518806</v>
      </c>
      <c r="N44" s="57">
        <v>541.63402270969334</v>
      </c>
      <c r="O44" s="15">
        <v>93514.001084759278</v>
      </c>
      <c r="P44" s="6">
        <v>160.19999999999999</v>
      </c>
      <c r="Q44" s="53">
        <v>584.28797752808987</v>
      </c>
      <c r="R44" s="6">
        <v>93602.933999999994</v>
      </c>
      <c r="S44" s="15">
        <v>323.75815505993023</v>
      </c>
      <c r="T44" s="15">
        <v>541.76762690134444</v>
      </c>
      <c r="U44" s="15">
        <v>175401.68735677592</v>
      </c>
      <c r="V44" s="6">
        <v>-83.651637755188062</v>
      </c>
      <c r="W44" s="6">
        <v>42.653954818396528</v>
      </c>
      <c r="X44" s="6">
        <v>-41512.371084759281</v>
      </c>
      <c r="Y44" s="15">
        <v>-3981.0301546053061</v>
      </c>
      <c r="Z44" s="15">
        <v>-37531.340930153972</v>
      </c>
      <c r="AA44" s="17">
        <v>0.5154888836108108</v>
      </c>
      <c r="AB44" s="17">
        <v>0.55608389542510028</v>
      </c>
      <c r="AC44" s="17">
        <v>-0.16822429906542055</v>
      </c>
      <c r="AD44" s="17">
        <v>1.4903587181388761E-2</v>
      </c>
      <c r="AE44" s="17">
        <v>-0.13405405405405399</v>
      </c>
      <c r="AF44" s="17">
        <v>-0.14193048039661388</v>
      </c>
      <c r="AG44" s="54"/>
      <c r="AH44" s="55"/>
    </row>
    <row r="45" spans="2:34" collapsed="1" x14ac:dyDescent="0.25">
      <c r="B45" s="51"/>
      <c r="C45" s="52" t="s">
        <v>40</v>
      </c>
      <c r="D45" s="6">
        <v>182</v>
      </c>
      <c r="E45" s="53">
        <v>353.5164835164835</v>
      </c>
      <c r="F45" s="6">
        <v>64340</v>
      </c>
      <c r="G45" s="6">
        <v>253.88888888888891</v>
      </c>
      <c r="H45" s="53">
        <v>330.22150984682736</v>
      </c>
      <c r="I45" s="6">
        <v>83839.572222222283</v>
      </c>
      <c r="J45" s="6">
        <v>302</v>
      </c>
      <c r="K45" s="53">
        <v>296.21029801324505</v>
      </c>
      <c r="L45" s="6">
        <v>89455.510000000009</v>
      </c>
      <c r="M45" s="6">
        <v>241.66666666666669</v>
      </c>
      <c r="N45" s="53">
        <v>332.46585585585564</v>
      </c>
      <c r="O45" s="6">
        <v>80345.915165165119</v>
      </c>
      <c r="P45" s="6">
        <v>543.6</v>
      </c>
      <c r="Q45" s="53">
        <v>296.21029801324505</v>
      </c>
      <c r="R45" s="6">
        <v>161019.91800000001</v>
      </c>
      <c r="S45" s="6">
        <v>716</v>
      </c>
      <c r="T45" s="6">
        <v>400.07960893854749</v>
      </c>
      <c r="U45" s="6">
        <v>286457</v>
      </c>
      <c r="V45" s="6">
        <v>60.333333333333314</v>
      </c>
      <c r="W45" s="6">
        <v>-36.255557842610585</v>
      </c>
      <c r="X45" s="6">
        <v>9109.5948348348902</v>
      </c>
      <c r="Y45" s="6">
        <v>-10949.178468468397</v>
      </c>
      <c r="Z45" s="6">
        <v>20058.773303303286</v>
      </c>
      <c r="AA45" s="8">
        <v>1.249655172413793</v>
      </c>
      <c r="AB45" s="8">
        <v>1.1133796885144505</v>
      </c>
      <c r="AC45" s="8">
        <v>0.65934065934065933</v>
      </c>
      <c r="AD45" s="8">
        <v>0.39035607709045711</v>
      </c>
      <c r="AE45" s="8">
        <v>0.18949671772428872</v>
      </c>
      <c r="AF45" s="8">
        <v>6.6984332444973774E-2</v>
      </c>
      <c r="AG45" s="54"/>
      <c r="AH45" s="55"/>
    </row>
    <row r="46" spans="2:34" ht="15" hidden="1" customHeight="1" outlineLevel="1" x14ac:dyDescent="0.25">
      <c r="B46" s="51"/>
      <c r="C46" s="56" t="s">
        <v>362</v>
      </c>
      <c r="D46" s="15">
        <v>58</v>
      </c>
      <c r="E46" s="57">
        <v>459.84482758620692</v>
      </c>
      <c r="F46" s="15">
        <v>26671</v>
      </c>
      <c r="G46" s="15">
        <v>111.11111111111111</v>
      </c>
      <c r="H46" s="57">
        <v>341.89455000000004</v>
      </c>
      <c r="I46" s="15">
        <v>37988.28333333334</v>
      </c>
      <c r="J46" s="15">
        <v>124</v>
      </c>
      <c r="K46" s="57">
        <v>321.16685483870975</v>
      </c>
      <c r="L46" s="15">
        <v>39824.69000000001</v>
      </c>
      <c r="M46" s="15">
        <v>110.95462426800144</v>
      </c>
      <c r="N46" s="57">
        <v>289.38969566078572</v>
      </c>
      <c r="O46" s="15">
        <v>32109.124949073765</v>
      </c>
      <c r="P46" s="6">
        <v>223.2</v>
      </c>
      <c r="Q46" s="53">
        <v>321.16685483870975</v>
      </c>
      <c r="R46" s="6">
        <v>71684.44200000001</v>
      </c>
      <c r="S46" s="15">
        <v>328.73176955540288</v>
      </c>
      <c r="T46" s="15">
        <v>348.24302776225437</v>
      </c>
      <c r="U46" s="15">
        <v>114478.54675161718</v>
      </c>
      <c r="V46" s="6">
        <v>13.045375731998561</v>
      </c>
      <c r="W46" s="6">
        <v>31.777159177924034</v>
      </c>
      <c r="X46" s="6">
        <v>7715.565050926245</v>
      </c>
      <c r="Y46" s="15">
        <v>3940.3677380625804</v>
      </c>
      <c r="Z46" s="15">
        <v>3775.1973128636632</v>
      </c>
      <c r="AA46" s="17">
        <v>1.1175739706034113</v>
      </c>
      <c r="AB46" s="17">
        <v>1.2402919750433377</v>
      </c>
      <c r="AC46" s="17">
        <v>1.1379310344827587</v>
      </c>
      <c r="AD46" s="17">
        <v>0.49318323272468262</v>
      </c>
      <c r="AE46" s="17">
        <v>0.11599999999999996</v>
      </c>
      <c r="AF46" s="17">
        <v>4.8341396491988604E-2</v>
      </c>
      <c r="AG46" s="54"/>
      <c r="AH46" s="55"/>
    </row>
    <row r="47" spans="2:34" ht="15" hidden="1" customHeight="1" outlineLevel="1" x14ac:dyDescent="0.25">
      <c r="B47" s="51"/>
      <c r="C47" s="56" t="s">
        <v>363</v>
      </c>
      <c r="D47" s="15">
        <v>123</v>
      </c>
      <c r="E47" s="57">
        <v>306.2439024390244</v>
      </c>
      <c r="F47" s="15">
        <v>37668</v>
      </c>
      <c r="G47" s="15">
        <v>142.77777777777777</v>
      </c>
      <c r="H47" s="57">
        <v>321.13743190661523</v>
      </c>
      <c r="I47" s="15">
        <v>45851.28888888895</v>
      </c>
      <c r="J47" s="15">
        <v>178</v>
      </c>
      <c r="K47" s="57">
        <v>278.82483146067415</v>
      </c>
      <c r="L47" s="15">
        <v>49630.82</v>
      </c>
      <c r="M47" s="15">
        <v>130.71204239866523</v>
      </c>
      <c r="N47" s="57">
        <v>369.03095790494609</v>
      </c>
      <c r="O47" s="15">
        <v>48236.790216091358</v>
      </c>
      <c r="P47" s="6">
        <v>320.39999999999998</v>
      </c>
      <c r="Q47" s="53">
        <v>278.82483146067415</v>
      </c>
      <c r="R47" s="6">
        <v>89335.475999999995</v>
      </c>
      <c r="S47" s="15">
        <v>387.26823044459712</v>
      </c>
      <c r="T47" s="15">
        <v>444.08097470568572</v>
      </c>
      <c r="U47" s="15">
        <v>171978.45324838281</v>
      </c>
      <c r="V47" s="6">
        <v>47.287957601334767</v>
      </c>
      <c r="W47" s="6">
        <v>-90.206126444271945</v>
      </c>
      <c r="X47" s="6">
        <v>1394.0297839086415</v>
      </c>
      <c r="Y47" s="15">
        <v>-16056.690507080406</v>
      </c>
      <c r="Z47" s="15">
        <v>17450.720290989047</v>
      </c>
      <c r="AA47" s="17">
        <v>1.3617720045801813</v>
      </c>
      <c r="AB47" s="17">
        <v>1.028899721098018</v>
      </c>
      <c r="AC47" s="17">
        <v>0.44715447154471544</v>
      </c>
      <c r="AD47" s="17">
        <v>0.31758574917702026</v>
      </c>
      <c r="AE47" s="17">
        <v>0.24669260700389112</v>
      </c>
      <c r="AF47" s="17">
        <v>8.2430204312684774E-2</v>
      </c>
      <c r="AG47" s="54"/>
      <c r="AH47" s="55"/>
    </row>
    <row r="48" spans="2:34" collapsed="1" x14ac:dyDescent="0.25">
      <c r="B48" s="51"/>
      <c r="C48" s="52" t="s">
        <v>41</v>
      </c>
      <c r="D48" s="6">
        <v>119</v>
      </c>
      <c r="E48" s="53">
        <v>766.02521008403357</v>
      </c>
      <c r="F48" s="6">
        <v>91157</v>
      </c>
      <c r="G48" s="6">
        <v>148.33333333333334</v>
      </c>
      <c r="H48" s="53">
        <v>621.47513108614282</v>
      </c>
      <c r="I48" s="6">
        <v>92185.477777777851</v>
      </c>
      <c r="J48" s="6">
        <v>130</v>
      </c>
      <c r="K48" s="53">
        <v>710.15238461538479</v>
      </c>
      <c r="L48" s="6">
        <v>92319.810000000027</v>
      </c>
      <c r="M48" s="6">
        <v>254.44444444444446</v>
      </c>
      <c r="N48" s="53">
        <v>749.47523186091689</v>
      </c>
      <c r="O48" s="6">
        <v>190699.80899572221</v>
      </c>
      <c r="P48" s="6">
        <v>234</v>
      </c>
      <c r="Q48" s="53">
        <v>710.15238461538479</v>
      </c>
      <c r="R48" s="6">
        <v>166175.65800000005</v>
      </c>
      <c r="S48" s="6">
        <v>396</v>
      </c>
      <c r="T48" s="6">
        <v>717.11363636363637</v>
      </c>
      <c r="U48" s="6">
        <v>283977</v>
      </c>
      <c r="V48" s="6">
        <v>-124.44444444444446</v>
      </c>
      <c r="W48" s="6">
        <v>-39.322847245532103</v>
      </c>
      <c r="X48" s="6">
        <v>-98379.998995722184</v>
      </c>
      <c r="Y48" s="6">
        <v>-5111.9701419191733</v>
      </c>
      <c r="Z48" s="6">
        <v>-93268.028853803</v>
      </c>
      <c r="AA48" s="8">
        <v>0.51091703056768556</v>
      </c>
      <c r="AB48" s="8">
        <v>0.48411065792976726</v>
      </c>
      <c r="AC48" s="8">
        <v>9.2436974789915971E-2</v>
      </c>
      <c r="AD48" s="8">
        <v>1.2756124049716717E-2</v>
      </c>
      <c r="AE48" s="8">
        <v>-0.12359550561797758</v>
      </c>
      <c r="AF48" s="8">
        <v>1.4571950534985232E-3</v>
      </c>
      <c r="AG48" s="54"/>
      <c r="AH48" s="55"/>
    </row>
    <row r="49" spans="2:34" ht="15" hidden="1" customHeight="1" outlineLevel="1" x14ac:dyDescent="0.25">
      <c r="B49" s="51"/>
      <c r="C49" s="56" t="s">
        <v>362</v>
      </c>
      <c r="D49" s="15">
        <v>57</v>
      </c>
      <c r="E49" s="57">
        <v>969.36842105263156</v>
      </c>
      <c r="F49" s="15">
        <v>55254</v>
      </c>
      <c r="G49" s="15">
        <v>79.444444444444443</v>
      </c>
      <c r="H49" s="57">
        <v>621.54013986014002</v>
      </c>
      <c r="I49" s="15">
        <v>49377.911111111127</v>
      </c>
      <c r="J49" s="15">
        <v>62</v>
      </c>
      <c r="K49" s="57">
        <v>528.8461290322582</v>
      </c>
      <c r="L49" s="15">
        <v>32788.460000000006</v>
      </c>
      <c r="M49" s="15">
        <v>122.91885024614896</v>
      </c>
      <c r="N49" s="57">
        <v>738.20134076371517</v>
      </c>
      <c r="O49" s="15">
        <v>90738.860056841484</v>
      </c>
      <c r="P49" s="6">
        <v>111.6</v>
      </c>
      <c r="Q49" s="53">
        <v>528.8461290322582</v>
      </c>
      <c r="R49" s="6">
        <v>59019.22800000001</v>
      </c>
      <c r="S49" s="15">
        <v>191.30252501191043</v>
      </c>
      <c r="T49" s="15">
        <v>706.32654067722103</v>
      </c>
      <c r="U49" s="15">
        <v>135122.05071448025</v>
      </c>
      <c r="V49" s="6">
        <v>-60.918850246148963</v>
      </c>
      <c r="W49" s="6">
        <v>-209.35521173145696</v>
      </c>
      <c r="X49" s="6">
        <v>-57950.400056841478</v>
      </c>
      <c r="Y49" s="15">
        <v>-14315.639928959536</v>
      </c>
      <c r="Z49" s="15">
        <v>-43634.760127881935</v>
      </c>
      <c r="AA49" s="17">
        <v>0.50439781917779902</v>
      </c>
      <c r="AB49" s="17">
        <v>0.36134970154419344</v>
      </c>
      <c r="AC49" s="17">
        <v>8.771929824561403E-2</v>
      </c>
      <c r="AD49" s="17">
        <v>-0.40658667245810248</v>
      </c>
      <c r="AE49" s="17">
        <v>-0.21958041958041957</v>
      </c>
      <c r="AF49" s="17">
        <v>-0.33596907479097726</v>
      </c>
      <c r="AG49" s="54"/>
      <c r="AH49" s="55"/>
    </row>
    <row r="50" spans="2:34" ht="15" hidden="1" customHeight="1" outlineLevel="1" x14ac:dyDescent="0.25">
      <c r="B50" s="51"/>
      <c r="C50" s="56" t="s">
        <v>363</v>
      </c>
      <c r="D50" s="15">
        <v>62</v>
      </c>
      <c r="E50" s="57">
        <v>579.08064516129036</v>
      </c>
      <c r="F50" s="15">
        <v>35903</v>
      </c>
      <c r="G50" s="15">
        <v>68.888888888888886</v>
      </c>
      <c r="H50" s="57">
        <v>621.40016129032347</v>
      </c>
      <c r="I50" s="15">
        <v>42807.566666666724</v>
      </c>
      <c r="J50" s="15">
        <v>68</v>
      </c>
      <c r="K50" s="57">
        <v>875.46102941176457</v>
      </c>
      <c r="L50" s="15">
        <v>59531.349999999991</v>
      </c>
      <c r="M50" s="15">
        <v>131.52559419829549</v>
      </c>
      <c r="N50" s="57">
        <v>760.01138446235723</v>
      </c>
      <c r="O50" s="15">
        <v>99960.948938880741</v>
      </c>
      <c r="P50" s="6">
        <v>122.39999999999999</v>
      </c>
      <c r="Q50" s="53">
        <v>875.46102941176457</v>
      </c>
      <c r="R50" s="6">
        <v>107156.42999999998</v>
      </c>
      <c r="S50" s="15">
        <v>204.69747498808957</v>
      </c>
      <c r="T50" s="15">
        <v>727.19484836918946</v>
      </c>
      <c r="U50" s="15">
        <v>148854.94928551975</v>
      </c>
      <c r="V50" s="6">
        <v>-63.525594198295494</v>
      </c>
      <c r="W50" s="6">
        <v>115.44964494940734</v>
      </c>
      <c r="X50" s="6">
        <v>-40429.59893888075</v>
      </c>
      <c r="Y50" s="15">
        <v>9723.843052482207</v>
      </c>
      <c r="Z50" s="15">
        <v>-50153.441991362954</v>
      </c>
      <c r="AA50" s="17">
        <v>0.51700963918459342</v>
      </c>
      <c r="AB50" s="17">
        <v>0.59554606705864033</v>
      </c>
      <c r="AC50" s="17">
        <v>9.6774193548387094E-2</v>
      </c>
      <c r="AD50" s="17">
        <v>0.65811631339999421</v>
      </c>
      <c r="AE50" s="17">
        <v>-1.2903225806451568E-2</v>
      </c>
      <c r="AF50" s="17">
        <v>0.39067353357311235</v>
      </c>
      <c r="AG50" s="54"/>
      <c r="AH50" s="55"/>
    </row>
    <row r="51" spans="2:34" collapsed="1" x14ac:dyDescent="0.25">
      <c r="B51" s="51"/>
      <c r="C51" s="52" t="s">
        <v>42</v>
      </c>
      <c r="D51" s="6">
        <v>713</v>
      </c>
      <c r="E51" s="53">
        <v>896.26507713884996</v>
      </c>
      <c r="F51" s="6">
        <v>639037</v>
      </c>
      <c r="G51" s="6">
        <v>1081.1111111111111</v>
      </c>
      <c r="H51" s="53">
        <v>609.90130010277505</v>
      </c>
      <c r="I51" s="6">
        <v>659371.07222222234</v>
      </c>
      <c r="J51" s="6">
        <v>676</v>
      </c>
      <c r="K51" s="53">
        <v>863.34266272189336</v>
      </c>
      <c r="L51" s="6">
        <v>583619.6399999999</v>
      </c>
      <c r="M51" s="6">
        <v>914.81481481481467</v>
      </c>
      <c r="N51" s="53">
        <v>760.64989200910486</v>
      </c>
      <c r="O51" s="6">
        <v>695853.79009721801</v>
      </c>
      <c r="P51" s="6">
        <v>1216.8</v>
      </c>
      <c r="Q51" s="53">
        <v>863.34266272189325</v>
      </c>
      <c r="R51" s="6">
        <v>1050515.3519999997</v>
      </c>
      <c r="S51" s="6">
        <v>1499</v>
      </c>
      <c r="T51" s="6">
        <v>849.63175450300196</v>
      </c>
      <c r="U51" s="6">
        <v>1273598</v>
      </c>
      <c r="V51" s="6">
        <v>-238.81481481481467</v>
      </c>
      <c r="W51" s="6">
        <v>102.6927707127885</v>
      </c>
      <c r="X51" s="6">
        <v>-112234.15009721811</v>
      </c>
      <c r="Y51" s="6">
        <v>69420.313001845032</v>
      </c>
      <c r="Z51" s="6">
        <v>-181654.46309906314</v>
      </c>
      <c r="AA51" s="8">
        <v>0.7389473684210528</v>
      </c>
      <c r="AB51" s="8">
        <v>0.83871015478476041</v>
      </c>
      <c r="AC51" s="8">
        <v>-5.1893408134642355E-2</v>
      </c>
      <c r="AD51" s="8">
        <v>-8.6720111668025637E-2</v>
      </c>
      <c r="AE51" s="8">
        <v>-0.37471736896197327</v>
      </c>
      <c r="AF51" s="8">
        <v>-0.11488437302371156</v>
      </c>
      <c r="AG51" s="54"/>
      <c r="AH51" s="55"/>
    </row>
    <row r="52" spans="2:34" ht="15" hidden="1" customHeight="1" outlineLevel="1" x14ac:dyDescent="0.25">
      <c r="B52" s="51"/>
      <c r="C52" s="56" t="s">
        <v>362</v>
      </c>
      <c r="D52" s="15">
        <v>318</v>
      </c>
      <c r="E52" s="57">
        <v>712.59748427672957</v>
      </c>
      <c r="F52" s="15">
        <v>226606</v>
      </c>
      <c r="G52" s="15">
        <v>646.66666666666674</v>
      </c>
      <c r="H52" s="57">
        <v>379.19689003436486</v>
      </c>
      <c r="I52" s="15">
        <v>245213.98888888932</v>
      </c>
      <c r="J52" s="15">
        <v>324</v>
      </c>
      <c r="K52" s="57">
        <v>622.6254012345679</v>
      </c>
      <c r="L52" s="15">
        <v>201730.63</v>
      </c>
      <c r="M52" s="15">
        <v>455.76644974692692</v>
      </c>
      <c r="N52" s="57">
        <v>558.20788766531587</v>
      </c>
      <c r="O52" s="15">
        <v>254412.42718195243</v>
      </c>
      <c r="P52" s="6">
        <v>583.19999999999993</v>
      </c>
      <c r="Q52" s="53">
        <v>622.62540123456802</v>
      </c>
      <c r="R52" s="6">
        <v>363115.13400000002</v>
      </c>
      <c r="S52" s="15">
        <v>746.8111546804605</v>
      </c>
      <c r="T52" s="15">
        <v>623.50780820043838</v>
      </c>
      <c r="U52" s="15">
        <v>465642.58619445248</v>
      </c>
      <c r="V52" s="6">
        <v>-131.76644974692692</v>
      </c>
      <c r="W52" s="6">
        <v>64.417513569252037</v>
      </c>
      <c r="X52" s="6">
        <v>-52681.797181952425</v>
      </c>
      <c r="Y52" s="15">
        <v>22705.884803810062</v>
      </c>
      <c r="Z52" s="15">
        <v>-75387.681985762523</v>
      </c>
      <c r="AA52" s="17">
        <v>0.71089041367548489</v>
      </c>
      <c r="AB52" s="17">
        <v>0.79292757918513512</v>
      </c>
      <c r="AC52" s="17">
        <v>1.8867924528301886E-2</v>
      </c>
      <c r="AD52" s="17">
        <v>-0.10977366000900239</v>
      </c>
      <c r="AE52" s="17">
        <v>-0.49896907216494851</v>
      </c>
      <c r="AF52" s="17">
        <v>-0.17732821478057018</v>
      </c>
      <c r="AG52" s="54"/>
      <c r="AH52" s="55"/>
    </row>
    <row r="53" spans="2:34" ht="15" hidden="1" customHeight="1" outlineLevel="1" x14ac:dyDescent="0.25">
      <c r="B53" s="51"/>
      <c r="C53" s="56" t="s">
        <v>363</v>
      </c>
      <c r="D53" s="15">
        <v>396</v>
      </c>
      <c r="E53" s="57">
        <v>1041.4898989898991</v>
      </c>
      <c r="F53" s="15">
        <v>412430</v>
      </c>
      <c r="G53" s="15">
        <v>434.44444444444446</v>
      </c>
      <c r="H53" s="57">
        <v>953.30274936061312</v>
      </c>
      <c r="I53" s="15">
        <v>414157.08333333302</v>
      </c>
      <c r="J53" s="15">
        <v>352</v>
      </c>
      <c r="K53" s="57">
        <v>1084.9119602272726</v>
      </c>
      <c r="L53" s="15">
        <v>381889.00999999995</v>
      </c>
      <c r="M53" s="15">
        <v>459.04836506788774</v>
      </c>
      <c r="N53" s="57">
        <v>961.64455971862924</v>
      </c>
      <c r="O53" s="15">
        <v>441441.36291526549</v>
      </c>
      <c r="P53" s="6">
        <v>633.6</v>
      </c>
      <c r="Q53" s="53">
        <v>1084.9119602272724</v>
      </c>
      <c r="R53" s="6">
        <v>687400.21799999988</v>
      </c>
      <c r="S53" s="15">
        <v>752.1888453195395</v>
      </c>
      <c r="T53" s="15">
        <v>1074.1390527565159</v>
      </c>
      <c r="U53" s="15">
        <v>807955.41380554752</v>
      </c>
      <c r="V53" s="6">
        <v>-107.04836506788774</v>
      </c>
      <c r="W53" s="6">
        <v>123.26740050864339</v>
      </c>
      <c r="X53" s="6">
        <v>-59552.352915265539</v>
      </c>
      <c r="Y53" s="15">
        <v>37027.723282430394</v>
      </c>
      <c r="Z53" s="15">
        <v>-96580.076197695933</v>
      </c>
      <c r="AA53" s="17">
        <v>0.76680373308364447</v>
      </c>
      <c r="AB53" s="17">
        <v>0.86509566633723767</v>
      </c>
      <c r="AC53" s="17">
        <v>-0.1111111111111111</v>
      </c>
      <c r="AD53" s="17">
        <v>-7.4051329922653661E-2</v>
      </c>
      <c r="AE53" s="17">
        <v>-0.18976982097186704</v>
      </c>
      <c r="AF53" s="17">
        <v>-7.7912643853931665E-2</v>
      </c>
      <c r="AG53" s="54"/>
      <c r="AH53" s="55"/>
    </row>
    <row r="54" spans="2:34" collapsed="1" x14ac:dyDescent="0.25">
      <c r="B54" s="51"/>
      <c r="C54" s="52" t="s">
        <v>43</v>
      </c>
      <c r="D54" s="6">
        <v>0</v>
      </c>
      <c r="E54" s="53" t="s">
        <v>364</v>
      </c>
      <c r="F54" s="6">
        <v>0</v>
      </c>
      <c r="G54" s="6">
        <v>0</v>
      </c>
      <c r="H54" s="53" t="s">
        <v>364</v>
      </c>
      <c r="I54" s="6">
        <v>0</v>
      </c>
      <c r="J54" s="6">
        <v>38</v>
      </c>
      <c r="K54" s="53">
        <v>620.03894736842108</v>
      </c>
      <c r="L54" s="6">
        <v>23561.48</v>
      </c>
      <c r="M54" s="6">
        <v>48.888888888888893</v>
      </c>
      <c r="N54" s="53">
        <v>763.09124999999995</v>
      </c>
      <c r="O54" s="6">
        <v>37306.683333333334</v>
      </c>
      <c r="P54" s="6">
        <v>68.399999999999991</v>
      </c>
      <c r="Q54" s="53">
        <v>620.03894736842108</v>
      </c>
      <c r="R54" s="6">
        <v>42410.663999999997</v>
      </c>
      <c r="S54" s="6">
        <v>42</v>
      </c>
      <c r="T54" s="6">
        <v>1041</v>
      </c>
      <c r="U54" s="6">
        <v>43722</v>
      </c>
      <c r="V54" s="6">
        <v>-10.888888888888893</v>
      </c>
      <c r="W54" s="6">
        <v>-143.05230263157887</v>
      </c>
      <c r="X54" s="6">
        <v>-13745.203333333335</v>
      </c>
      <c r="Y54" s="6">
        <v>-5435.9874999999975</v>
      </c>
      <c r="Z54" s="6">
        <v>-8309.2158333333355</v>
      </c>
      <c r="AA54" s="8">
        <v>0.77727272727272723</v>
      </c>
      <c r="AB54" s="8">
        <v>0.63156190512781218</v>
      </c>
      <c r="AC54" s="8" t="s">
        <v>364</v>
      </c>
      <c r="AD54" s="8" t="s">
        <v>364</v>
      </c>
      <c r="AE54" s="8" t="s">
        <v>364</v>
      </c>
      <c r="AF54" s="8" t="s">
        <v>364</v>
      </c>
      <c r="AG54" s="54"/>
      <c r="AH54" s="55"/>
    </row>
    <row r="55" spans="2:34" ht="15" hidden="1" customHeight="1" outlineLevel="1" x14ac:dyDescent="0.25">
      <c r="B55" s="51"/>
      <c r="C55" s="56" t="s">
        <v>362</v>
      </c>
      <c r="D55" s="15">
        <v>0</v>
      </c>
      <c r="E55" s="57" t="s">
        <v>364</v>
      </c>
      <c r="F55" s="15">
        <v>0</v>
      </c>
      <c r="G55" s="15">
        <v>0</v>
      </c>
      <c r="H55" s="57" t="s">
        <v>364</v>
      </c>
      <c r="I55" s="15">
        <v>0</v>
      </c>
      <c r="J55" s="15">
        <v>16</v>
      </c>
      <c r="K55" s="57">
        <v>607.43312500000002</v>
      </c>
      <c r="L55" s="15">
        <v>9718.93</v>
      </c>
      <c r="M55" s="15">
        <v>17.783257980545283</v>
      </c>
      <c r="N55" s="57">
        <v>558.55330830650553</v>
      </c>
      <c r="O55" s="15">
        <v>9932.8975775016352</v>
      </c>
      <c r="P55" s="6">
        <v>28.799999999999997</v>
      </c>
      <c r="Q55" s="53">
        <v>607.43312500000013</v>
      </c>
      <c r="R55" s="6">
        <v>17494.074000000001</v>
      </c>
      <c r="S55" s="15">
        <v>15.27743526510481</v>
      </c>
      <c r="T55" s="15">
        <v>761.97177460372188</v>
      </c>
      <c r="U55" s="15">
        <v>11640.974460345395</v>
      </c>
      <c r="V55" s="6">
        <v>-1.7832579805452831</v>
      </c>
      <c r="W55" s="6">
        <v>48.87981669349449</v>
      </c>
      <c r="X55" s="6">
        <v>-213.96757750163488</v>
      </c>
      <c r="Y55" s="15">
        <v>782.07706709591184</v>
      </c>
      <c r="Z55" s="15">
        <v>-996.04464459754593</v>
      </c>
      <c r="AA55" s="17">
        <v>0.89972265023112463</v>
      </c>
      <c r="AB55" s="17">
        <v>0.97845869487406378</v>
      </c>
      <c r="AC55" s="17" t="s">
        <v>364</v>
      </c>
      <c r="AD55" s="17" t="s">
        <v>364</v>
      </c>
      <c r="AE55" s="17" t="s">
        <v>364</v>
      </c>
      <c r="AF55" s="17" t="s">
        <v>364</v>
      </c>
      <c r="AG55" s="54"/>
      <c r="AH55" s="55"/>
    </row>
    <row r="56" spans="2:34" ht="15" hidden="1" customHeight="1" outlineLevel="1" x14ac:dyDescent="0.25">
      <c r="B56" s="51"/>
      <c r="C56" s="56" t="s">
        <v>363</v>
      </c>
      <c r="D56" s="15">
        <v>0</v>
      </c>
      <c r="E56" s="57" t="s">
        <v>364</v>
      </c>
      <c r="F56" s="15">
        <v>0</v>
      </c>
      <c r="G56" s="15">
        <v>0</v>
      </c>
      <c r="H56" s="57" t="s">
        <v>364</v>
      </c>
      <c r="I56" s="15">
        <v>0</v>
      </c>
      <c r="J56" s="15">
        <v>22</v>
      </c>
      <c r="K56" s="57">
        <v>629.20681818181822</v>
      </c>
      <c r="L56" s="15">
        <v>13842.550000000001</v>
      </c>
      <c r="M56" s="15">
        <v>31.10563090834361</v>
      </c>
      <c r="N56" s="57">
        <v>880.02670116197828</v>
      </c>
      <c r="O56" s="15">
        <v>27373.785755831697</v>
      </c>
      <c r="P56" s="6">
        <v>39.6</v>
      </c>
      <c r="Q56" s="53">
        <v>629.20681818181811</v>
      </c>
      <c r="R56" s="6">
        <v>24916.59</v>
      </c>
      <c r="S56" s="15">
        <v>26.72256473489519</v>
      </c>
      <c r="T56" s="15">
        <v>1200.5219505657017</v>
      </c>
      <c r="U56" s="15">
        <v>32081.025539654605</v>
      </c>
      <c r="V56" s="6">
        <v>-9.1056309083436098</v>
      </c>
      <c r="W56" s="6">
        <v>-250.81988298016006</v>
      </c>
      <c r="X56" s="6">
        <v>-13531.235755831696</v>
      </c>
      <c r="Y56" s="15">
        <v>-5518.0374255635215</v>
      </c>
      <c r="Z56" s="15">
        <v>-8013.1983302681747</v>
      </c>
      <c r="AA56" s="17">
        <v>0.70726744186046508</v>
      </c>
      <c r="AB56" s="17">
        <v>0.5056863571400968</v>
      </c>
      <c r="AC56" s="17" t="s">
        <v>364</v>
      </c>
      <c r="AD56" s="17" t="s">
        <v>364</v>
      </c>
      <c r="AE56" s="17" t="s">
        <v>364</v>
      </c>
      <c r="AF56" s="17" t="s">
        <v>364</v>
      </c>
      <c r="AG56" s="54"/>
      <c r="AH56" s="55"/>
    </row>
    <row r="57" spans="2:34" collapsed="1" x14ac:dyDescent="0.25">
      <c r="B57" s="51"/>
      <c r="C57" s="52" t="s">
        <v>44</v>
      </c>
      <c r="D57" s="6">
        <v>306</v>
      </c>
      <c r="E57" s="53">
        <v>796.60130718954247</v>
      </c>
      <c r="F57" s="6">
        <v>243760</v>
      </c>
      <c r="G57" s="6">
        <v>354.44444444444446</v>
      </c>
      <c r="H57" s="53">
        <v>839.19692789968792</v>
      </c>
      <c r="I57" s="6">
        <v>297448.68888888939</v>
      </c>
      <c r="J57" s="6">
        <v>349</v>
      </c>
      <c r="K57" s="53">
        <v>749.22931232091685</v>
      </c>
      <c r="L57" s="6">
        <v>261481.02999999997</v>
      </c>
      <c r="M57" s="6">
        <v>383.33333333333337</v>
      </c>
      <c r="N57" s="53">
        <v>803.53062068965596</v>
      </c>
      <c r="O57" s="6">
        <v>308020.07126436813</v>
      </c>
      <c r="P57" s="6">
        <v>628.19999999999993</v>
      </c>
      <c r="Q57" s="53">
        <v>749.22931232091685</v>
      </c>
      <c r="R57" s="6">
        <v>470665.85399999993</v>
      </c>
      <c r="S57" s="6">
        <v>714</v>
      </c>
      <c r="T57" s="6">
        <v>846.21428571428567</v>
      </c>
      <c r="U57" s="6">
        <v>604197</v>
      </c>
      <c r="V57" s="6">
        <v>-34.333333333333371</v>
      </c>
      <c r="W57" s="6">
        <v>-54.301308368739114</v>
      </c>
      <c r="X57" s="6">
        <v>-46539.041264368163</v>
      </c>
      <c r="Y57" s="6">
        <v>-18951.156620689952</v>
      </c>
      <c r="Z57" s="6">
        <v>-27587.884643678219</v>
      </c>
      <c r="AA57" s="8">
        <v>0.91043478260869559</v>
      </c>
      <c r="AB57" s="8">
        <v>0.84890906273304334</v>
      </c>
      <c r="AC57" s="8">
        <v>0.14052287581699346</v>
      </c>
      <c r="AD57" s="8">
        <v>7.2698679028552551E-2</v>
      </c>
      <c r="AE57" s="8">
        <v>-1.5360501567398155E-2</v>
      </c>
      <c r="AF57" s="8">
        <v>-0.1209205494340739</v>
      </c>
      <c r="AG57" s="54"/>
      <c r="AH57" s="55"/>
    </row>
    <row r="58" spans="2:34" ht="15" hidden="1" customHeight="1" outlineLevel="1" x14ac:dyDescent="0.25">
      <c r="B58" s="51"/>
      <c r="C58" s="56" t="s">
        <v>362</v>
      </c>
      <c r="D58" s="15">
        <v>162</v>
      </c>
      <c r="E58" s="57">
        <v>765.06172839506178</v>
      </c>
      <c r="F58" s="15">
        <v>123940</v>
      </c>
      <c r="G58" s="15">
        <v>226.11111111111111</v>
      </c>
      <c r="H58" s="57">
        <v>798.05810810810976</v>
      </c>
      <c r="I58" s="15">
        <v>180449.80555555594</v>
      </c>
      <c r="J58" s="15">
        <v>218</v>
      </c>
      <c r="K58" s="57">
        <v>651.2904587155964</v>
      </c>
      <c r="L58" s="15">
        <v>141981.32</v>
      </c>
      <c r="M58" s="15">
        <v>224.64232458791764</v>
      </c>
      <c r="N58" s="57">
        <v>750.55772197570457</v>
      </c>
      <c r="O58" s="15">
        <v>168607.03140203428</v>
      </c>
      <c r="P58" s="6">
        <v>392.4</v>
      </c>
      <c r="Q58" s="53">
        <v>651.29045871559629</v>
      </c>
      <c r="R58" s="6">
        <v>255566.37599999999</v>
      </c>
      <c r="S58" s="15">
        <v>418.42074718897351</v>
      </c>
      <c r="T58" s="15">
        <v>790.42745881157498</v>
      </c>
      <c r="U58" s="15">
        <v>330731.24791462079</v>
      </c>
      <c r="V58" s="6">
        <v>-6.642324587917642</v>
      </c>
      <c r="W58" s="6">
        <v>-99.267263260108166</v>
      </c>
      <c r="X58" s="6">
        <v>-26625.711402034271</v>
      </c>
      <c r="Y58" s="15">
        <v>-21640.263390703582</v>
      </c>
      <c r="Z58" s="15">
        <v>-4985.4480113306763</v>
      </c>
      <c r="AA58" s="17">
        <v>0.97043155335886822</v>
      </c>
      <c r="AB58" s="17">
        <v>0.8420842168880448</v>
      </c>
      <c r="AC58" s="17">
        <v>0.34567901234567899</v>
      </c>
      <c r="AD58" s="17">
        <v>0.14556495078263681</v>
      </c>
      <c r="AE58" s="17">
        <v>-3.5872235872235883E-2</v>
      </c>
      <c r="AF58" s="17">
        <v>-0.21318108621465073</v>
      </c>
      <c r="AG58" s="54"/>
      <c r="AH58" s="55"/>
    </row>
    <row r="59" spans="2:34" hidden="1" outlineLevel="1" x14ac:dyDescent="0.25">
      <c r="B59" s="51"/>
      <c r="C59" s="56" t="s">
        <v>363</v>
      </c>
      <c r="D59" s="15">
        <v>144</v>
      </c>
      <c r="E59" s="57">
        <v>832.08333333333337</v>
      </c>
      <c r="F59" s="15">
        <v>119820</v>
      </c>
      <c r="G59" s="15">
        <v>128.33333333333334</v>
      </c>
      <c r="H59" s="57">
        <v>911.67961038961118</v>
      </c>
      <c r="I59" s="15">
        <v>116998.88333333345</v>
      </c>
      <c r="J59" s="15">
        <v>131</v>
      </c>
      <c r="K59" s="57">
        <v>912.21152671755715</v>
      </c>
      <c r="L59" s="15">
        <v>119499.70999999999</v>
      </c>
      <c r="M59" s="15">
        <v>158.69100874541573</v>
      </c>
      <c r="N59" s="57">
        <v>878.51883332590671</v>
      </c>
      <c r="O59" s="15">
        <v>139413.03986233388</v>
      </c>
      <c r="P59" s="6">
        <v>235.79999999999998</v>
      </c>
      <c r="Q59" s="53">
        <v>912.21152671755726</v>
      </c>
      <c r="R59" s="6">
        <v>215099.47799999997</v>
      </c>
      <c r="S59" s="15">
        <v>295.57925281102649</v>
      </c>
      <c r="T59" s="15">
        <v>925.18588326026668</v>
      </c>
      <c r="U59" s="15">
        <v>273465.75208537921</v>
      </c>
      <c r="V59" s="6">
        <v>-27.691008745415729</v>
      </c>
      <c r="W59" s="6">
        <v>33.692693391650437</v>
      </c>
      <c r="X59" s="6">
        <v>-19913.329862333892</v>
      </c>
      <c r="Y59" s="15">
        <v>4413.7428343062074</v>
      </c>
      <c r="Z59" s="15">
        <v>-24327.072696640105</v>
      </c>
      <c r="AA59" s="17">
        <v>0.82550360625761876</v>
      </c>
      <c r="AB59" s="17">
        <v>0.85716307540530146</v>
      </c>
      <c r="AC59" s="17">
        <v>-9.0277777777777776E-2</v>
      </c>
      <c r="AD59" s="17">
        <v>-2.6730929727925901E-3</v>
      </c>
      <c r="AE59" s="17">
        <v>2.0779220779220703E-2</v>
      </c>
      <c r="AF59" s="17">
        <v>2.1374790899000389E-2</v>
      </c>
      <c r="AG59" s="54"/>
      <c r="AH59" s="55"/>
    </row>
    <row r="60" spans="2:34" collapsed="1" x14ac:dyDescent="0.25">
      <c r="B60" s="51"/>
      <c r="C60" s="52" t="s">
        <v>45</v>
      </c>
      <c r="D60" s="6">
        <v>0</v>
      </c>
      <c r="E60" s="53" t="s">
        <v>364</v>
      </c>
      <c r="F60" s="6">
        <v>0</v>
      </c>
      <c r="G60" s="6">
        <v>0</v>
      </c>
      <c r="H60" s="53" t="s">
        <v>364</v>
      </c>
      <c r="I60" s="6">
        <v>0</v>
      </c>
      <c r="J60" s="6">
        <v>0</v>
      </c>
      <c r="K60" s="53" t="s">
        <v>364</v>
      </c>
      <c r="L60" s="6">
        <v>0</v>
      </c>
      <c r="M60" s="6">
        <v>0</v>
      </c>
      <c r="N60" s="53" t="s">
        <v>364</v>
      </c>
      <c r="O60" s="6">
        <v>0</v>
      </c>
      <c r="P60" s="6">
        <v>0</v>
      </c>
      <c r="Q60" s="53" t="s">
        <v>364</v>
      </c>
      <c r="R60" s="6">
        <v>0</v>
      </c>
      <c r="S60" s="6">
        <v>125</v>
      </c>
      <c r="T60" s="6">
        <v>797.39200000000005</v>
      </c>
      <c r="U60" s="6">
        <v>99674</v>
      </c>
      <c r="V60" s="6">
        <v>0</v>
      </c>
      <c r="W60" s="6">
        <v>0</v>
      </c>
      <c r="X60" s="6">
        <v>0</v>
      </c>
      <c r="Y60" s="6" t="s">
        <v>364</v>
      </c>
      <c r="Z60" s="6" t="s">
        <v>364</v>
      </c>
      <c r="AA60" s="8" t="s">
        <v>364</v>
      </c>
      <c r="AB60" s="8" t="s">
        <v>364</v>
      </c>
      <c r="AC60" s="8" t="s">
        <v>364</v>
      </c>
      <c r="AD60" s="8" t="s">
        <v>364</v>
      </c>
      <c r="AE60" s="8" t="s">
        <v>364</v>
      </c>
      <c r="AF60" s="8" t="s">
        <v>364</v>
      </c>
      <c r="AG60" s="54"/>
      <c r="AH60" s="55"/>
    </row>
    <row r="61" spans="2:34" hidden="1" outlineLevel="1" x14ac:dyDescent="0.25">
      <c r="B61" s="51"/>
      <c r="C61" s="56" t="s">
        <v>362</v>
      </c>
      <c r="D61" s="15">
        <v>0</v>
      </c>
      <c r="E61" s="57" t="s">
        <v>364</v>
      </c>
      <c r="F61" s="15">
        <v>0</v>
      </c>
      <c r="G61" s="15">
        <v>0</v>
      </c>
      <c r="H61" s="57" t="s">
        <v>364</v>
      </c>
      <c r="I61" s="15">
        <v>0</v>
      </c>
      <c r="J61" s="15">
        <v>0</v>
      </c>
      <c r="K61" s="57" t="s">
        <v>364</v>
      </c>
      <c r="L61" s="15">
        <v>0</v>
      </c>
      <c r="M61" s="15">
        <v>0</v>
      </c>
      <c r="N61" s="57" t="s">
        <v>364</v>
      </c>
      <c r="O61" s="15">
        <v>0</v>
      </c>
      <c r="P61" s="6">
        <v>0</v>
      </c>
      <c r="Q61" s="53" t="s">
        <v>364</v>
      </c>
      <c r="R61" s="6">
        <v>0</v>
      </c>
      <c r="S61" s="15">
        <v>123.88774811772758</v>
      </c>
      <c r="T61" s="15">
        <v>797.56495684824915</v>
      </c>
      <c r="U61" s="15">
        <v>98808.526481542154</v>
      </c>
      <c r="V61" s="6">
        <v>0</v>
      </c>
      <c r="W61" s="6">
        <v>0</v>
      </c>
      <c r="X61" s="6">
        <v>0</v>
      </c>
      <c r="Y61" s="15">
        <v>0</v>
      </c>
      <c r="Z61" s="15">
        <v>0</v>
      </c>
      <c r="AA61" s="17" t="s">
        <v>364</v>
      </c>
      <c r="AB61" s="17" t="s">
        <v>364</v>
      </c>
      <c r="AC61" s="17" t="s">
        <v>364</v>
      </c>
      <c r="AD61" s="17" t="s">
        <v>364</v>
      </c>
      <c r="AE61" s="17" t="s">
        <v>364</v>
      </c>
      <c r="AF61" s="17" t="s">
        <v>364</v>
      </c>
      <c r="AG61" s="54"/>
      <c r="AH61" s="55"/>
    </row>
    <row r="62" spans="2:34" hidden="1" outlineLevel="1" x14ac:dyDescent="0.25">
      <c r="B62" s="51"/>
      <c r="C62" s="56" t="s">
        <v>363</v>
      </c>
      <c r="D62" s="15">
        <v>0</v>
      </c>
      <c r="E62" s="57" t="s">
        <v>364</v>
      </c>
      <c r="F62" s="15">
        <v>0</v>
      </c>
      <c r="G62" s="15">
        <v>0</v>
      </c>
      <c r="H62" s="57" t="s">
        <v>364</v>
      </c>
      <c r="I62" s="15">
        <v>0</v>
      </c>
      <c r="J62" s="15">
        <v>0</v>
      </c>
      <c r="K62" s="57" t="s">
        <v>364</v>
      </c>
      <c r="L62" s="15">
        <v>0</v>
      </c>
      <c r="M62" s="15">
        <v>0</v>
      </c>
      <c r="N62" s="57" t="s">
        <v>364</v>
      </c>
      <c r="O62" s="15">
        <v>0</v>
      </c>
      <c r="P62" s="6">
        <v>0</v>
      </c>
      <c r="Q62" s="53" t="s">
        <v>364</v>
      </c>
      <c r="R62" s="6">
        <v>0</v>
      </c>
      <c r="S62" s="15">
        <v>1.1122518822724163</v>
      </c>
      <c r="T62" s="15">
        <v>778.12726797964353</v>
      </c>
      <c r="U62" s="15">
        <v>865.47351845785147</v>
      </c>
      <c r="V62" s="6">
        <v>0</v>
      </c>
      <c r="W62" s="6">
        <v>0</v>
      </c>
      <c r="X62" s="6">
        <v>0</v>
      </c>
      <c r="Y62" s="15">
        <v>0</v>
      </c>
      <c r="Z62" s="15">
        <v>0</v>
      </c>
      <c r="AA62" s="17" t="s">
        <v>364</v>
      </c>
      <c r="AB62" s="17" t="s">
        <v>364</v>
      </c>
      <c r="AC62" s="17" t="s">
        <v>364</v>
      </c>
      <c r="AD62" s="17" t="s">
        <v>364</v>
      </c>
      <c r="AE62" s="17" t="s">
        <v>364</v>
      </c>
      <c r="AF62" s="17" t="s">
        <v>364</v>
      </c>
      <c r="AG62" s="54"/>
      <c r="AH62" s="55"/>
    </row>
    <row r="63" spans="2:34" collapsed="1" x14ac:dyDescent="0.25">
      <c r="B63" s="51"/>
      <c r="C63" s="52" t="s">
        <v>46</v>
      </c>
      <c r="D63" s="6">
        <v>426</v>
      </c>
      <c r="E63" s="53">
        <v>505.57511737089203</v>
      </c>
      <c r="F63" s="6">
        <v>215375</v>
      </c>
      <c r="G63" s="6">
        <v>570.55555555555566</v>
      </c>
      <c r="H63" s="53">
        <v>459.94873417721504</v>
      </c>
      <c r="I63" s="6">
        <v>262426.3055555555</v>
      </c>
      <c r="J63" s="6">
        <v>541</v>
      </c>
      <c r="K63" s="53">
        <v>484.22741219963024</v>
      </c>
      <c r="L63" s="6">
        <v>261967.02999999997</v>
      </c>
      <c r="M63" s="6">
        <v>739.19916924162544</v>
      </c>
      <c r="N63" s="53">
        <v>549.81632317717492</v>
      </c>
      <c r="O63" s="6">
        <v>406423.76932805276</v>
      </c>
      <c r="P63" s="6">
        <v>973.8</v>
      </c>
      <c r="Q63" s="53">
        <v>484.22741219963024</v>
      </c>
      <c r="R63" s="6">
        <v>471540.65399999992</v>
      </c>
      <c r="S63" s="6">
        <v>985</v>
      </c>
      <c r="T63" s="6">
        <v>555.89746192893404</v>
      </c>
      <c r="U63" s="6">
        <v>547559</v>
      </c>
      <c r="V63" s="6">
        <v>-198.19916924162544</v>
      </c>
      <c r="W63" s="6">
        <v>-65.588910977544685</v>
      </c>
      <c r="X63" s="6">
        <v>-144456.73932805279</v>
      </c>
      <c r="Y63" s="6">
        <v>-35483.600838851678</v>
      </c>
      <c r="Z63" s="6">
        <v>-108973.13848920113</v>
      </c>
      <c r="AA63" s="8">
        <v>0.73187311689626755</v>
      </c>
      <c r="AB63" s="8">
        <v>0.64456621332240105</v>
      </c>
      <c r="AC63" s="8">
        <v>0.2699530516431925</v>
      </c>
      <c r="AD63" s="8">
        <v>0.21632979686593137</v>
      </c>
      <c r="AE63" s="8">
        <v>-5.1801363193768428E-2</v>
      </c>
      <c r="AF63" s="8">
        <v>-1.7501124918984378E-3</v>
      </c>
      <c r="AG63" s="54"/>
      <c r="AH63" s="55"/>
    </row>
    <row r="64" spans="2:34" hidden="1" outlineLevel="1" x14ac:dyDescent="0.25">
      <c r="B64" s="51"/>
      <c r="C64" s="56" t="s">
        <v>362</v>
      </c>
      <c r="D64" s="15">
        <v>255</v>
      </c>
      <c r="E64" s="57">
        <v>495.83137254901959</v>
      </c>
      <c r="F64" s="15">
        <v>126437</v>
      </c>
      <c r="G64" s="15">
        <v>375.55555555555549</v>
      </c>
      <c r="H64" s="57">
        <v>424.73912721893498</v>
      </c>
      <c r="I64" s="15">
        <v>159513.13888888888</v>
      </c>
      <c r="J64" s="15">
        <v>353</v>
      </c>
      <c r="K64" s="57">
        <v>461.65654390934844</v>
      </c>
      <c r="L64" s="15">
        <v>162964.76</v>
      </c>
      <c r="M64" s="15">
        <v>441.81089647622298</v>
      </c>
      <c r="N64" s="57">
        <v>540.67671600465474</v>
      </c>
      <c r="O64" s="15">
        <v>238876.86460183674</v>
      </c>
      <c r="P64" s="6">
        <v>635.4</v>
      </c>
      <c r="Q64" s="53">
        <v>461.6565439093485</v>
      </c>
      <c r="R64" s="6">
        <v>293336.56800000003</v>
      </c>
      <c r="S64" s="15">
        <v>588.72324420433563</v>
      </c>
      <c r="T64" s="15">
        <v>546.6567678715586</v>
      </c>
      <c r="U64" s="15">
        <v>321829.54584760038</v>
      </c>
      <c r="V64" s="6">
        <v>-88.810896476222979</v>
      </c>
      <c r="W64" s="6">
        <v>-79.020172095306293</v>
      </c>
      <c r="X64" s="6">
        <v>-75912.104601836734</v>
      </c>
      <c r="Y64" s="15">
        <v>-12235.74321977915</v>
      </c>
      <c r="Z64" s="15">
        <v>-63676.36138205757</v>
      </c>
      <c r="AA64" s="17">
        <v>0.79898436823410823</v>
      </c>
      <c r="AB64" s="17">
        <v>0.68221240374881809</v>
      </c>
      <c r="AC64" s="17">
        <v>0.3843137254901961</v>
      </c>
      <c r="AD64" s="17">
        <v>0.28890087553485144</v>
      </c>
      <c r="AE64" s="17">
        <v>-6.0059171597632965E-2</v>
      </c>
      <c r="AF64" s="17">
        <v>2.1638475270149431E-2</v>
      </c>
      <c r="AG64" s="54"/>
      <c r="AH64" s="55"/>
    </row>
    <row r="65" spans="2:34" hidden="1" outlineLevel="1" x14ac:dyDescent="0.25">
      <c r="B65" s="51"/>
      <c r="C65" s="56" t="s">
        <v>363</v>
      </c>
      <c r="D65" s="15">
        <v>172</v>
      </c>
      <c r="E65" s="57">
        <v>517.08139534883719</v>
      </c>
      <c r="F65" s="15">
        <v>88938</v>
      </c>
      <c r="G65" s="15">
        <v>195</v>
      </c>
      <c r="H65" s="57">
        <v>527.75982905982892</v>
      </c>
      <c r="I65" s="15">
        <v>102913.16666666663</v>
      </c>
      <c r="J65" s="15">
        <v>188</v>
      </c>
      <c r="K65" s="57">
        <v>526.60781914893619</v>
      </c>
      <c r="L65" s="15">
        <v>99002.27</v>
      </c>
      <c r="M65" s="15">
        <v>297.38827276540263</v>
      </c>
      <c r="N65" s="57">
        <v>563.39445791928347</v>
      </c>
      <c r="O65" s="15">
        <v>167546.90472621602</v>
      </c>
      <c r="P65" s="6">
        <v>338.4</v>
      </c>
      <c r="Q65" s="53">
        <v>526.60781914893619</v>
      </c>
      <c r="R65" s="6">
        <v>178204.08600000001</v>
      </c>
      <c r="S65" s="15">
        <v>396.27675579566437</v>
      </c>
      <c r="T65" s="15">
        <v>569.6257750449397</v>
      </c>
      <c r="U65" s="15">
        <v>225729.45415239962</v>
      </c>
      <c r="V65" s="6">
        <v>-109.38827276540263</v>
      </c>
      <c r="W65" s="6">
        <v>-36.786638770347281</v>
      </c>
      <c r="X65" s="6">
        <v>-68544.634726216012</v>
      </c>
      <c r="Y65" s="15">
        <v>-1966.3083595041262</v>
      </c>
      <c r="Z65" s="15">
        <v>-66578.326366711903</v>
      </c>
      <c r="AA65" s="17">
        <v>0.63217018698079419</v>
      </c>
      <c r="AB65" s="17">
        <v>0.59089286168417732</v>
      </c>
      <c r="AC65" s="17">
        <v>9.3023255813953487E-2</v>
      </c>
      <c r="AD65" s="17">
        <v>0.11316051631473616</v>
      </c>
      <c r="AE65" s="17">
        <v>-3.5897435897435895E-2</v>
      </c>
      <c r="AF65" s="17">
        <v>-3.8001907757186482E-2</v>
      </c>
      <c r="AG65" s="54"/>
      <c r="AH65" s="55"/>
    </row>
    <row r="66" spans="2:34" collapsed="1" x14ac:dyDescent="0.25">
      <c r="B66" s="51"/>
      <c r="C66" s="52" t="s">
        <v>47</v>
      </c>
      <c r="D66" s="6">
        <v>159</v>
      </c>
      <c r="E66" s="53">
        <v>299.54716981132077</v>
      </c>
      <c r="F66" s="6">
        <v>47628</v>
      </c>
      <c r="G66" s="6">
        <v>160</v>
      </c>
      <c r="H66" s="53">
        <v>254.35552083333317</v>
      </c>
      <c r="I66" s="6">
        <v>40696.88333333331</v>
      </c>
      <c r="J66" s="6">
        <v>89</v>
      </c>
      <c r="K66" s="53">
        <v>259.93865168539327</v>
      </c>
      <c r="L66" s="6">
        <v>23134.54</v>
      </c>
      <c r="M66" s="6">
        <v>159.44444444444446</v>
      </c>
      <c r="N66" s="53">
        <v>316.30893632171598</v>
      </c>
      <c r="O66" s="6">
        <v>50433.702624629164</v>
      </c>
      <c r="P66" s="6">
        <v>160.19999999999999</v>
      </c>
      <c r="Q66" s="53">
        <v>259.93865168539327</v>
      </c>
      <c r="R66" s="6">
        <v>41642.171999999999</v>
      </c>
      <c r="S66" s="6">
        <v>411</v>
      </c>
      <c r="T66" s="6">
        <v>495.11192214111924</v>
      </c>
      <c r="U66" s="6">
        <v>203491</v>
      </c>
      <c r="V66" s="6">
        <v>-70.444444444444457</v>
      </c>
      <c r="W66" s="6">
        <v>-56.370284636322708</v>
      </c>
      <c r="X66" s="6">
        <v>-27299.162624629163</v>
      </c>
      <c r="Y66" s="6">
        <v>-5016.9553326327214</v>
      </c>
      <c r="Z66" s="6">
        <v>-22282.207291996441</v>
      </c>
      <c r="AA66" s="8">
        <v>0.55818815331010452</v>
      </c>
      <c r="AB66" s="8">
        <v>0.45871190882388851</v>
      </c>
      <c r="AC66" s="8">
        <v>-0.44025157232704404</v>
      </c>
      <c r="AD66" s="8">
        <v>-0.51426597799613671</v>
      </c>
      <c r="AE66" s="8">
        <v>-0.44374999999999998</v>
      </c>
      <c r="AF66" s="8">
        <v>-0.43154025308244287</v>
      </c>
      <c r="AG66" s="54"/>
      <c r="AH66" s="55"/>
    </row>
    <row r="67" spans="2:34" hidden="1" outlineLevel="1" x14ac:dyDescent="0.25">
      <c r="B67" s="51"/>
      <c r="C67" s="56" t="s">
        <v>362</v>
      </c>
      <c r="D67" s="15">
        <v>48</v>
      </c>
      <c r="E67" s="57">
        <v>260.39583333333331</v>
      </c>
      <c r="F67" s="15">
        <v>12499</v>
      </c>
      <c r="G67" s="15">
        <v>73.888888888888886</v>
      </c>
      <c r="H67" s="57">
        <v>208.54488721804509</v>
      </c>
      <c r="I67" s="15">
        <v>15409.149999999998</v>
      </c>
      <c r="J67" s="15">
        <v>33</v>
      </c>
      <c r="K67" s="57">
        <v>240.11636363636364</v>
      </c>
      <c r="L67" s="15">
        <v>7923.84</v>
      </c>
      <c r="M67" s="15">
        <v>60.044158379875597</v>
      </c>
      <c r="N67" s="57">
        <v>263.74621839668703</v>
      </c>
      <c r="O67" s="15">
        <v>15836.419709503936</v>
      </c>
      <c r="P67" s="6">
        <v>59.4</v>
      </c>
      <c r="Q67" s="53">
        <v>240.11636363636364</v>
      </c>
      <c r="R67" s="6">
        <v>14262.912</v>
      </c>
      <c r="S67" s="15">
        <v>154.77584797711484</v>
      </c>
      <c r="T67" s="15">
        <v>412.8365725811143</v>
      </c>
      <c r="U67" s="15">
        <v>63897.130597207681</v>
      </c>
      <c r="V67" s="6">
        <v>-27.044158379875597</v>
      </c>
      <c r="W67" s="6">
        <v>-23.629854760323383</v>
      </c>
      <c r="X67" s="6">
        <v>-7912.5797095039361</v>
      </c>
      <c r="Y67" s="15">
        <v>-623.20312991273784</v>
      </c>
      <c r="Z67" s="15">
        <v>-7289.3765795911986</v>
      </c>
      <c r="AA67" s="17">
        <v>0.54959551254298677</v>
      </c>
      <c r="AB67" s="17">
        <v>0.50035551881999274</v>
      </c>
      <c r="AC67" s="17">
        <v>-0.3125</v>
      </c>
      <c r="AD67" s="17">
        <v>-0.36604208336666932</v>
      </c>
      <c r="AE67" s="17">
        <v>-0.55338345864661653</v>
      </c>
      <c r="AF67" s="17">
        <v>-0.48577046754687953</v>
      </c>
      <c r="AG67" s="54"/>
      <c r="AH67" s="55"/>
    </row>
    <row r="68" spans="2:34" hidden="1" outlineLevel="1" x14ac:dyDescent="0.25">
      <c r="B68" s="51"/>
      <c r="C68" s="56" t="s">
        <v>363</v>
      </c>
      <c r="D68" s="15">
        <v>112</v>
      </c>
      <c r="E68" s="57">
        <v>313.64285714285717</v>
      </c>
      <c r="F68" s="15">
        <v>35128</v>
      </c>
      <c r="G68" s="15">
        <v>86.111111111111114</v>
      </c>
      <c r="H68" s="57">
        <v>293.66399999999976</v>
      </c>
      <c r="I68" s="15">
        <v>25287.733333333312</v>
      </c>
      <c r="J68" s="15">
        <v>56</v>
      </c>
      <c r="K68" s="57">
        <v>271.61964285714288</v>
      </c>
      <c r="L68" s="15">
        <v>15210.7</v>
      </c>
      <c r="M68" s="15">
        <v>99.40028606456886</v>
      </c>
      <c r="N68" s="57">
        <v>348.06019464221038</v>
      </c>
      <c r="O68" s="15">
        <v>34597.28291512523</v>
      </c>
      <c r="P68" s="6">
        <v>100.8</v>
      </c>
      <c r="Q68" s="53">
        <v>271.61964285714282</v>
      </c>
      <c r="R68" s="6">
        <v>27379.26</v>
      </c>
      <c r="S68" s="15">
        <v>256.22415202288516</v>
      </c>
      <c r="T68" s="15">
        <v>544.81151874521277</v>
      </c>
      <c r="U68" s="15">
        <v>139593.86940279233</v>
      </c>
      <c r="V68" s="6">
        <v>-43.40028606456886</v>
      </c>
      <c r="W68" s="6">
        <v>-76.440551785067498</v>
      </c>
      <c r="X68" s="6">
        <v>-19386.582915125229</v>
      </c>
      <c r="Y68" s="15">
        <v>-4465.3261244617888</v>
      </c>
      <c r="Z68" s="15">
        <v>-14921.256790663439</v>
      </c>
      <c r="AA68" s="17">
        <v>0.56337866033527595</v>
      </c>
      <c r="AB68" s="17">
        <v>0.43965013198623731</v>
      </c>
      <c r="AC68" s="17">
        <v>-0.5</v>
      </c>
      <c r="AD68" s="17">
        <v>-0.56699214301981327</v>
      </c>
      <c r="AE68" s="17">
        <v>-0.34967741935483876</v>
      </c>
      <c r="AF68" s="17">
        <v>-0.39849492243933765</v>
      </c>
      <c r="AG68" s="54"/>
      <c r="AH68" s="55"/>
    </row>
    <row r="69" spans="2:34" collapsed="1" x14ac:dyDescent="0.25">
      <c r="B69" s="51"/>
      <c r="C69" s="52" t="s">
        <v>48</v>
      </c>
      <c r="D69" s="6">
        <v>361</v>
      </c>
      <c r="E69" s="53">
        <v>732.86703601108036</v>
      </c>
      <c r="F69" s="6">
        <v>264565</v>
      </c>
      <c r="G69" s="6">
        <v>475</v>
      </c>
      <c r="H69" s="53">
        <v>747.62602339181285</v>
      </c>
      <c r="I69" s="6">
        <v>355122.36111111112</v>
      </c>
      <c r="J69" s="6">
        <v>452</v>
      </c>
      <c r="K69" s="53">
        <v>789.66517699115025</v>
      </c>
      <c r="L69" s="6">
        <v>356928.65999999992</v>
      </c>
      <c r="M69" s="6">
        <v>561.33356175082201</v>
      </c>
      <c r="N69" s="53">
        <v>792.85245125759639</v>
      </c>
      <c r="O69" s="6">
        <v>445054.69040729658</v>
      </c>
      <c r="P69" s="6">
        <v>813.59999999999991</v>
      </c>
      <c r="Q69" s="53">
        <v>789.66517699115036</v>
      </c>
      <c r="R69" s="6">
        <v>642471.58799999987</v>
      </c>
      <c r="S69" s="6">
        <v>1017</v>
      </c>
      <c r="T69" s="6">
        <v>728.9105211406096</v>
      </c>
      <c r="U69" s="6">
        <v>741302</v>
      </c>
      <c r="V69" s="6">
        <v>-109.33356175082201</v>
      </c>
      <c r="W69" s="6">
        <v>-3.1872742664461384</v>
      </c>
      <c r="X69" s="6">
        <v>-88126.030407296668</v>
      </c>
      <c r="Y69" s="6">
        <v>-1440.6479684336546</v>
      </c>
      <c r="Z69" s="6">
        <v>-86685.382438863016</v>
      </c>
      <c r="AA69" s="8">
        <v>0.80522532554475057</v>
      </c>
      <c r="AB69" s="8">
        <v>0.80198831220799582</v>
      </c>
      <c r="AC69" s="8">
        <v>0.25207756232686979</v>
      </c>
      <c r="AD69" s="8">
        <v>0.34911518908396771</v>
      </c>
      <c r="AE69" s="8">
        <v>-4.8421052631578948E-2</v>
      </c>
      <c r="AF69" s="8">
        <v>5.0864127036022808E-3</v>
      </c>
      <c r="AG69" s="54"/>
      <c r="AH69" s="55"/>
    </row>
    <row r="70" spans="2:34" hidden="1" outlineLevel="1" x14ac:dyDescent="0.25">
      <c r="B70" s="51"/>
      <c r="C70" s="56" t="s">
        <v>362</v>
      </c>
      <c r="D70" s="15">
        <v>132</v>
      </c>
      <c r="E70" s="57">
        <v>727.86363636363637</v>
      </c>
      <c r="F70" s="15">
        <v>96078</v>
      </c>
      <c r="G70" s="15">
        <v>202.7777777777778</v>
      </c>
      <c r="H70" s="57">
        <v>654.0854246575343</v>
      </c>
      <c r="I70" s="15">
        <v>132633.98888888891</v>
      </c>
      <c r="J70" s="15">
        <v>190</v>
      </c>
      <c r="K70" s="57">
        <v>657.80557894736842</v>
      </c>
      <c r="L70" s="15">
        <v>124983.06</v>
      </c>
      <c r="M70" s="15">
        <v>232.82845335709351</v>
      </c>
      <c r="N70" s="57">
        <v>731.11284958932481</v>
      </c>
      <c r="O70" s="15">
        <v>170223.87399937984</v>
      </c>
      <c r="P70" s="6">
        <v>342</v>
      </c>
      <c r="Q70" s="53">
        <v>657.8055789473683</v>
      </c>
      <c r="R70" s="6">
        <v>224969.50799999997</v>
      </c>
      <c r="S70" s="15">
        <v>421.82857608872939</v>
      </c>
      <c r="T70" s="15">
        <v>672.15009219112278</v>
      </c>
      <c r="U70" s="15">
        <v>283532.11630688951</v>
      </c>
      <c r="V70" s="6">
        <v>-42.828453357093508</v>
      </c>
      <c r="W70" s="6">
        <v>-73.307270641956393</v>
      </c>
      <c r="X70" s="6">
        <v>-45240.81399937984</v>
      </c>
      <c r="Y70" s="15">
        <v>-26698.023529959224</v>
      </c>
      <c r="Z70" s="15">
        <v>-18542.790469420637</v>
      </c>
      <c r="AA70" s="17">
        <v>0.8160514630425918</v>
      </c>
      <c r="AB70" s="17">
        <v>0.73422756199553618</v>
      </c>
      <c r="AC70" s="17">
        <v>0.43939393939393939</v>
      </c>
      <c r="AD70" s="17">
        <v>0.30084993442827701</v>
      </c>
      <c r="AE70" s="17">
        <v>-6.3013698630137088E-2</v>
      </c>
      <c r="AF70" s="17">
        <v>-5.76845268168652E-2</v>
      </c>
      <c r="AG70" s="54"/>
      <c r="AH70" s="55"/>
    </row>
    <row r="71" spans="2:34" hidden="1" outlineLevel="1" x14ac:dyDescent="0.25">
      <c r="B71" s="51"/>
      <c r="C71" s="56" t="s">
        <v>363</v>
      </c>
      <c r="D71" s="15">
        <v>229</v>
      </c>
      <c r="E71" s="57">
        <v>735.75109170305677</v>
      </c>
      <c r="F71" s="15">
        <v>168487</v>
      </c>
      <c r="G71" s="15">
        <v>272.22222222222223</v>
      </c>
      <c r="H71" s="57">
        <v>817.30422448979584</v>
      </c>
      <c r="I71" s="15">
        <v>222488.37222222221</v>
      </c>
      <c r="J71" s="15">
        <v>262</v>
      </c>
      <c r="K71" s="57">
        <v>885.28854961832064</v>
      </c>
      <c r="L71" s="15">
        <v>231945.60000000001</v>
      </c>
      <c r="M71" s="15">
        <v>328.50510839372851</v>
      </c>
      <c r="N71" s="57">
        <v>836.61047997621779</v>
      </c>
      <c r="O71" s="15">
        <v>274830.81640791666</v>
      </c>
      <c r="P71" s="6">
        <v>471.59999999999997</v>
      </c>
      <c r="Q71" s="53">
        <v>885.28854961832076</v>
      </c>
      <c r="R71" s="6">
        <v>417502.08</v>
      </c>
      <c r="S71" s="15">
        <v>595.17142391127061</v>
      </c>
      <c r="T71" s="15">
        <v>769.1395542561462</v>
      </c>
      <c r="U71" s="15">
        <v>457769.88369311049</v>
      </c>
      <c r="V71" s="6">
        <v>-66.505108393728506</v>
      </c>
      <c r="W71" s="6">
        <v>48.678069642102855</v>
      </c>
      <c r="X71" s="6">
        <v>-42885.216407916654</v>
      </c>
      <c r="Y71" s="15">
        <v>-7120.9316137206897</v>
      </c>
      <c r="Z71" s="15">
        <v>-36289.194794195981</v>
      </c>
      <c r="AA71" s="17">
        <v>0.79755228550656487</v>
      </c>
      <c r="AB71" s="17">
        <v>0.8439577592919405</v>
      </c>
      <c r="AC71" s="17">
        <v>0.14410480349344978</v>
      </c>
      <c r="AD71" s="17">
        <v>0.37663796019870971</v>
      </c>
      <c r="AE71" s="17">
        <v>-3.7551020408163285E-2</v>
      </c>
      <c r="AF71" s="17">
        <v>4.2506615888815429E-2</v>
      </c>
      <c r="AG71" s="54"/>
      <c r="AH71" s="55"/>
    </row>
    <row r="72" spans="2:34" collapsed="1" x14ac:dyDescent="0.25">
      <c r="B72" s="51"/>
      <c r="C72" s="52" t="s">
        <v>49</v>
      </c>
      <c r="D72" s="6">
        <v>1456</v>
      </c>
      <c r="E72" s="53">
        <v>673.77197802197804</v>
      </c>
      <c r="F72" s="6">
        <v>981012</v>
      </c>
      <c r="G72" s="6">
        <v>2348.8888888888891</v>
      </c>
      <c r="H72" s="53">
        <v>600.10340113528855</v>
      </c>
      <c r="I72" s="6">
        <v>1409576.2111111113</v>
      </c>
      <c r="J72" s="6">
        <v>2100</v>
      </c>
      <c r="K72" s="53">
        <v>560.86535714285731</v>
      </c>
      <c r="L72" s="6">
        <v>1177817.2500000002</v>
      </c>
      <c r="M72" s="6">
        <v>0</v>
      </c>
      <c r="N72" s="53" t="s">
        <v>364</v>
      </c>
      <c r="O72" s="6">
        <v>0</v>
      </c>
      <c r="P72" s="6">
        <v>3780</v>
      </c>
      <c r="Q72" s="53">
        <v>560.86535714285719</v>
      </c>
      <c r="R72" s="6">
        <v>2120071.0500000003</v>
      </c>
      <c r="S72" s="6">
        <v>0</v>
      </c>
      <c r="T72" s="6" t="s">
        <v>364</v>
      </c>
      <c r="U72" s="6">
        <v>0</v>
      </c>
      <c r="V72" s="6">
        <v>2100</v>
      </c>
      <c r="W72" s="6">
        <v>0</v>
      </c>
      <c r="X72" s="6">
        <v>1177817.2500000002</v>
      </c>
      <c r="Y72" s="6" t="s">
        <v>364</v>
      </c>
      <c r="Z72" s="6" t="s">
        <v>364</v>
      </c>
      <c r="AA72" s="8" t="s">
        <v>364</v>
      </c>
      <c r="AB72" s="8" t="s">
        <v>364</v>
      </c>
      <c r="AC72" s="8">
        <v>0.44230769230769229</v>
      </c>
      <c r="AD72" s="8">
        <v>0.20061451847683845</v>
      </c>
      <c r="AE72" s="8">
        <v>-0.10596026490066235</v>
      </c>
      <c r="AF72" s="8">
        <v>-0.16441747475890287</v>
      </c>
      <c r="AG72" s="54"/>
      <c r="AH72" s="55"/>
    </row>
    <row r="73" spans="2:34" hidden="1" outlineLevel="1" x14ac:dyDescent="0.25">
      <c r="B73" s="51"/>
      <c r="C73" s="56" t="s">
        <v>362</v>
      </c>
      <c r="D73" s="15">
        <v>653</v>
      </c>
      <c r="E73" s="57">
        <v>609.69831546707508</v>
      </c>
      <c r="F73" s="15">
        <v>398133</v>
      </c>
      <c r="G73" s="15">
        <v>1196.6666666666667</v>
      </c>
      <c r="H73" s="57">
        <v>482.51136954503255</v>
      </c>
      <c r="I73" s="15">
        <v>577405.27222222229</v>
      </c>
      <c r="J73" s="15">
        <v>1016</v>
      </c>
      <c r="K73" s="57">
        <v>436.36552165354334</v>
      </c>
      <c r="L73" s="15">
        <v>443347.37000000005</v>
      </c>
      <c r="M73" s="15">
        <v>0</v>
      </c>
      <c r="N73" s="57" t="s">
        <v>364</v>
      </c>
      <c r="O73" s="15">
        <v>0</v>
      </c>
      <c r="P73" s="6">
        <v>1828.8</v>
      </c>
      <c r="Q73" s="53">
        <v>436.36552165354334</v>
      </c>
      <c r="R73" s="6">
        <v>798025.26600000006</v>
      </c>
      <c r="S73" s="15">
        <v>0</v>
      </c>
      <c r="T73" s="15" t="s">
        <v>364</v>
      </c>
      <c r="U73" s="15">
        <v>0</v>
      </c>
      <c r="V73" s="6">
        <v>1016</v>
      </c>
      <c r="W73" s="6">
        <v>0</v>
      </c>
      <c r="X73" s="6">
        <v>443347.37000000005</v>
      </c>
      <c r="Y73" s="15">
        <v>0</v>
      </c>
      <c r="Z73" s="15">
        <v>0</v>
      </c>
      <c r="AA73" s="17" t="s">
        <v>364</v>
      </c>
      <c r="AB73" s="17" t="s">
        <v>364</v>
      </c>
      <c r="AC73" s="17">
        <v>0.555895865237366</v>
      </c>
      <c r="AD73" s="17">
        <v>0.11356599427829407</v>
      </c>
      <c r="AE73" s="17">
        <v>-0.15097493036211704</v>
      </c>
      <c r="AF73" s="17">
        <v>-0.2321729791386945</v>
      </c>
      <c r="AG73" s="54"/>
      <c r="AH73" s="55"/>
    </row>
    <row r="74" spans="2:34" hidden="1" outlineLevel="1" x14ac:dyDescent="0.25">
      <c r="B74" s="51"/>
      <c r="C74" s="56" t="s">
        <v>363</v>
      </c>
      <c r="D74" s="15">
        <v>805</v>
      </c>
      <c r="E74" s="57">
        <v>724.07204968944097</v>
      </c>
      <c r="F74" s="15">
        <v>582878</v>
      </c>
      <c r="G74" s="15">
        <v>1152.2222222222224</v>
      </c>
      <c r="H74" s="57">
        <v>722.23128736740557</v>
      </c>
      <c r="I74" s="15">
        <v>832170.93888888857</v>
      </c>
      <c r="J74" s="15">
        <v>1084</v>
      </c>
      <c r="K74" s="57">
        <v>677.55523985239847</v>
      </c>
      <c r="L74" s="15">
        <v>734469.87999999989</v>
      </c>
      <c r="M74" s="15">
        <v>0</v>
      </c>
      <c r="N74" s="57" t="s">
        <v>364</v>
      </c>
      <c r="O74" s="15">
        <v>0</v>
      </c>
      <c r="P74" s="6">
        <v>1951.1999999999998</v>
      </c>
      <c r="Q74" s="53">
        <v>677.55523985239847</v>
      </c>
      <c r="R74" s="6">
        <v>1322045.7839999998</v>
      </c>
      <c r="S74" s="15">
        <v>0</v>
      </c>
      <c r="T74" s="15" t="s">
        <v>364</v>
      </c>
      <c r="U74" s="15">
        <v>0</v>
      </c>
      <c r="V74" s="6">
        <v>1084</v>
      </c>
      <c r="W74" s="6">
        <v>0</v>
      </c>
      <c r="X74" s="6">
        <v>734469.87999999989</v>
      </c>
      <c r="Y74" s="15">
        <v>0</v>
      </c>
      <c r="Z74" s="15">
        <v>0</v>
      </c>
      <c r="AA74" s="17" t="s">
        <v>364</v>
      </c>
      <c r="AB74" s="17" t="s">
        <v>364</v>
      </c>
      <c r="AC74" s="17">
        <v>0.34658385093167704</v>
      </c>
      <c r="AD74" s="17">
        <v>0.26007480124485721</v>
      </c>
      <c r="AE74" s="17">
        <v>-5.9209257473481339E-2</v>
      </c>
      <c r="AF74" s="17">
        <v>-0.11740503582033129</v>
      </c>
      <c r="AG74" s="54"/>
      <c r="AH74" s="55"/>
    </row>
    <row r="75" spans="2:34" collapsed="1" x14ac:dyDescent="0.25">
      <c r="B75" s="51"/>
      <c r="C75" s="52" t="s">
        <v>50</v>
      </c>
      <c r="D75" s="6">
        <v>306</v>
      </c>
      <c r="E75" s="53">
        <v>509.59150326797385</v>
      </c>
      <c r="F75" s="6">
        <v>155935</v>
      </c>
      <c r="G75" s="6">
        <v>465.5555555555556</v>
      </c>
      <c r="H75" s="53">
        <v>478.94126491646773</v>
      </c>
      <c r="I75" s="6">
        <v>222973.76666666666</v>
      </c>
      <c r="J75" s="6">
        <v>486</v>
      </c>
      <c r="K75" s="53">
        <v>461.97681069958844</v>
      </c>
      <c r="L75" s="6">
        <v>224520.72999999998</v>
      </c>
      <c r="M75" s="6">
        <v>548.23838404842081</v>
      </c>
      <c r="N75" s="53">
        <v>520.66465058612266</v>
      </c>
      <c r="O75" s="6">
        <v>285448.34666847152</v>
      </c>
      <c r="P75" s="6">
        <v>874.8</v>
      </c>
      <c r="Q75" s="53">
        <v>461.97681069958844</v>
      </c>
      <c r="R75" s="6">
        <v>404137.31399999995</v>
      </c>
      <c r="S75" s="6">
        <v>677</v>
      </c>
      <c r="T75" s="6">
        <v>568.97784342688328</v>
      </c>
      <c r="U75" s="6">
        <v>385198</v>
      </c>
      <c r="V75" s="6">
        <v>-62.238384048420812</v>
      </c>
      <c r="W75" s="6">
        <v>-58.687839886534221</v>
      </c>
      <c r="X75" s="6">
        <v>-60927.616668471543</v>
      </c>
      <c r="Y75" s="6">
        <v>-28522.290184855632</v>
      </c>
      <c r="Z75" s="6">
        <v>-32405.326483615932</v>
      </c>
      <c r="AA75" s="8">
        <v>0.88647569039433793</v>
      </c>
      <c r="AB75" s="8">
        <v>0.78655466959409381</v>
      </c>
      <c r="AC75" s="8">
        <v>0.58823529411764708</v>
      </c>
      <c r="AD75" s="8">
        <v>0.43983538012633455</v>
      </c>
      <c r="AE75" s="8">
        <v>4.3914081145584628E-2</v>
      </c>
      <c r="AF75" s="8">
        <v>6.9378714655968588E-3</v>
      </c>
      <c r="AG75" s="54"/>
      <c r="AH75" s="55"/>
    </row>
    <row r="76" spans="2:34" hidden="1" outlineLevel="1" x14ac:dyDescent="0.25">
      <c r="B76" s="51"/>
      <c r="C76" s="56" t="s">
        <v>362</v>
      </c>
      <c r="D76" s="15">
        <v>103</v>
      </c>
      <c r="E76" s="57">
        <v>533.09708737864082</v>
      </c>
      <c r="F76" s="15">
        <v>54909</v>
      </c>
      <c r="G76" s="15">
        <v>201.66666666666669</v>
      </c>
      <c r="H76" s="57">
        <v>401.79980716253442</v>
      </c>
      <c r="I76" s="15">
        <v>81029.627777777787</v>
      </c>
      <c r="J76" s="15">
        <v>164</v>
      </c>
      <c r="K76" s="57">
        <v>484.6906097560975</v>
      </c>
      <c r="L76" s="15">
        <v>79489.259999999995</v>
      </c>
      <c r="M76" s="15">
        <v>203.02327579163841</v>
      </c>
      <c r="N76" s="57">
        <v>502.80945981152547</v>
      </c>
      <c r="O76" s="15">
        <v>102082.02362996007</v>
      </c>
      <c r="P76" s="6">
        <v>295.2</v>
      </c>
      <c r="Q76" s="53">
        <v>484.6906097560975</v>
      </c>
      <c r="R76" s="6">
        <v>143080.66799999998</v>
      </c>
      <c r="S76" s="15">
        <v>250.70619225158046</v>
      </c>
      <c r="T76" s="15">
        <v>549.46584481228672</v>
      </c>
      <c r="U76" s="15">
        <v>137754.48972518623</v>
      </c>
      <c r="V76" s="6">
        <v>-39.023275791638412</v>
      </c>
      <c r="W76" s="6">
        <v>-18.11885005542797</v>
      </c>
      <c r="X76" s="6">
        <v>-22592.763629960071</v>
      </c>
      <c r="Y76" s="15">
        <v>667.1943577752586</v>
      </c>
      <c r="Z76" s="15">
        <v>-23259.957987735332</v>
      </c>
      <c r="AA76" s="17">
        <v>0.80778915304426591</v>
      </c>
      <c r="AB76" s="17">
        <v>0.77868029231221747</v>
      </c>
      <c r="AC76" s="17">
        <v>0.59223300970873782</v>
      </c>
      <c r="AD76" s="17">
        <v>0.44765448287166026</v>
      </c>
      <c r="AE76" s="17">
        <v>-0.18677685950413231</v>
      </c>
      <c r="AF76" s="17">
        <v>-1.9009932786587906E-2</v>
      </c>
      <c r="AG76" s="54"/>
      <c r="AH76" s="55"/>
    </row>
    <row r="77" spans="2:34" hidden="1" outlineLevel="1" x14ac:dyDescent="0.25">
      <c r="B77" s="51"/>
      <c r="C77" s="56" t="s">
        <v>363</v>
      </c>
      <c r="D77" s="15">
        <v>203</v>
      </c>
      <c r="E77" s="57">
        <v>497.67487684729065</v>
      </c>
      <c r="F77" s="15">
        <v>101028</v>
      </c>
      <c r="G77" s="15">
        <v>263.88888888888891</v>
      </c>
      <c r="H77" s="57">
        <v>537.89357894736827</v>
      </c>
      <c r="I77" s="15">
        <v>141944.13888888888</v>
      </c>
      <c r="J77" s="15">
        <v>322</v>
      </c>
      <c r="K77" s="57">
        <v>450.40829192546585</v>
      </c>
      <c r="L77" s="15">
        <v>145031.47</v>
      </c>
      <c r="M77" s="15">
        <v>345.2151082567824</v>
      </c>
      <c r="N77" s="57">
        <v>531.16540572180725</v>
      </c>
      <c r="O77" s="15">
        <v>183366.32303851144</v>
      </c>
      <c r="P77" s="6">
        <v>579.6</v>
      </c>
      <c r="Q77" s="53">
        <v>450.40829192546579</v>
      </c>
      <c r="R77" s="6">
        <v>261056.64599999998</v>
      </c>
      <c r="S77" s="15">
        <v>426.29380774841951</v>
      </c>
      <c r="T77" s="15">
        <v>580.45297815079789</v>
      </c>
      <c r="U77" s="15">
        <v>247443.51027481377</v>
      </c>
      <c r="V77" s="6">
        <v>-23.215108256782401</v>
      </c>
      <c r="W77" s="6">
        <v>-80.7571137963414</v>
      </c>
      <c r="X77" s="6">
        <v>-38334.853038511443</v>
      </c>
      <c r="Y77" s="15">
        <v>-35710.484106906319</v>
      </c>
      <c r="Z77" s="15">
        <v>-2624.3689316051205</v>
      </c>
      <c r="AA77" s="17">
        <v>0.93275176056456299</v>
      </c>
      <c r="AB77" s="17">
        <v>0.7909384209527931</v>
      </c>
      <c r="AC77" s="17">
        <v>0.58620689655172409</v>
      </c>
      <c r="AD77" s="17">
        <v>0.43555717226907392</v>
      </c>
      <c r="AE77" s="17">
        <v>0.22021052631578936</v>
      </c>
      <c r="AF77" s="17">
        <v>2.1750324707157005E-2</v>
      </c>
      <c r="AG77" s="54"/>
      <c r="AH77" s="55"/>
    </row>
    <row r="78" spans="2:34" collapsed="1" x14ac:dyDescent="0.25">
      <c r="B78" s="51"/>
      <c r="C78" s="52" t="s">
        <v>51</v>
      </c>
      <c r="D78" s="6">
        <v>140</v>
      </c>
      <c r="E78" s="53">
        <v>351.39285714285717</v>
      </c>
      <c r="F78" s="6">
        <v>49195</v>
      </c>
      <c r="G78" s="6">
        <v>150.55555555555557</v>
      </c>
      <c r="H78" s="53">
        <v>401.81313653136527</v>
      </c>
      <c r="I78" s="6">
        <v>60495.200000000004</v>
      </c>
      <c r="J78" s="6">
        <v>167</v>
      </c>
      <c r="K78" s="53">
        <v>327.45131736526946</v>
      </c>
      <c r="L78" s="6">
        <v>54684.37</v>
      </c>
      <c r="M78" s="6">
        <v>127.45833333333333</v>
      </c>
      <c r="N78" s="53">
        <v>411.98977477477484</v>
      </c>
      <c r="O78" s="6">
        <v>52511.530043168175</v>
      </c>
      <c r="P78" s="6">
        <v>300.59999999999997</v>
      </c>
      <c r="Q78" s="53">
        <v>327.45131736526946</v>
      </c>
      <c r="R78" s="6">
        <v>98431.865999999995</v>
      </c>
      <c r="S78" s="6">
        <v>244</v>
      </c>
      <c r="T78" s="6">
        <v>499.18032786885249</v>
      </c>
      <c r="U78" s="6">
        <v>121800</v>
      </c>
      <c r="V78" s="6">
        <v>39.541666666666671</v>
      </c>
      <c r="W78" s="6">
        <v>-84.538457409505384</v>
      </c>
      <c r="X78" s="6">
        <v>2172.8399568318273</v>
      </c>
      <c r="Y78" s="6">
        <v>-14117.9223873874</v>
      </c>
      <c r="Z78" s="6">
        <v>16290.762344219223</v>
      </c>
      <c r="AA78" s="8">
        <v>1.3102321019941159</v>
      </c>
      <c r="AB78" s="8">
        <v>1.041378340243478</v>
      </c>
      <c r="AC78" s="8">
        <v>0.19285714285714287</v>
      </c>
      <c r="AD78" s="8">
        <v>0.11158390080292718</v>
      </c>
      <c r="AE78" s="8">
        <v>0.10922509225092239</v>
      </c>
      <c r="AF78" s="8">
        <v>-9.6054397704280689E-2</v>
      </c>
      <c r="AG78" s="54"/>
      <c r="AH78" s="55"/>
    </row>
    <row r="79" spans="2:34" hidden="1" outlineLevel="1" x14ac:dyDescent="0.25">
      <c r="B79" s="51"/>
      <c r="C79" s="56" t="s">
        <v>362</v>
      </c>
      <c r="D79" s="15">
        <v>93</v>
      </c>
      <c r="E79" s="57">
        <v>355.98924731182797</v>
      </c>
      <c r="F79" s="15">
        <v>33107</v>
      </c>
      <c r="G79" s="15">
        <v>111.66666666666667</v>
      </c>
      <c r="H79" s="57">
        <v>394.18860696517413</v>
      </c>
      <c r="I79" s="15">
        <v>44017.727777777778</v>
      </c>
      <c r="J79" s="15">
        <v>133</v>
      </c>
      <c r="K79" s="57">
        <v>330.97052631578941</v>
      </c>
      <c r="L79" s="15">
        <v>44019.079999999994</v>
      </c>
      <c r="M79" s="15">
        <v>89.360990780850827</v>
      </c>
      <c r="N79" s="57">
        <v>405.90396331730079</v>
      </c>
      <c r="O79" s="15">
        <v>36271.98032390813</v>
      </c>
      <c r="P79" s="6">
        <v>239.39999999999998</v>
      </c>
      <c r="Q79" s="53">
        <v>330.97052631578941</v>
      </c>
      <c r="R79" s="6">
        <v>79234.343999999983</v>
      </c>
      <c r="S79" s="15">
        <v>171.06831056314562</v>
      </c>
      <c r="T79" s="15">
        <v>491.80655904085023</v>
      </c>
      <c r="U79" s="15">
        <v>84132.517178992173</v>
      </c>
      <c r="V79" s="6">
        <v>43.639009219149173</v>
      </c>
      <c r="W79" s="6">
        <v>-74.933437001511379</v>
      </c>
      <c r="X79" s="6">
        <v>7747.0996760918642</v>
      </c>
      <c r="Y79" s="15">
        <v>-9966.1471212010129</v>
      </c>
      <c r="Z79" s="15">
        <v>17713.246797292879</v>
      </c>
      <c r="AA79" s="17">
        <v>1.4883451810216566</v>
      </c>
      <c r="AB79" s="17">
        <v>1.2135835873010077</v>
      </c>
      <c r="AC79" s="17">
        <v>0.43010752688172044</v>
      </c>
      <c r="AD79" s="17">
        <v>0.32960038662518482</v>
      </c>
      <c r="AE79" s="17">
        <v>0.19104477611940293</v>
      </c>
      <c r="AF79" s="17">
        <v>3.0719946041808966E-5</v>
      </c>
      <c r="AG79" s="54"/>
      <c r="AH79" s="55"/>
    </row>
    <row r="80" spans="2:34" hidden="1" outlineLevel="1" x14ac:dyDescent="0.25">
      <c r="B80" s="51"/>
      <c r="C80" s="56" t="s">
        <v>363</v>
      </c>
      <c r="D80" s="15">
        <v>47</v>
      </c>
      <c r="E80" s="57">
        <v>342.29787234042556</v>
      </c>
      <c r="F80" s="15">
        <v>16088</v>
      </c>
      <c r="G80" s="15">
        <v>38.888888888888893</v>
      </c>
      <c r="H80" s="57">
        <v>423.70642857142843</v>
      </c>
      <c r="I80" s="15">
        <v>16477.472222222219</v>
      </c>
      <c r="J80" s="15">
        <v>34</v>
      </c>
      <c r="K80" s="57">
        <v>313.68499999999995</v>
      </c>
      <c r="L80" s="15">
        <v>10665.289999999999</v>
      </c>
      <c r="M80" s="15">
        <v>38.097342552482502</v>
      </c>
      <c r="N80" s="57">
        <v>426.26463241861586</v>
      </c>
      <c r="O80" s="15">
        <v>16239.549719260047</v>
      </c>
      <c r="P80" s="6">
        <v>61.199999999999996</v>
      </c>
      <c r="Q80" s="53">
        <v>313.685</v>
      </c>
      <c r="R80" s="6">
        <v>19197.521999999997</v>
      </c>
      <c r="S80" s="15">
        <v>72.931689436854384</v>
      </c>
      <c r="T80" s="15">
        <v>516.47621372628475</v>
      </c>
      <c r="U80" s="15">
        <v>37667.482821007827</v>
      </c>
      <c r="V80" s="6">
        <v>-4.0973425524825018</v>
      </c>
      <c r="W80" s="6">
        <v>-112.57963241861592</v>
      </c>
      <c r="X80" s="6">
        <v>-5574.2597192600479</v>
      </c>
      <c r="Y80" s="15">
        <v>-3827.7075022329409</v>
      </c>
      <c r="Z80" s="15">
        <v>-1746.552217027107</v>
      </c>
      <c r="AA80" s="17">
        <v>0.89245069923609377</v>
      </c>
      <c r="AB80" s="17">
        <v>0.65674788921955174</v>
      </c>
      <c r="AC80" s="17">
        <v>-0.27659574468085107</v>
      </c>
      <c r="AD80" s="17">
        <v>-0.33706551466931883</v>
      </c>
      <c r="AE80" s="17">
        <v>-0.12571428571428581</v>
      </c>
      <c r="AF80" s="17">
        <v>-0.35273506420382028</v>
      </c>
      <c r="AG80" s="54"/>
      <c r="AH80" s="55"/>
    </row>
    <row r="81" spans="1:38" collapsed="1" x14ac:dyDescent="0.25">
      <c r="B81" s="51"/>
      <c r="C81" s="52" t="s">
        <v>52</v>
      </c>
      <c r="D81" s="6">
        <v>176</v>
      </c>
      <c r="E81" s="53">
        <v>1100.8522727272727</v>
      </c>
      <c r="F81" s="6">
        <v>193750</v>
      </c>
      <c r="G81" s="6">
        <v>196.11111111111111</v>
      </c>
      <c r="H81" s="53">
        <v>873.32286118980187</v>
      </c>
      <c r="I81" s="6">
        <v>171268.31666666671</v>
      </c>
      <c r="J81" s="6">
        <v>117</v>
      </c>
      <c r="K81" s="53">
        <v>914.41632478632482</v>
      </c>
      <c r="L81" s="6">
        <v>106986.71</v>
      </c>
      <c r="M81" s="6">
        <v>178.88888888888889</v>
      </c>
      <c r="N81" s="53">
        <v>931.93886274509794</v>
      </c>
      <c r="O81" s="6">
        <v>166713.5076688453</v>
      </c>
      <c r="P81" s="6">
        <v>210.6</v>
      </c>
      <c r="Q81" s="53">
        <v>914.41632478632482</v>
      </c>
      <c r="R81" s="6">
        <v>192576.07800000001</v>
      </c>
      <c r="S81" s="6">
        <v>376</v>
      </c>
      <c r="T81" s="6">
        <v>867.99468085106378</v>
      </c>
      <c r="U81" s="6">
        <v>326366</v>
      </c>
      <c r="V81" s="6">
        <v>-61.888888888888886</v>
      </c>
      <c r="W81" s="6">
        <v>-17.522537958773114</v>
      </c>
      <c r="X81" s="6">
        <v>-59726.797668845291</v>
      </c>
      <c r="Y81" s="6">
        <v>-2050.1369411764545</v>
      </c>
      <c r="Z81" s="6">
        <v>-57676.660727668837</v>
      </c>
      <c r="AA81" s="8">
        <v>0.65403726708074539</v>
      </c>
      <c r="AB81" s="8">
        <v>0.64173990155923777</v>
      </c>
      <c r="AC81" s="8">
        <v>-0.33522727272727271</v>
      </c>
      <c r="AD81" s="8">
        <v>-0.44781052903225804</v>
      </c>
      <c r="AE81" s="8">
        <v>-0.40339943342776202</v>
      </c>
      <c r="AF81" s="8">
        <v>-0.37532690177469108</v>
      </c>
      <c r="AG81" s="54"/>
      <c r="AH81" s="55"/>
    </row>
    <row r="82" spans="1:38" hidden="1" outlineLevel="1" x14ac:dyDescent="0.25">
      <c r="B82" s="51"/>
      <c r="C82" s="56" t="s">
        <v>362</v>
      </c>
      <c r="D82" s="15">
        <v>81</v>
      </c>
      <c r="E82" s="57">
        <v>1032.4197530864199</v>
      </c>
      <c r="F82" s="15">
        <v>83626</v>
      </c>
      <c r="G82" s="15">
        <v>121.11111111111111</v>
      </c>
      <c r="H82" s="57">
        <v>749.9773394495412</v>
      </c>
      <c r="I82" s="15">
        <v>90830.588888888888</v>
      </c>
      <c r="J82" s="15">
        <v>62</v>
      </c>
      <c r="K82" s="57">
        <v>664.3767741935485</v>
      </c>
      <c r="L82" s="15">
        <v>41191.360000000008</v>
      </c>
      <c r="M82" s="15">
        <v>95.20191016923043</v>
      </c>
      <c r="N82" s="57">
        <v>890.29804318798949</v>
      </c>
      <c r="O82" s="15">
        <v>84758.074331424606</v>
      </c>
      <c r="P82" s="6">
        <v>111.6</v>
      </c>
      <c r="Q82" s="53">
        <v>664.3767741935485</v>
      </c>
      <c r="R82" s="6">
        <v>74144.448000000004</v>
      </c>
      <c r="S82" s="15">
        <v>200.10140621905327</v>
      </c>
      <c r="T82" s="15">
        <v>829.21101024054315</v>
      </c>
      <c r="U82" s="15">
        <v>165926.28920145446</v>
      </c>
      <c r="V82" s="6">
        <v>-33.20191016923043</v>
      </c>
      <c r="W82" s="6">
        <v>-225.92126899444099</v>
      </c>
      <c r="X82" s="6">
        <v>-43566.714331424599</v>
      </c>
      <c r="Y82" s="15">
        <v>-14007.118677655342</v>
      </c>
      <c r="Z82" s="15">
        <v>-29559.595653769262</v>
      </c>
      <c r="AA82" s="17">
        <v>0.65124743705025578</v>
      </c>
      <c r="AB82" s="17">
        <v>0.4859874451480789</v>
      </c>
      <c r="AC82" s="17">
        <v>-0.23456790123456789</v>
      </c>
      <c r="AD82" s="17">
        <v>-0.50743357329060335</v>
      </c>
      <c r="AE82" s="17">
        <v>-0.48807339449541287</v>
      </c>
      <c r="AF82" s="17">
        <v>-0.54650343563897275</v>
      </c>
      <c r="AG82" s="54"/>
      <c r="AH82" s="55"/>
    </row>
    <row r="83" spans="1:38" hidden="1" outlineLevel="1" x14ac:dyDescent="0.25">
      <c r="B83" s="51"/>
      <c r="C83" s="56" t="s">
        <v>363</v>
      </c>
      <c r="D83" s="15">
        <v>95</v>
      </c>
      <c r="E83" s="57">
        <v>1159.2</v>
      </c>
      <c r="F83" s="15">
        <v>110124</v>
      </c>
      <c r="G83" s="15">
        <v>75</v>
      </c>
      <c r="H83" s="57">
        <v>1072.5030370370375</v>
      </c>
      <c r="I83" s="15">
        <v>80437.727777777822</v>
      </c>
      <c r="J83" s="15">
        <v>55</v>
      </c>
      <c r="K83" s="57">
        <v>1196.2790909090911</v>
      </c>
      <c r="L83" s="15">
        <v>65795.350000000006</v>
      </c>
      <c r="M83" s="15">
        <v>83.686978719658455</v>
      </c>
      <c r="N83" s="57">
        <v>979.30926162314643</v>
      </c>
      <c r="O83" s="15">
        <v>81955.433337420691</v>
      </c>
      <c r="P83" s="6">
        <v>99</v>
      </c>
      <c r="Q83" s="53">
        <v>1196.2790909090909</v>
      </c>
      <c r="R83" s="6">
        <v>118431.63</v>
      </c>
      <c r="S83" s="15">
        <v>175.89859378094673</v>
      </c>
      <c r="T83" s="15">
        <v>912.11480063534373</v>
      </c>
      <c r="U83" s="15">
        <v>160439.71079854554</v>
      </c>
      <c r="V83" s="6">
        <v>-28.686978719658455</v>
      </c>
      <c r="W83" s="6">
        <v>216.96982928594468</v>
      </c>
      <c r="X83" s="6">
        <v>-16160.083337420685</v>
      </c>
      <c r="Y83" s="15">
        <v>11933.340610726958</v>
      </c>
      <c r="Z83" s="15">
        <v>-28093.423948147636</v>
      </c>
      <c r="AA83" s="17">
        <v>0.65721096449476968</v>
      </c>
      <c r="AB83" s="17">
        <v>0.80281864570360317</v>
      </c>
      <c r="AC83" s="17">
        <v>-0.42105263157894735</v>
      </c>
      <c r="AD83" s="17">
        <v>-0.40253396171588385</v>
      </c>
      <c r="AE83" s="17">
        <v>-0.26666666666666666</v>
      </c>
      <c r="AF83" s="17">
        <v>-0.18203370709612463</v>
      </c>
      <c r="AG83" s="54"/>
      <c r="AH83" s="55"/>
    </row>
    <row r="84" spans="1:38" collapsed="1" x14ac:dyDescent="0.25">
      <c r="B84" s="51"/>
      <c r="C84" s="52" t="s">
        <v>53</v>
      </c>
      <c r="D84" s="6">
        <v>54</v>
      </c>
      <c r="E84" s="53">
        <v>626.5</v>
      </c>
      <c r="F84" s="6">
        <v>33831</v>
      </c>
      <c r="G84" s="6">
        <v>53.888888888888893</v>
      </c>
      <c r="H84" s="53">
        <v>653.23247422680402</v>
      </c>
      <c r="I84" s="6">
        <v>35201.972222222219</v>
      </c>
      <c r="J84" s="6">
        <v>61</v>
      </c>
      <c r="K84" s="53">
        <v>506.73901639344257</v>
      </c>
      <c r="L84" s="6">
        <v>30911.079999999998</v>
      </c>
      <c r="M84" s="6">
        <v>58.888888888888893</v>
      </c>
      <c r="N84" s="53">
        <v>761.92797872340429</v>
      </c>
      <c r="O84" s="6">
        <v>44869.092080378257</v>
      </c>
      <c r="P84" s="6">
        <v>109.8</v>
      </c>
      <c r="Q84" s="53">
        <v>506.73901639344263</v>
      </c>
      <c r="R84" s="6">
        <v>55639.943999999996</v>
      </c>
      <c r="S84" s="6">
        <v>107</v>
      </c>
      <c r="T84" s="6">
        <v>610.62616822429902</v>
      </c>
      <c r="U84" s="6">
        <v>65337</v>
      </c>
      <c r="V84" s="6">
        <v>2.1111111111111072</v>
      </c>
      <c r="W84" s="6">
        <v>-255.18896232996173</v>
      </c>
      <c r="X84" s="6">
        <v>-13958.012080378259</v>
      </c>
      <c r="Y84" s="6">
        <v>-15566.526702127665</v>
      </c>
      <c r="Z84" s="6">
        <v>1608.5146217494062</v>
      </c>
      <c r="AA84" s="8">
        <v>1.0358490566037735</v>
      </c>
      <c r="AB84" s="8">
        <v>0.68891699311913979</v>
      </c>
      <c r="AC84" s="8">
        <v>0.12962962962962962</v>
      </c>
      <c r="AD84" s="8">
        <v>-8.630900653247027E-2</v>
      </c>
      <c r="AE84" s="8">
        <v>0.13195876288659786</v>
      </c>
      <c r="AF84" s="8">
        <v>-0.12189351764539705</v>
      </c>
      <c r="AG84" s="54"/>
      <c r="AH84" s="55"/>
    </row>
    <row r="85" spans="1:38" hidden="1" outlineLevel="1" x14ac:dyDescent="0.25">
      <c r="B85" s="51"/>
      <c r="C85" s="56" t="s">
        <v>362</v>
      </c>
      <c r="D85" s="15">
        <v>24</v>
      </c>
      <c r="E85" s="57">
        <v>448.79166666666669</v>
      </c>
      <c r="F85" s="15">
        <v>10771</v>
      </c>
      <c r="G85" s="15">
        <v>25.555555555555557</v>
      </c>
      <c r="H85" s="57">
        <v>500.99282608695648</v>
      </c>
      <c r="I85" s="15">
        <v>12803.15</v>
      </c>
      <c r="J85" s="15">
        <v>29</v>
      </c>
      <c r="K85" s="57">
        <v>387.09172413793107</v>
      </c>
      <c r="L85" s="15">
        <v>11225.660000000002</v>
      </c>
      <c r="M85" s="15">
        <v>0</v>
      </c>
      <c r="N85" s="57" t="s">
        <v>364</v>
      </c>
      <c r="O85" s="15">
        <v>0</v>
      </c>
      <c r="P85" s="6">
        <v>52.199999999999996</v>
      </c>
      <c r="Q85" s="53">
        <v>387.09172413793112</v>
      </c>
      <c r="R85" s="6">
        <v>20206.188000000002</v>
      </c>
      <c r="S85" s="15">
        <v>0</v>
      </c>
      <c r="T85" s="15" t="s">
        <v>364</v>
      </c>
      <c r="U85" s="15">
        <v>0</v>
      </c>
      <c r="V85" s="6">
        <v>29</v>
      </c>
      <c r="W85" s="6">
        <v>0</v>
      </c>
      <c r="X85" s="6">
        <v>11225.660000000002</v>
      </c>
      <c r="Y85" s="15">
        <v>0</v>
      </c>
      <c r="Z85" s="15">
        <v>0</v>
      </c>
      <c r="AA85" s="17" t="s">
        <v>364</v>
      </c>
      <c r="AB85" s="17" t="s">
        <v>364</v>
      </c>
      <c r="AC85" s="17">
        <v>0.20833333333333334</v>
      </c>
      <c r="AD85" s="17">
        <v>4.2211493826014454E-2</v>
      </c>
      <c r="AE85" s="17">
        <v>0.13478260869565212</v>
      </c>
      <c r="AF85" s="17">
        <v>-0.12321108477210671</v>
      </c>
      <c r="AG85" s="54"/>
      <c r="AH85" s="55"/>
    </row>
    <row r="86" spans="1:38" hidden="1" outlineLevel="1" x14ac:dyDescent="0.25">
      <c r="B86" s="51"/>
      <c r="C86" s="56" t="s">
        <v>363</v>
      </c>
      <c r="D86" s="15">
        <v>30</v>
      </c>
      <c r="E86" s="57">
        <v>768.66666666666663</v>
      </c>
      <c r="F86" s="15">
        <v>23060</v>
      </c>
      <c r="G86" s="15">
        <v>28.333333333333336</v>
      </c>
      <c r="H86" s="57">
        <v>790.5466666666664</v>
      </c>
      <c r="I86" s="15">
        <v>22398.822222222218</v>
      </c>
      <c r="J86" s="15">
        <v>32</v>
      </c>
      <c r="K86" s="57">
        <v>615.16937499999995</v>
      </c>
      <c r="L86" s="15">
        <v>19685.419999999998</v>
      </c>
      <c r="M86" s="15">
        <v>0</v>
      </c>
      <c r="N86" s="57" t="s">
        <v>364</v>
      </c>
      <c r="O86" s="15">
        <v>0</v>
      </c>
      <c r="P86" s="6">
        <v>57.599999999999994</v>
      </c>
      <c r="Q86" s="53">
        <v>615.16937499999995</v>
      </c>
      <c r="R86" s="6">
        <v>35433.755999999994</v>
      </c>
      <c r="S86" s="15">
        <v>0</v>
      </c>
      <c r="T86" s="15" t="s">
        <v>364</v>
      </c>
      <c r="U86" s="15">
        <v>0</v>
      </c>
      <c r="V86" s="6">
        <v>32</v>
      </c>
      <c r="W86" s="6">
        <v>0</v>
      </c>
      <c r="X86" s="6">
        <v>19685.419999999998</v>
      </c>
      <c r="Y86" s="15">
        <v>0</v>
      </c>
      <c r="Z86" s="15">
        <v>0</v>
      </c>
      <c r="AA86" s="17" t="s">
        <v>364</v>
      </c>
      <c r="AB86" s="17" t="s">
        <v>364</v>
      </c>
      <c r="AC86" s="17">
        <v>6.6666666666666666E-2</v>
      </c>
      <c r="AD86" s="17">
        <v>-0.14633911535125765</v>
      </c>
      <c r="AE86" s="17">
        <v>0.12941176470588225</v>
      </c>
      <c r="AF86" s="17">
        <v>-0.12114039726295121</v>
      </c>
      <c r="AG86" s="54"/>
      <c r="AH86" s="55"/>
    </row>
    <row r="87" spans="1:38" x14ac:dyDescent="0.25">
      <c r="C87"/>
      <c r="D87"/>
      <c r="E87"/>
      <c r="F87"/>
      <c r="G87"/>
      <c r="H87"/>
      <c r="I87"/>
      <c r="J87"/>
      <c r="K87"/>
      <c r="L87"/>
      <c r="M87"/>
      <c r="N87"/>
      <c r="O87"/>
      <c r="P87"/>
      <c r="Q87"/>
      <c r="R87"/>
      <c r="S87"/>
      <c r="T87"/>
      <c r="U87"/>
      <c r="V87"/>
      <c r="W87"/>
      <c r="X87"/>
      <c r="Y87"/>
      <c r="Z87"/>
      <c r="AA87"/>
      <c r="AB87"/>
    </row>
    <row r="88" spans="1:38" x14ac:dyDescent="0.25">
      <c r="C88"/>
      <c r="D88"/>
      <c r="E88"/>
      <c r="F88"/>
      <c r="G88"/>
      <c r="H88"/>
      <c r="I88"/>
      <c r="J88"/>
      <c r="K88"/>
      <c r="L88"/>
      <c r="M88"/>
      <c r="N88"/>
      <c r="O88"/>
      <c r="P88"/>
      <c r="Q88"/>
      <c r="R88"/>
      <c r="S88"/>
      <c r="T88"/>
      <c r="U88"/>
      <c r="V88"/>
      <c r="W88"/>
      <c r="X88"/>
      <c r="Y88"/>
      <c r="Z88"/>
      <c r="AA88"/>
      <c r="AB88"/>
    </row>
    <row r="89" spans="1:38" x14ac:dyDescent="0.25">
      <c r="A89" s="58"/>
      <c r="B89" s="58"/>
      <c r="C89" s="59">
        <v>0.55555555555555558</v>
      </c>
      <c r="D89" s="136" t="s">
        <v>30</v>
      </c>
      <c r="E89" s="137"/>
      <c r="F89" s="138"/>
      <c r="G89" s="136" t="s">
        <v>31</v>
      </c>
      <c r="H89" s="137"/>
      <c r="I89" s="138"/>
      <c r="J89" s="136" t="s">
        <v>357</v>
      </c>
      <c r="K89" s="137"/>
      <c r="L89" s="137"/>
      <c r="M89" s="105" t="s">
        <v>358</v>
      </c>
      <c r="N89" s="106"/>
      <c r="O89" s="107"/>
      <c r="P89" s="136" t="s">
        <v>3</v>
      </c>
      <c r="Q89" s="137"/>
      <c r="R89" s="137"/>
      <c r="S89" s="137"/>
      <c r="T89" s="137"/>
      <c r="U89" s="60"/>
      <c r="V89" s="60"/>
      <c r="W89" s="60"/>
      <c r="X89" s="60"/>
      <c r="Y89" s="60"/>
      <c r="Z89" s="60"/>
      <c r="AA89" s="60"/>
      <c r="AB89"/>
      <c r="AK89" s="3"/>
      <c r="AL89" s="61"/>
    </row>
    <row r="90" spans="1:38" x14ac:dyDescent="0.25">
      <c r="A90" s="58"/>
      <c r="B90" s="58"/>
      <c r="C90" s="58"/>
      <c r="D90" s="141" t="s">
        <v>20</v>
      </c>
      <c r="E90" s="141" t="s">
        <v>5</v>
      </c>
      <c r="F90" s="141" t="s">
        <v>5</v>
      </c>
      <c r="G90" s="141" t="s">
        <v>360</v>
      </c>
      <c r="H90" s="141" t="s">
        <v>360</v>
      </c>
      <c r="I90" s="141" t="s">
        <v>360</v>
      </c>
      <c r="J90" s="124" t="s">
        <v>17</v>
      </c>
      <c r="K90" s="125"/>
      <c r="L90" s="125"/>
      <c r="M90" s="124" t="s">
        <v>17</v>
      </c>
      <c r="N90" s="125"/>
      <c r="O90" s="126"/>
      <c r="P90" s="124" t="s">
        <v>17</v>
      </c>
      <c r="Q90" s="125"/>
      <c r="R90" s="125"/>
      <c r="S90" s="125"/>
      <c r="T90" s="126"/>
      <c r="U90" s="139" t="s">
        <v>6</v>
      </c>
      <c r="V90" s="140"/>
      <c r="W90" s="139" t="s">
        <v>7</v>
      </c>
      <c r="X90" s="140"/>
      <c r="Y90" s="139" t="s">
        <v>8</v>
      </c>
      <c r="Z90" s="140"/>
      <c r="AA90" s="60"/>
      <c r="AB90"/>
      <c r="AK90" s="3"/>
      <c r="AL90" s="3"/>
    </row>
    <row r="91" spans="1:38" x14ac:dyDescent="0.25">
      <c r="A91" s="18" t="s">
        <v>4</v>
      </c>
      <c r="B91" s="19" t="s">
        <v>33</v>
      </c>
      <c r="C91" s="19" t="s">
        <v>34</v>
      </c>
      <c r="D91" s="20" t="s">
        <v>9</v>
      </c>
      <c r="E91" s="20" t="s">
        <v>10</v>
      </c>
      <c r="F91" s="20" t="s">
        <v>11</v>
      </c>
      <c r="G91" s="20" t="s">
        <v>9</v>
      </c>
      <c r="H91" s="20" t="s">
        <v>10</v>
      </c>
      <c r="I91" s="20" t="s">
        <v>11</v>
      </c>
      <c r="J91" s="20" t="s">
        <v>9</v>
      </c>
      <c r="K91" s="20" t="s">
        <v>10</v>
      </c>
      <c r="L91" s="20" t="s">
        <v>11</v>
      </c>
      <c r="M91" s="20" t="s">
        <v>9</v>
      </c>
      <c r="N91" s="20" t="s">
        <v>10</v>
      </c>
      <c r="O91" s="20" t="s">
        <v>11</v>
      </c>
      <c r="P91" s="20" t="s">
        <v>9</v>
      </c>
      <c r="Q91" s="20" t="s">
        <v>10</v>
      </c>
      <c r="R91" s="20" t="s">
        <v>11</v>
      </c>
      <c r="S91" s="20" t="s">
        <v>14</v>
      </c>
      <c r="T91" s="20" t="s">
        <v>15</v>
      </c>
      <c r="U91" s="20" t="s">
        <v>16</v>
      </c>
      <c r="V91" s="20" t="s">
        <v>11</v>
      </c>
      <c r="W91" s="20" t="s">
        <v>16</v>
      </c>
      <c r="X91" s="20" t="s">
        <v>11</v>
      </c>
      <c r="Y91" s="20" t="s">
        <v>16</v>
      </c>
      <c r="Z91" s="20" t="s">
        <v>11</v>
      </c>
      <c r="AA91" s="60"/>
      <c r="AB91"/>
      <c r="AK91" s="62"/>
    </row>
    <row r="92" spans="1:38" collapsed="1" x14ac:dyDescent="0.25">
      <c r="A92" s="5" t="s">
        <v>22</v>
      </c>
      <c r="B92" s="5" t="s">
        <v>35</v>
      </c>
      <c r="C92" s="5" t="s">
        <v>54</v>
      </c>
      <c r="D92" s="6">
        <v>106</v>
      </c>
      <c r="E92" s="53">
        <v>720.81132075471703</v>
      </c>
      <c r="F92" s="6">
        <v>76406</v>
      </c>
      <c r="G92" s="6">
        <v>198.33333333333334</v>
      </c>
      <c r="H92" s="53">
        <v>437.49873949579825</v>
      </c>
      <c r="I92" s="6">
        <v>86770.583333333328</v>
      </c>
      <c r="J92" s="6">
        <v>118</v>
      </c>
      <c r="K92" s="53">
        <v>725.1966949152544</v>
      </c>
      <c r="L92" s="6">
        <v>85573.210000000021</v>
      </c>
      <c r="M92" s="6">
        <v>228.08333333333334</v>
      </c>
      <c r="N92" s="6">
        <v>696.89574660633468</v>
      </c>
      <c r="O92" s="6">
        <v>158950.30487179485</v>
      </c>
      <c r="P92" s="6">
        <v>-110.08333333333334</v>
      </c>
      <c r="Q92" s="6">
        <v>28.300948308919715</v>
      </c>
      <c r="R92" s="6">
        <v>-73377.094871794834</v>
      </c>
      <c r="S92" s="6">
        <v>3339.5119004525263</v>
      </c>
      <c r="T92" s="6">
        <v>-76716.606772247353</v>
      </c>
      <c r="U92" s="8">
        <v>0.51735476799415414</v>
      </c>
      <c r="V92" s="8">
        <v>0.53836455405996941</v>
      </c>
      <c r="W92" s="8">
        <v>0.11320754716981132</v>
      </c>
      <c r="X92" s="8">
        <v>0.11998023715415047</v>
      </c>
      <c r="Y92" s="8">
        <v>-0.40504201680672269</v>
      </c>
      <c r="Z92" s="8">
        <v>-1.3799300262089293E-2</v>
      </c>
      <c r="AA92" s="63" t="s">
        <v>35</v>
      </c>
      <c r="AB92" s="64"/>
      <c r="AL92" s="65"/>
    </row>
    <row r="93" spans="1:38" hidden="1" outlineLevel="1" x14ac:dyDescent="0.25">
      <c r="A93" s="21" t="s">
        <v>22</v>
      </c>
      <c r="B93" s="21" t="s">
        <v>368</v>
      </c>
      <c r="C93" s="21" t="s">
        <v>362</v>
      </c>
      <c r="D93" s="15">
        <v>106</v>
      </c>
      <c r="E93" s="57">
        <v>720.48113207547169</v>
      </c>
      <c r="F93" s="15">
        <v>76371</v>
      </c>
      <c r="G93" s="15">
        <v>197.7777777777778</v>
      </c>
      <c r="H93" s="57">
        <v>436.84865168539324</v>
      </c>
      <c r="I93" s="15">
        <v>86398.955555555556</v>
      </c>
      <c r="J93" s="15">
        <v>116</v>
      </c>
      <c r="K93" s="57">
        <v>713.42793103448287</v>
      </c>
      <c r="L93" s="15">
        <v>82757.640000000014</v>
      </c>
      <c r="M93" s="15">
        <v>227.17403100775195</v>
      </c>
      <c r="N93" s="15">
        <v>698.25290626875062</v>
      </c>
      <c r="O93" s="15">
        <v>158624.92737995007</v>
      </c>
      <c r="P93" s="15">
        <v>-111.17403100775195</v>
      </c>
      <c r="Q93" s="15">
        <v>15.175024765732246</v>
      </c>
      <c r="R93" s="15">
        <v>-75867.287379950052</v>
      </c>
      <c r="S93" s="15">
        <v>1760.3028728249406</v>
      </c>
      <c r="T93" s="15">
        <v>-77627.590252775</v>
      </c>
      <c r="U93" s="17">
        <v>0.51062174441955333</v>
      </c>
      <c r="V93" s="17">
        <v>0.52171900953355732</v>
      </c>
      <c r="W93" s="17">
        <v>9.4339622641509441E-2</v>
      </c>
      <c r="X93" s="17">
        <v>8.3626507443925233E-2</v>
      </c>
      <c r="Y93" s="17">
        <v>-0.41348314606741582</v>
      </c>
      <c r="Z93" s="17">
        <v>-4.2145365440374255E-2</v>
      </c>
      <c r="AA93" s="63" t="s">
        <v>369</v>
      </c>
      <c r="AB93" s="64"/>
      <c r="AL93" s="65"/>
    </row>
    <row r="94" spans="1:38" hidden="1" outlineLevel="1" x14ac:dyDescent="0.25">
      <c r="A94" s="21" t="s">
        <v>22</v>
      </c>
      <c r="B94" s="21" t="s">
        <v>370</v>
      </c>
      <c r="C94" s="21" t="s">
        <v>363</v>
      </c>
      <c r="D94" s="15">
        <v>1</v>
      </c>
      <c r="E94" s="57">
        <v>34</v>
      </c>
      <c r="F94" s="15">
        <v>34</v>
      </c>
      <c r="G94" s="15">
        <v>0.55555555555555558</v>
      </c>
      <c r="H94" s="57">
        <v>668.93000000000006</v>
      </c>
      <c r="I94" s="15">
        <v>371.62777777777785</v>
      </c>
      <c r="J94" s="15">
        <v>2</v>
      </c>
      <c r="K94" s="57">
        <v>1407.7849999999999</v>
      </c>
      <c r="L94" s="15">
        <v>2815.5699999999997</v>
      </c>
      <c r="M94" s="15">
        <v>0.90930232558139534</v>
      </c>
      <c r="N94" s="15">
        <v>357.83202427943769</v>
      </c>
      <c r="O94" s="15">
        <v>325.377491844791</v>
      </c>
      <c r="P94" s="15">
        <v>1.0906976744186045</v>
      </c>
      <c r="Q94" s="15">
        <v>1049.9529757205621</v>
      </c>
      <c r="R94" s="15">
        <v>2490.1925081552085</v>
      </c>
      <c r="S94" s="15">
        <v>2099.9059514411242</v>
      </c>
      <c r="T94" s="15">
        <v>390.28655671408433</v>
      </c>
      <c r="U94" s="17">
        <v>2.1994884910485935</v>
      </c>
      <c r="V94" s="17">
        <v>8.6532414520641172</v>
      </c>
      <c r="W94" s="17">
        <v>1</v>
      </c>
      <c r="X94" s="17">
        <v>81.810882352941164</v>
      </c>
      <c r="Y94" s="17">
        <v>2.5999999999999996</v>
      </c>
      <c r="Z94" s="17">
        <v>6.5763174024187858</v>
      </c>
      <c r="AA94" s="63" t="s">
        <v>371</v>
      </c>
      <c r="AB94" s="64"/>
      <c r="AL94" s="65"/>
    </row>
    <row r="95" spans="1:38" collapsed="1" x14ac:dyDescent="0.25">
      <c r="A95" s="5" t="s">
        <v>22</v>
      </c>
      <c r="B95" s="5" t="s">
        <v>36</v>
      </c>
      <c r="C95" s="5" t="s">
        <v>55</v>
      </c>
      <c r="D95" s="6">
        <v>109</v>
      </c>
      <c r="E95" s="53">
        <v>1020.440366972477</v>
      </c>
      <c r="F95" s="6">
        <v>111228</v>
      </c>
      <c r="G95" s="6">
        <v>153.88888888888889</v>
      </c>
      <c r="H95" s="53">
        <v>765.56021660649867</v>
      </c>
      <c r="I95" s="6">
        <v>117811.21111111117</v>
      </c>
      <c r="J95" s="6">
        <v>91</v>
      </c>
      <c r="K95" s="53">
        <v>756.19571428571442</v>
      </c>
      <c r="L95" s="6">
        <v>68813.810000000012</v>
      </c>
      <c r="M95" s="6">
        <v>173.20261437908496</v>
      </c>
      <c r="N95" s="6">
        <v>927.48140000000001</v>
      </c>
      <c r="O95" s="6">
        <v>160642.20326797385</v>
      </c>
      <c r="P95" s="6">
        <v>-82.202614379084963</v>
      </c>
      <c r="Q95" s="6">
        <v>-171.28568571428559</v>
      </c>
      <c r="R95" s="6">
        <v>-91828.393267973835</v>
      </c>
      <c r="S95" s="6">
        <v>-15586.997399999989</v>
      </c>
      <c r="T95" s="6">
        <v>-76241.395867973857</v>
      </c>
      <c r="U95" s="8">
        <v>0.52539622641509431</v>
      </c>
      <c r="V95" s="8">
        <v>0.42836694592148289</v>
      </c>
      <c r="W95" s="8">
        <v>-0.16513761467889909</v>
      </c>
      <c r="X95" s="8">
        <v>-0.38132655446470304</v>
      </c>
      <c r="Y95" s="8">
        <v>-0.40866425992779781</v>
      </c>
      <c r="Z95" s="8">
        <v>-0.41589760982000507</v>
      </c>
      <c r="AA95" s="63" t="s">
        <v>36</v>
      </c>
      <c r="AB95" s="64"/>
      <c r="AL95" s="65"/>
    </row>
    <row r="96" spans="1:38" hidden="1" outlineLevel="1" x14ac:dyDescent="0.25">
      <c r="A96" s="21" t="s">
        <v>22</v>
      </c>
      <c r="B96" s="21" t="s">
        <v>372</v>
      </c>
      <c r="C96" s="21" t="s">
        <v>362</v>
      </c>
      <c r="D96" s="15">
        <v>43</v>
      </c>
      <c r="E96" s="57">
        <v>1099.0232558139535</v>
      </c>
      <c r="F96" s="15">
        <v>47258</v>
      </c>
      <c r="G96" s="15">
        <v>82.777777777777786</v>
      </c>
      <c r="H96" s="57">
        <v>499.07080536912741</v>
      </c>
      <c r="I96" s="15">
        <v>41311.972222222219</v>
      </c>
      <c r="J96" s="15">
        <v>48</v>
      </c>
      <c r="K96" s="57">
        <v>699.24770833333332</v>
      </c>
      <c r="L96" s="15">
        <v>33563.89</v>
      </c>
      <c r="M96" s="15">
        <v>73.582810030330222</v>
      </c>
      <c r="N96" s="15">
        <v>817.23786962019892</v>
      </c>
      <c r="O96" s="15">
        <v>60134.658909854872</v>
      </c>
      <c r="P96" s="15">
        <v>-25.582810030330222</v>
      </c>
      <c r="Q96" s="15">
        <v>-117.9901612868656</v>
      </c>
      <c r="R96" s="15">
        <v>-26570.768909854873</v>
      </c>
      <c r="S96" s="15">
        <v>-5663.5277417695488</v>
      </c>
      <c r="T96" s="15">
        <v>-20907.241168085326</v>
      </c>
      <c r="U96" s="17">
        <v>0.65232626995645859</v>
      </c>
      <c r="V96" s="17">
        <v>0.55814551222971265</v>
      </c>
      <c r="W96" s="17">
        <v>0.11627906976744186</v>
      </c>
      <c r="X96" s="17">
        <v>-0.28977337170426171</v>
      </c>
      <c r="Y96" s="17">
        <v>-0.42013422818791951</v>
      </c>
      <c r="Z96" s="17">
        <v>-0.1875505284653157</v>
      </c>
      <c r="AA96" s="63" t="s">
        <v>373</v>
      </c>
      <c r="AB96" s="64"/>
      <c r="AL96" s="65"/>
    </row>
    <row r="97" spans="1:38" hidden="1" outlineLevel="1" x14ac:dyDescent="0.25">
      <c r="A97" s="21" t="s">
        <v>22</v>
      </c>
      <c r="B97" s="21" t="s">
        <v>374</v>
      </c>
      <c r="C97" s="21" t="s">
        <v>363</v>
      </c>
      <c r="D97" s="15">
        <v>66</v>
      </c>
      <c r="E97" s="57">
        <v>969.24242424242425</v>
      </c>
      <c r="F97" s="15">
        <v>63970</v>
      </c>
      <c r="G97" s="15">
        <v>71.111111111111114</v>
      </c>
      <c r="H97" s="57">
        <v>1075.7705468750009</v>
      </c>
      <c r="I97" s="15">
        <v>76499.238888888955</v>
      </c>
      <c r="J97" s="15">
        <v>43</v>
      </c>
      <c r="K97" s="57">
        <v>819.76558139534882</v>
      </c>
      <c r="L97" s="15">
        <v>35249.919999999998</v>
      </c>
      <c r="M97" s="15">
        <v>99.619804348754741</v>
      </c>
      <c r="N97" s="15">
        <v>1008.9112803941713</v>
      </c>
      <c r="O97" s="15">
        <v>100507.54435811898</v>
      </c>
      <c r="P97" s="15">
        <v>-56.619804348754741</v>
      </c>
      <c r="Q97" s="15">
        <v>-189.14569899882247</v>
      </c>
      <c r="R97" s="15">
        <v>-65257.624358118977</v>
      </c>
      <c r="S97" s="15">
        <v>-8133.2650569493662</v>
      </c>
      <c r="T97" s="15">
        <v>-57124.359301169614</v>
      </c>
      <c r="U97" s="17">
        <v>0.43164108061749579</v>
      </c>
      <c r="V97" s="17">
        <v>0.35071914476788746</v>
      </c>
      <c r="W97" s="17">
        <v>-0.34848484848484851</v>
      </c>
      <c r="X97" s="17">
        <v>-0.44896170079724873</v>
      </c>
      <c r="Y97" s="17">
        <v>-0.39531250000000001</v>
      </c>
      <c r="Z97" s="17">
        <v>-0.539212147571839</v>
      </c>
      <c r="AA97" s="63" t="s">
        <v>375</v>
      </c>
      <c r="AB97" s="64"/>
      <c r="AL97" s="65"/>
    </row>
    <row r="98" spans="1:38" collapsed="1" x14ac:dyDescent="0.25">
      <c r="A98" s="5" t="s">
        <v>22</v>
      </c>
      <c r="B98" s="5" t="s">
        <v>36</v>
      </c>
      <c r="C98" s="5" t="s">
        <v>56</v>
      </c>
      <c r="D98" s="6">
        <v>37</v>
      </c>
      <c r="E98" s="53">
        <v>1138.4594594594594</v>
      </c>
      <c r="F98" s="6">
        <v>42123</v>
      </c>
      <c r="G98" s="6">
        <v>38.333333333333336</v>
      </c>
      <c r="H98" s="53">
        <v>1258.710289855072</v>
      </c>
      <c r="I98" s="6">
        <v>48250.561111111099</v>
      </c>
      <c r="J98" s="6">
        <v>47</v>
      </c>
      <c r="K98" s="53">
        <v>970.14510638297884</v>
      </c>
      <c r="L98" s="6">
        <v>45596.820000000007</v>
      </c>
      <c r="M98" s="6">
        <v>95.996732026143803</v>
      </c>
      <c r="N98" s="6">
        <v>1107.1036170212762</v>
      </c>
      <c r="O98" s="6">
        <v>106278.329248366</v>
      </c>
      <c r="P98" s="6">
        <v>-48.996732026143803</v>
      </c>
      <c r="Q98" s="6">
        <v>-136.95851063829741</v>
      </c>
      <c r="R98" s="6">
        <v>-60681.509248365997</v>
      </c>
      <c r="S98" s="6">
        <v>-6437.0499999999784</v>
      </c>
      <c r="T98" s="6">
        <v>-54244.459248366009</v>
      </c>
      <c r="U98" s="8">
        <v>0.48959999999999992</v>
      </c>
      <c r="V98" s="8">
        <v>0.42903214909827014</v>
      </c>
      <c r="W98" s="8">
        <v>0.27027027027027029</v>
      </c>
      <c r="X98" s="8">
        <v>8.2468485150630461E-2</v>
      </c>
      <c r="Y98" s="8">
        <v>0.22608695652173905</v>
      </c>
      <c r="Z98" s="8">
        <v>-5.4999176175383191E-2</v>
      </c>
      <c r="AA98" s="63" t="s">
        <v>36</v>
      </c>
      <c r="AB98" s="64"/>
      <c r="AL98" s="65"/>
    </row>
    <row r="99" spans="1:38" hidden="1" outlineLevel="1" x14ac:dyDescent="0.25">
      <c r="A99" s="21" t="s">
        <v>22</v>
      </c>
      <c r="B99" s="21" t="s">
        <v>376</v>
      </c>
      <c r="C99" s="21" t="s">
        <v>362</v>
      </c>
      <c r="D99" s="15">
        <v>13</v>
      </c>
      <c r="E99" s="57">
        <v>1141.6923076923076</v>
      </c>
      <c r="F99" s="15">
        <v>14842</v>
      </c>
      <c r="G99" s="15">
        <v>14.444444444444445</v>
      </c>
      <c r="H99" s="57">
        <v>944.84153846153845</v>
      </c>
      <c r="I99" s="15">
        <v>13647.711111111112</v>
      </c>
      <c r="J99" s="15">
        <v>18</v>
      </c>
      <c r="K99" s="57">
        <v>712.1444444444445</v>
      </c>
      <c r="L99" s="15">
        <v>12818.6</v>
      </c>
      <c r="M99" s="15">
        <v>40.782925370583975</v>
      </c>
      <c r="N99" s="15">
        <v>975.50959126865985</v>
      </c>
      <c r="O99" s="15">
        <v>39784.13485899863</v>
      </c>
      <c r="P99" s="15">
        <v>-22.782925370583975</v>
      </c>
      <c r="Q99" s="15">
        <v>-263.36514682421534</v>
      </c>
      <c r="R99" s="15">
        <v>-26965.534858998632</v>
      </c>
      <c r="S99" s="15">
        <v>-4740.5726428358757</v>
      </c>
      <c r="T99" s="15">
        <v>-22224.962216162752</v>
      </c>
      <c r="U99" s="17">
        <v>0.44136117839607192</v>
      </c>
      <c r="V99" s="17">
        <v>0.32220381429509976</v>
      </c>
      <c r="W99" s="17">
        <v>0.38461538461538464</v>
      </c>
      <c r="X99" s="17">
        <v>-0.13632933566904729</v>
      </c>
      <c r="Y99" s="17">
        <v>0.24615384615384614</v>
      </c>
      <c r="Z99" s="17">
        <v>-6.0750927709489762E-2</v>
      </c>
      <c r="AA99" s="63" t="s">
        <v>373</v>
      </c>
      <c r="AB99" s="64"/>
      <c r="AL99" s="65"/>
    </row>
    <row r="100" spans="1:38" hidden="1" outlineLevel="1" x14ac:dyDescent="0.25">
      <c r="A100" s="21" t="s">
        <v>22</v>
      </c>
      <c r="B100" s="21" t="s">
        <v>377</v>
      </c>
      <c r="C100" s="21" t="s">
        <v>363</v>
      </c>
      <c r="D100" s="15">
        <v>24</v>
      </c>
      <c r="E100" s="57">
        <v>1136.7083333333333</v>
      </c>
      <c r="F100" s="15">
        <v>27281</v>
      </c>
      <c r="G100" s="15">
        <v>23.888888888888889</v>
      </c>
      <c r="H100" s="57">
        <v>1448.4913953488369</v>
      </c>
      <c r="I100" s="15">
        <v>34602.849999999991</v>
      </c>
      <c r="J100" s="15">
        <v>29</v>
      </c>
      <c r="K100" s="57">
        <v>1130.2834482758619</v>
      </c>
      <c r="L100" s="15">
        <v>32778.219999999994</v>
      </c>
      <c r="M100" s="15">
        <v>55.213806655559829</v>
      </c>
      <c r="N100" s="15">
        <v>1204.3037496794591</v>
      </c>
      <c r="O100" s="15">
        <v>66494.194389367374</v>
      </c>
      <c r="P100" s="15">
        <v>-26.213806655559829</v>
      </c>
      <c r="Q100" s="15">
        <v>-74.020301403597159</v>
      </c>
      <c r="R100" s="15">
        <v>-33715.97438936738</v>
      </c>
      <c r="S100" s="15">
        <v>-2146.5887407043174</v>
      </c>
      <c r="T100" s="15">
        <v>-31569.385648663061</v>
      </c>
      <c r="U100" s="17">
        <v>0.52523094777562862</v>
      </c>
      <c r="V100" s="17">
        <v>0.4929485995132431</v>
      </c>
      <c r="W100" s="17">
        <v>0.20833333333333334</v>
      </c>
      <c r="X100" s="17">
        <v>0.20150361057145977</v>
      </c>
      <c r="Y100" s="17">
        <v>0.21395348837209299</v>
      </c>
      <c r="Z100" s="17">
        <v>-5.2730627679511886E-2</v>
      </c>
      <c r="AA100" s="63" t="s">
        <v>375</v>
      </c>
      <c r="AB100" s="64"/>
      <c r="AL100" s="65"/>
    </row>
    <row r="101" spans="1:38" collapsed="1" x14ac:dyDescent="0.25">
      <c r="A101" s="5" t="s">
        <v>22</v>
      </c>
      <c r="B101" s="5" t="s">
        <v>37</v>
      </c>
      <c r="C101" s="5" t="s">
        <v>57</v>
      </c>
      <c r="D101" s="6">
        <v>0</v>
      </c>
      <c r="E101" s="53" t="s">
        <v>364</v>
      </c>
      <c r="F101" s="6">
        <v>0</v>
      </c>
      <c r="G101" s="6">
        <v>3.8888888888888893</v>
      </c>
      <c r="H101" s="53">
        <v>703.21714285714302</v>
      </c>
      <c r="I101" s="6">
        <v>2734.733333333334</v>
      </c>
      <c r="J101" s="6">
        <v>2</v>
      </c>
      <c r="K101" s="53">
        <v>102.75</v>
      </c>
      <c r="L101" s="6">
        <v>205.5</v>
      </c>
      <c r="M101" s="6">
        <v>22</v>
      </c>
      <c r="N101" s="6">
        <v>846.31000000000017</v>
      </c>
      <c r="O101" s="6">
        <v>18618.820000000003</v>
      </c>
      <c r="P101" s="6">
        <v>-20</v>
      </c>
      <c r="Q101" s="6">
        <v>-743.56000000000017</v>
      </c>
      <c r="R101" s="6">
        <v>-18413.320000000003</v>
      </c>
      <c r="S101" s="6">
        <v>-1487.1200000000003</v>
      </c>
      <c r="T101" s="6">
        <v>-16926.200000000004</v>
      </c>
      <c r="U101" s="8">
        <v>9.0909090909090912E-2</v>
      </c>
      <c r="V101" s="8">
        <v>1.1037219329688991E-2</v>
      </c>
      <c r="W101" s="8" t="s">
        <v>364</v>
      </c>
      <c r="X101" s="8" t="s">
        <v>364</v>
      </c>
      <c r="Y101" s="8">
        <v>-0.48571428571428577</v>
      </c>
      <c r="Z101" s="8">
        <v>-0.92485556178542705</v>
      </c>
      <c r="AA101" s="63" t="s">
        <v>37</v>
      </c>
      <c r="AB101" s="64"/>
      <c r="AL101" s="65"/>
    </row>
    <row r="102" spans="1:38" hidden="1" outlineLevel="1" x14ac:dyDescent="0.25">
      <c r="A102" s="21" t="s">
        <v>22</v>
      </c>
      <c r="B102" s="21" t="s">
        <v>378</v>
      </c>
      <c r="C102" s="21" t="s">
        <v>362</v>
      </c>
      <c r="D102" s="15">
        <v>0</v>
      </c>
      <c r="E102" s="57" t="s">
        <v>364</v>
      </c>
      <c r="F102" s="15">
        <v>0</v>
      </c>
      <c r="G102" s="15">
        <v>1.1111111111111112</v>
      </c>
      <c r="H102" s="57">
        <v>165.35</v>
      </c>
      <c r="I102" s="15">
        <v>183.72222222222223</v>
      </c>
      <c r="J102" s="15">
        <v>1</v>
      </c>
      <c r="K102" s="57">
        <v>0</v>
      </c>
      <c r="L102" s="15">
        <v>0</v>
      </c>
      <c r="M102" s="15">
        <v>3.7078651685393251</v>
      </c>
      <c r="N102" s="15">
        <v>430.77377621827083</v>
      </c>
      <c r="O102" s="15">
        <v>1597.2510803598802</v>
      </c>
      <c r="P102" s="15">
        <v>-2.7078651685393251</v>
      </c>
      <c r="Q102" s="15">
        <v>-430.77377621827083</v>
      </c>
      <c r="R102" s="15">
        <v>-1597.2510803598802</v>
      </c>
      <c r="S102" s="15">
        <v>-430.77377621827083</v>
      </c>
      <c r="T102" s="15">
        <v>-1166.4773041416095</v>
      </c>
      <c r="U102" s="17">
        <v>0.26969696969696977</v>
      </c>
      <c r="V102" s="17">
        <v>0</v>
      </c>
      <c r="W102" s="17" t="s">
        <v>364</v>
      </c>
      <c r="X102" s="17" t="s">
        <v>364</v>
      </c>
      <c r="Y102" s="17">
        <v>-0.10000000000000003</v>
      </c>
      <c r="Z102" s="17">
        <v>-1</v>
      </c>
      <c r="AA102" s="63" t="s">
        <v>379</v>
      </c>
      <c r="AB102" s="64"/>
      <c r="AL102" s="65"/>
    </row>
    <row r="103" spans="1:38" hidden="1" outlineLevel="1" x14ac:dyDescent="0.25">
      <c r="A103" s="21" t="s">
        <v>22</v>
      </c>
      <c r="B103" s="21" t="s">
        <v>380</v>
      </c>
      <c r="C103" s="21" t="s">
        <v>363</v>
      </c>
      <c r="D103" s="15">
        <v>0</v>
      </c>
      <c r="E103" s="57" t="s">
        <v>364</v>
      </c>
      <c r="F103" s="15">
        <v>0</v>
      </c>
      <c r="G103" s="15">
        <v>2.7777777777777777</v>
      </c>
      <c r="H103" s="57">
        <v>918.36400000000026</v>
      </c>
      <c r="I103" s="15">
        <v>2551.0111111111119</v>
      </c>
      <c r="J103" s="15">
        <v>1</v>
      </c>
      <c r="K103" s="57">
        <v>205.5</v>
      </c>
      <c r="L103" s="15">
        <v>205.5</v>
      </c>
      <c r="M103" s="15">
        <v>18.292134831460675</v>
      </c>
      <c r="N103" s="15">
        <v>930.54031563143167</v>
      </c>
      <c r="O103" s="15">
        <v>17021.568919640122</v>
      </c>
      <c r="P103" s="15">
        <v>-17.292134831460675</v>
      </c>
      <c r="Q103" s="15">
        <v>-725.04031563143167</v>
      </c>
      <c r="R103" s="15">
        <v>-16816.068919640122</v>
      </c>
      <c r="S103" s="15">
        <v>-725.04031563143167</v>
      </c>
      <c r="T103" s="15">
        <v>-16091.02860400869</v>
      </c>
      <c r="U103" s="17">
        <v>5.4668304668304663E-2</v>
      </c>
      <c r="V103" s="17">
        <v>1.2072917659363728E-2</v>
      </c>
      <c r="W103" s="17" t="s">
        <v>364</v>
      </c>
      <c r="X103" s="17" t="s">
        <v>364</v>
      </c>
      <c r="Y103" s="17">
        <v>-0.64</v>
      </c>
      <c r="Z103" s="17">
        <v>-0.91944370641706341</v>
      </c>
      <c r="AA103" s="63" t="s">
        <v>381</v>
      </c>
      <c r="AB103" s="64"/>
      <c r="AL103" s="65"/>
    </row>
    <row r="104" spans="1:38" collapsed="1" x14ac:dyDescent="0.25">
      <c r="A104" s="5" t="s">
        <v>22</v>
      </c>
      <c r="B104" s="5" t="s">
        <v>38</v>
      </c>
      <c r="C104" s="5" t="s">
        <v>58</v>
      </c>
      <c r="D104" s="6">
        <v>111</v>
      </c>
      <c r="E104" s="53">
        <v>845.40540540540542</v>
      </c>
      <c r="F104" s="6">
        <v>93840</v>
      </c>
      <c r="G104" s="6">
        <v>101.11111111111111</v>
      </c>
      <c r="H104" s="53">
        <v>849.83104395604391</v>
      </c>
      <c r="I104" s="6">
        <v>85927.361111111109</v>
      </c>
      <c r="J104" s="6">
        <v>108</v>
      </c>
      <c r="K104" s="53">
        <v>841.50537037037054</v>
      </c>
      <c r="L104" s="6">
        <v>90882.580000000016</v>
      </c>
      <c r="M104" s="6">
        <v>236.66666666666669</v>
      </c>
      <c r="N104" s="6">
        <v>855.08720472440848</v>
      </c>
      <c r="O104" s="6">
        <v>202370.63845144334</v>
      </c>
      <c r="P104" s="6">
        <v>-128.66666666666669</v>
      </c>
      <c r="Q104" s="6">
        <v>-13.581834354037937</v>
      </c>
      <c r="R104" s="6">
        <v>-111488.05845144333</v>
      </c>
      <c r="S104" s="6">
        <v>-1466.8381102360972</v>
      </c>
      <c r="T104" s="6">
        <v>-110021.22034120724</v>
      </c>
      <c r="U104" s="8">
        <v>0.45633802816901403</v>
      </c>
      <c r="V104" s="8">
        <v>0.44908975281908947</v>
      </c>
      <c r="W104" s="8">
        <v>-2.7027027027027029E-2</v>
      </c>
      <c r="X104" s="8">
        <v>-3.1515558397271777E-2</v>
      </c>
      <c r="Y104" s="8">
        <v>6.8131868131868098E-2</v>
      </c>
      <c r="Z104" s="8">
        <v>5.7667532492722585E-2</v>
      </c>
      <c r="AA104" s="63" t="s">
        <v>38</v>
      </c>
      <c r="AB104" s="64"/>
      <c r="AL104" s="65"/>
    </row>
    <row r="105" spans="1:38" hidden="1" outlineLevel="1" x14ac:dyDescent="0.25">
      <c r="A105" s="21" t="s">
        <v>22</v>
      </c>
      <c r="B105" s="21" t="s">
        <v>382</v>
      </c>
      <c r="C105" s="21" t="s">
        <v>362</v>
      </c>
      <c r="D105" s="15">
        <v>62</v>
      </c>
      <c r="E105" s="57">
        <v>877.45161290322585</v>
      </c>
      <c r="F105" s="15">
        <v>54402</v>
      </c>
      <c r="G105" s="15">
        <v>51.666666666666671</v>
      </c>
      <c r="H105" s="57">
        <v>785.96634408602154</v>
      </c>
      <c r="I105" s="15">
        <v>40608.261111111118</v>
      </c>
      <c r="J105" s="15">
        <v>49</v>
      </c>
      <c r="K105" s="57">
        <v>766.28591836734688</v>
      </c>
      <c r="L105" s="15">
        <v>37548.009999999995</v>
      </c>
      <c r="M105" s="15">
        <v>118.47607559308403</v>
      </c>
      <c r="N105" s="15">
        <v>825.6046475488921</v>
      </c>
      <c r="O105" s="15">
        <v>97814.398633004035</v>
      </c>
      <c r="P105" s="15">
        <v>-69.476075593084033</v>
      </c>
      <c r="Q105" s="15">
        <v>-59.318729181545223</v>
      </c>
      <c r="R105" s="15">
        <v>-60266.38863300404</v>
      </c>
      <c r="S105" s="15">
        <v>-2906.6177298957159</v>
      </c>
      <c r="T105" s="15">
        <v>-57359.770903108329</v>
      </c>
      <c r="U105" s="17">
        <v>0.41358561004581706</v>
      </c>
      <c r="V105" s="17">
        <v>0.38386996725174094</v>
      </c>
      <c r="W105" s="17">
        <v>-0.20967741935483872</v>
      </c>
      <c r="X105" s="17">
        <v>-0.30980460277195698</v>
      </c>
      <c r="Y105" s="17">
        <v>-5.1612903225806542E-2</v>
      </c>
      <c r="Z105" s="17">
        <v>-7.5360309143446338E-2</v>
      </c>
      <c r="AA105" s="63" t="s">
        <v>383</v>
      </c>
      <c r="AB105" s="64"/>
      <c r="AL105" s="65"/>
    </row>
    <row r="106" spans="1:38" hidden="1" outlineLevel="1" x14ac:dyDescent="0.25">
      <c r="A106" s="21" t="s">
        <v>22</v>
      </c>
      <c r="B106" s="21" t="s">
        <v>384</v>
      </c>
      <c r="C106" s="21" t="s">
        <v>363</v>
      </c>
      <c r="D106" s="15">
        <v>49</v>
      </c>
      <c r="E106" s="57">
        <v>804.85714285714289</v>
      </c>
      <c r="F106" s="15">
        <v>39438</v>
      </c>
      <c r="G106" s="15">
        <v>49.44444444444445</v>
      </c>
      <c r="H106" s="57">
        <v>916.56606741573023</v>
      </c>
      <c r="I106" s="15">
        <v>45319.1</v>
      </c>
      <c r="J106" s="15">
        <v>59</v>
      </c>
      <c r="K106" s="57">
        <v>903.97576271186438</v>
      </c>
      <c r="L106" s="15">
        <v>53334.57</v>
      </c>
      <c r="M106" s="15">
        <v>118.19059107358265</v>
      </c>
      <c r="N106" s="15">
        <v>884.64097580614589</v>
      </c>
      <c r="O106" s="15">
        <v>104556.23981843931</v>
      </c>
      <c r="P106" s="15">
        <v>-59.190591073582652</v>
      </c>
      <c r="Q106" s="15">
        <v>19.334786905718488</v>
      </c>
      <c r="R106" s="15">
        <v>-51221.66981843931</v>
      </c>
      <c r="S106" s="15">
        <v>1140.7524274373909</v>
      </c>
      <c r="T106" s="15">
        <v>-52362.422245876704</v>
      </c>
      <c r="U106" s="17">
        <v>0.49919371300265353</v>
      </c>
      <c r="V106" s="17">
        <v>0.51010413240390873</v>
      </c>
      <c r="W106" s="17">
        <v>0.20408163265306123</v>
      </c>
      <c r="X106" s="17">
        <v>0.35236497794005778</v>
      </c>
      <c r="Y106" s="17">
        <v>0.193258426966292</v>
      </c>
      <c r="Z106" s="17">
        <v>0.1768673693873003</v>
      </c>
      <c r="AA106" s="63" t="s">
        <v>385</v>
      </c>
      <c r="AB106" s="64"/>
      <c r="AL106" s="65"/>
    </row>
    <row r="107" spans="1:38" collapsed="1" x14ac:dyDescent="0.25">
      <c r="A107" s="5" t="s">
        <v>22</v>
      </c>
      <c r="B107" s="5" t="s">
        <v>39</v>
      </c>
      <c r="C107" s="5" t="s">
        <v>59</v>
      </c>
      <c r="D107" s="6">
        <v>264</v>
      </c>
      <c r="E107" s="53">
        <v>457.06818181818181</v>
      </c>
      <c r="F107" s="6">
        <v>120666</v>
      </c>
      <c r="G107" s="6">
        <v>249.44444444444446</v>
      </c>
      <c r="H107" s="53">
        <v>423.80365256124691</v>
      </c>
      <c r="I107" s="6">
        <v>105715.4666666666</v>
      </c>
      <c r="J107" s="6">
        <v>132</v>
      </c>
      <c r="K107" s="53">
        <v>442.23651515151511</v>
      </c>
      <c r="L107" s="6">
        <v>58375.219999999994</v>
      </c>
      <c r="M107" s="6">
        <v>338.57212552742612</v>
      </c>
      <c r="N107" s="6">
        <v>406.45474387527838</v>
      </c>
      <c r="O107" s="6">
        <v>137614.24656455859</v>
      </c>
      <c r="P107" s="6">
        <v>-206.57212552742612</v>
      </c>
      <c r="Q107" s="6">
        <v>35.781771276236725</v>
      </c>
      <c r="R107" s="6">
        <v>-79239.02656455859</v>
      </c>
      <c r="S107" s="6">
        <v>4723.1938084632475</v>
      </c>
      <c r="T107" s="6">
        <v>-83962.220373021846</v>
      </c>
      <c r="U107" s="8">
        <v>0.38987261516101185</v>
      </c>
      <c r="V107" s="8">
        <v>0.42419459799617903</v>
      </c>
      <c r="W107" s="8">
        <v>-0.5</v>
      </c>
      <c r="X107" s="8">
        <v>-0.51622478577229713</v>
      </c>
      <c r="Y107" s="8">
        <v>-0.47082405345211586</v>
      </c>
      <c r="Z107" s="8">
        <v>-0.44780814160274218</v>
      </c>
      <c r="AA107" s="63" t="s">
        <v>39</v>
      </c>
      <c r="AB107" s="64"/>
      <c r="AL107" s="65"/>
    </row>
    <row r="108" spans="1:38" hidden="1" outlineLevel="1" x14ac:dyDescent="0.25">
      <c r="A108" s="21" t="s">
        <v>22</v>
      </c>
      <c r="B108" s="21" t="s">
        <v>386</v>
      </c>
      <c r="C108" s="21" t="s">
        <v>362</v>
      </c>
      <c r="D108" s="15">
        <v>181</v>
      </c>
      <c r="E108" s="57">
        <v>502.51381215469615</v>
      </c>
      <c r="F108" s="15">
        <v>90955</v>
      </c>
      <c r="G108" s="15">
        <v>202.22222222222223</v>
      </c>
      <c r="H108" s="57">
        <v>411.9934890109887</v>
      </c>
      <c r="I108" s="15">
        <v>83314.238888888824</v>
      </c>
      <c r="J108" s="15">
        <v>100</v>
      </c>
      <c r="K108" s="57">
        <v>428.48039999999986</v>
      </c>
      <c r="L108" s="15">
        <v>42848.039999999986</v>
      </c>
      <c r="M108" s="15">
        <v>231.21121787269686</v>
      </c>
      <c r="N108" s="15">
        <v>402.1886641792986</v>
      </c>
      <c r="O108" s="15">
        <v>92990.530859488717</v>
      </c>
      <c r="P108" s="15">
        <v>-131.21121787269686</v>
      </c>
      <c r="Q108" s="15">
        <v>26.291735820701263</v>
      </c>
      <c r="R108" s="15">
        <v>-50142.490859488731</v>
      </c>
      <c r="S108" s="15">
        <v>2629.173582070126</v>
      </c>
      <c r="T108" s="15">
        <v>-52771.66444155886</v>
      </c>
      <c r="U108" s="17">
        <v>0.43250496632503027</v>
      </c>
      <c r="V108" s="17">
        <v>0.46077852878100639</v>
      </c>
      <c r="W108" s="17">
        <v>-0.44751381215469616</v>
      </c>
      <c r="X108" s="17">
        <v>-0.52890946072233536</v>
      </c>
      <c r="Y108" s="17">
        <v>-0.50549450549450547</v>
      </c>
      <c r="Z108" s="17">
        <v>-0.48570567802769182</v>
      </c>
      <c r="AA108" s="63" t="s">
        <v>387</v>
      </c>
      <c r="AB108" s="64"/>
      <c r="AL108" s="65"/>
    </row>
    <row r="109" spans="1:38" hidden="1" outlineLevel="1" x14ac:dyDescent="0.25">
      <c r="A109" s="21" t="s">
        <v>22</v>
      </c>
      <c r="B109" s="21" t="s">
        <v>388</v>
      </c>
      <c r="C109" s="21" t="s">
        <v>363</v>
      </c>
      <c r="D109" s="15">
        <v>83</v>
      </c>
      <c r="E109" s="57">
        <v>357.96385542168673</v>
      </c>
      <c r="F109" s="15">
        <v>29711</v>
      </c>
      <c r="G109" s="15">
        <v>47.222222222222221</v>
      </c>
      <c r="H109" s="57">
        <v>474.37894117647045</v>
      </c>
      <c r="I109" s="15">
        <v>22401.227777777771</v>
      </c>
      <c r="J109" s="15">
        <v>32</v>
      </c>
      <c r="K109" s="57">
        <v>485.22437500000001</v>
      </c>
      <c r="L109" s="15">
        <v>15527.18</v>
      </c>
      <c r="M109" s="15">
        <v>107.36090765472927</v>
      </c>
      <c r="N109" s="15">
        <v>415.64212412006543</v>
      </c>
      <c r="O109" s="15">
        <v>44623.715705069866</v>
      </c>
      <c r="P109" s="15">
        <v>-75.360907654729274</v>
      </c>
      <c r="Q109" s="15">
        <v>69.582250879934577</v>
      </c>
      <c r="R109" s="15">
        <v>-29096.535705069866</v>
      </c>
      <c r="S109" s="15">
        <v>2226.6320281579065</v>
      </c>
      <c r="T109" s="15">
        <v>-31323.167733227776</v>
      </c>
      <c r="U109" s="17">
        <v>0.29806007325228118</v>
      </c>
      <c r="V109" s="17">
        <v>0.34795802533843906</v>
      </c>
      <c r="W109" s="17">
        <v>-0.61445783132530118</v>
      </c>
      <c r="X109" s="17">
        <v>-0.47739288479014508</v>
      </c>
      <c r="Y109" s="17">
        <v>-0.32235294117647056</v>
      </c>
      <c r="Z109" s="17">
        <v>-0.30686031346000109</v>
      </c>
      <c r="AA109" s="63" t="s">
        <v>389</v>
      </c>
      <c r="AB109" s="64"/>
      <c r="AL109" s="65"/>
    </row>
    <row r="110" spans="1:38" collapsed="1" x14ac:dyDescent="0.25">
      <c r="A110" s="5" t="s">
        <v>22</v>
      </c>
      <c r="B110" s="5" t="s">
        <v>39</v>
      </c>
      <c r="C110" s="5" t="s">
        <v>60</v>
      </c>
      <c r="D110" s="6">
        <v>59</v>
      </c>
      <c r="E110" s="53">
        <v>781.03389830508479</v>
      </c>
      <c r="F110" s="6">
        <v>46081</v>
      </c>
      <c r="G110" s="6">
        <v>127.22222222222223</v>
      </c>
      <c r="H110" s="53">
        <v>664.61755458515302</v>
      </c>
      <c r="I110" s="6">
        <v>84554.122222222242</v>
      </c>
      <c r="J110" s="6">
        <v>112</v>
      </c>
      <c r="K110" s="53">
        <v>590.90455357142866</v>
      </c>
      <c r="L110" s="6">
        <v>66181.310000000012</v>
      </c>
      <c r="M110" s="6">
        <v>205.90009669479608</v>
      </c>
      <c r="N110" s="6">
        <v>732.25726368159144</v>
      </c>
      <c r="O110" s="6">
        <v>150771.84139750648</v>
      </c>
      <c r="P110" s="6">
        <v>-93.900096694796076</v>
      </c>
      <c r="Q110" s="6">
        <v>-141.35271011016277</v>
      </c>
      <c r="R110" s="6">
        <v>-84590.531397506464</v>
      </c>
      <c r="S110" s="6">
        <v>-15831.503532338231</v>
      </c>
      <c r="T110" s="6">
        <v>-68759.027865168217</v>
      </c>
      <c r="U110" s="8">
        <v>0.54395311997359874</v>
      </c>
      <c r="V110" s="8">
        <v>0.43895006777501988</v>
      </c>
      <c r="W110" s="8">
        <v>0.89830508474576276</v>
      </c>
      <c r="X110" s="8">
        <v>0.43619517805603203</v>
      </c>
      <c r="Y110" s="8">
        <v>-0.1196506550218341</v>
      </c>
      <c r="Z110" s="8">
        <v>-0.21729055591086896</v>
      </c>
      <c r="AA110" s="63" t="s">
        <v>39</v>
      </c>
      <c r="AB110" s="64"/>
      <c r="AL110" s="65"/>
    </row>
    <row r="111" spans="1:38" hidden="1" outlineLevel="1" x14ac:dyDescent="0.25">
      <c r="A111" s="21" t="s">
        <v>22</v>
      </c>
      <c r="B111" s="21" t="s">
        <v>390</v>
      </c>
      <c r="C111" s="21" t="s">
        <v>362</v>
      </c>
      <c r="D111" s="15">
        <v>34</v>
      </c>
      <c r="E111" s="57">
        <v>722.17647058823525</v>
      </c>
      <c r="F111" s="15">
        <v>24554</v>
      </c>
      <c r="G111" s="15">
        <v>71.666666666666671</v>
      </c>
      <c r="H111" s="57">
        <v>646.77627906976761</v>
      </c>
      <c r="I111" s="15">
        <v>46352.300000000017</v>
      </c>
      <c r="J111" s="15">
        <v>55</v>
      </c>
      <c r="K111" s="57">
        <v>540.12472727272734</v>
      </c>
      <c r="L111" s="15">
        <v>29706.860000000004</v>
      </c>
      <c r="M111" s="15">
        <v>140.6093665943373</v>
      </c>
      <c r="N111" s="15">
        <v>724.57161628320773</v>
      </c>
      <c r="O111" s="15">
        <v>101881.55601781706</v>
      </c>
      <c r="P111" s="15">
        <v>-85.609366594337303</v>
      </c>
      <c r="Q111" s="15">
        <v>-184.44688901048039</v>
      </c>
      <c r="R111" s="15">
        <v>-72174.696017817056</v>
      </c>
      <c r="S111" s="15">
        <v>-10144.578895576422</v>
      </c>
      <c r="T111" s="15">
        <v>-62030.117122240634</v>
      </c>
      <c r="U111" s="17">
        <v>0.39115459611362041</v>
      </c>
      <c r="V111" s="17">
        <v>0.29158231539774349</v>
      </c>
      <c r="W111" s="17">
        <v>0.61764705882352944</v>
      </c>
      <c r="X111" s="17">
        <v>0.20985827156471468</v>
      </c>
      <c r="Y111" s="17">
        <v>-0.23255813953488377</v>
      </c>
      <c r="Z111" s="17">
        <v>-0.3591070993240898</v>
      </c>
      <c r="AA111" s="63" t="s">
        <v>387</v>
      </c>
      <c r="AB111" s="64"/>
      <c r="AL111" s="65"/>
    </row>
    <row r="112" spans="1:38" hidden="1" outlineLevel="1" x14ac:dyDescent="0.25">
      <c r="A112" s="21" t="s">
        <v>22</v>
      </c>
      <c r="B112" s="21" t="s">
        <v>391</v>
      </c>
      <c r="C112" s="21" t="s">
        <v>363</v>
      </c>
      <c r="D112" s="15">
        <v>24</v>
      </c>
      <c r="E112" s="57">
        <v>896.95833333333337</v>
      </c>
      <c r="F112" s="15">
        <v>21527</v>
      </c>
      <c r="G112" s="15">
        <v>55.555555555555557</v>
      </c>
      <c r="H112" s="57">
        <v>687.63280000000032</v>
      </c>
      <c r="I112" s="15">
        <v>38201.822222222239</v>
      </c>
      <c r="J112" s="15">
        <v>57</v>
      </c>
      <c r="K112" s="57">
        <v>639.90263157894731</v>
      </c>
      <c r="L112" s="15">
        <v>36474.449999999997</v>
      </c>
      <c r="M112" s="15">
        <v>65.290730100458774</v>
      </c>
      <c r="N112" s="15">
        <v>748.80898566251244</v>
      </c>
      <c r="O112" s="15">
        <v>48890.285379689405</v>
      </c>
      <c r="P112" s="15">
        <v>-8.2907301004587737</v>
      </c>
      <c r="Q112" s="15">
        <v>-108.90635408356513</v>
      </c>
      <c r="R112" s="15">
        <v>-12415.835379689408</v>
      </c>
      <c r="S112" s="15">
        <v>-6207.6621827632125</v>
      </c>
      <c r="T112" s="15">
        <v>-6208.1731969261946</v>
      </c>
      <c r="U112" s="17">
        <v>0.87301826633425073</v>
      </c>
      <c r="V112" s="17">
        <v>0.74604698493236155</v>
      </c>
      <c r="W112" s="17">
        <v>1.375</v>
      </c>
      <c r="X112" s="17">
        <v>0.69435824778185518</v>
      </c>
      <c r="Y112" s="17">
        <v>2.5999999999999971E-2</v>
      </c>
      <c r="Z112" s="17">
        <v>-4.5217011172242437E-2</v>
      </c>
      <c r="AA112" s="63" t="s">
        <v>389</v>
      </c>
      <c r="AB112" s="64"/>
      <c r="AL112" s="65"/>
    </row>
    <row r="113" spans="1:38" collapsed="1" x14ac:dyDescent="0.25">
      <c r="A113" s="5" t="s">
        <v>22</v>
      </c>
      <c r="B113" s="5" t="s">
        <v>40</v>
      </c>
      <c r="C113" s="5" t="s">
        <v>61</v>
      </c>
      <c r="D113" s="6">
        <v>182</v>
      </c>
      <c r="E113" s="53">
        <v>353.5164835164835</v>
      </c>
      <c r="F113" s="6">
        <v>64340</v>
      </c>
      <c r="G113" s="6">
        <v>253.88888888888891</v>
      </c>
      <c r="H113" s="53">
        <v>330.22150984682736</v>
      </c>
      <c r="I113" s="6">
        <v>83839.572222222283</v>
      </c>
      <c r="J113" s="6">
        <v>302</v>
      </c>
      <c r="K113" s="53">
        <v>296.21029801324505</v>
      </c>
      <c r="L113" s="6">
        <v>89455.510000000009</v>
      </c>
      <c r="M113" s="6">
        <v>241.66666666666669</v>
      </c>
      <c r="N113" s="6">
        <v>332.46585585585564</v>
      </c>
      <c r="O113" s="6">
        <v>80345.915165165119</v>
      </c>
      <c r="P113" s="6">
        <v>60.333333333333314</v>
      </c>
      <c r="Q113" s="6">
        <v>-36.255557842610585</v>
      </c>
      <c r="R113" s="6">
        <v>9109.5948348348902</v>
      </c>
      <c r="S113" s="6">
        <v>-10949.178468468397</v>
      </c>
      <c r="T113" s="6">
        <v>20058.773303303286</v>
      </c>
      <c r="U113" s="8">
        <v>1.249655172413793</v>
      </c>
      <c r="V113" s="8">
        <v>1.1133796885144505</v>
      </c>
      <c r="W113" s="8">
        <v>0.65934065934065933</v>
      </c>
      <c r="X113" s="8">
        <v>0.39035607709045711</v>
      </c>
      <c r="Y113" s="8">
        <v>0.18949671772428872</v>
      </c>
      <c r="Z113" s="8">
        <v>6.6984332444973774E-2</v>
      </c>
      <c r="AA113" s="63" t="s">
        <v>40</v>
      </c>
      <c r="AB113" s="64"/>
      <c r="AL113" s="65"/>
    </row>
    <row r="114" spans="1:38" hidden="1" outlineLevel="1" x14ac:dyDescent="0.25">
      <c r="A114" s="21" t="s">
        <v>22</v>
      </c>
      <c r="B114" s="21" t="s">
        <v>392</v>
      </c>
      <c r="C114" s="21" t="s">
        <v>362</v>
      </c>
      <c r="D114" s="15">
        <v>58</v>
      </c>
      <c r="E114" s="57">
        <v>459.84482758620692</v>
      </c>
      <c r="F114" s="15">
        <v>26671</v>
      </c>
      <c r="G114" s="15">
        <v>111.11111111111111</v>
      </c>
      <c r="H114" s="57">
        <v>341.89455000000004</v>
      </c>
      <c r="I114" s="15">
        <v>37988.28333333334</v>
      </c>
      <c r="J114" s="15">
        <v>124</v>
      </c>
      <c r="K114" s="57">
        <v>321.16685483870975</v>
      </c>
      <c r="L114" s="15">
        <v>39824.69000000001</v>
      </c>
      <c r="M114" s="15">
        <v>110.95462426800144</v>
      </c>
      <c r="N114" s="15">
        <v>289.38969566078572</v>
      </c>
      <c r="O114" s="15">
        <v>32109.124949073765</v>
      </c>
      <c r="P114" s="15">
        <v>13.045375731998561</v>
      </c>
      <c r="Q114" s="15">
        <v>31.777159177924034</v>
      </c>
      <c r="R114" s="15">
        <v>7715.565050926245</v>
      </c>
      <c r="S114" s="15">
        <v>3940.3677380625804</v>
      </c>
      <c r="T114" s="15">
        <v>3775.1973128636632</v>
      </c>
      <c r="U114" s="17">
        <v>1.1175739706034113</v>
      </c>
      <c r="V114" s="17">
        <v>1.2402919750433377</v>
      </c>
      <c r="W114" s="17">
        <v>1.1379310344827587</v>
      </c>
      <c r="X114" s="17">
        <v>0.49318323272468262</v>
      </c>
      <c r="Y114" s="17">
        <v>0.11599999999999996</v>
      </c>
      <c r="Z114" s="17">
        <v>4.8341396491988604E-2</v>
      </c>
      <c r="AA114" s="63" t="s">
        <v>393</v>
      </c>
      <c r="AB114" s="64"/>
      <c r="AL114" s="65"/>
    </row>
    <row r="115" spans="1:38" hidden="1" outlineLevel="1" x14ac:dyDescent="0.25">
      <c r="A115" s="21" t="s">
        <v>22</v>
      </c>
      <c r="B115" s="21" t="s">
        <v>394</v>
      </c>
      <c r="C115" s="21" t="s">
        <v>363</v>
      </c>
      <c r="D115" s="15">
        <v>123</v>
      </c>
      <c r="E115" s="57">
        <v>306.2439024390244</v>
      </c>
      <c r="F115" s="15">
        <v>37668</v>
      </c>
      <c r="G115" s="15">
        <v>142.77777777777777</v>
      </c>
      <c r="H115" s="57">
        <v>321.13743190661523</v>
      </c>
      <c r="I115" s="15">
        <v>45851.28888888895</v>
      </c>
      <c r="J115" s="15">
        <v>178</v>
      </c>
      <c r="K115" s="57">
        <v>278.82483146067415</v>
      </c>
      <c r="L115" s="15">
        <v>49630.82</v>
      </c>
      <c r="M115" s="15">
        <v>130.71204239866523</v>
      </c>
      <c r="N115" s="15">
        <v>369.03095790494609</v>
      </c>
      <c r="O115" s="15">
        <v>48236.790216091358</v>
      </c>
      <c r="P115" s="15">
        <v>47.287957601334767</v>
      </c>
      <c r="Q115" s="15">
        <v>-90.206126444271945</v>
      </c>
      <c r="R115" s="15">
        <v>1394.0297839086415</v>
      </c>
      <c r="S115" s="15">
        <v>-16056.690507080406</v>
      </c>
      <c r="T115" s="15">
        <v>17450.720290989047</v>
      </c>
      <c r="U115" s="17">
        <v>1.3617720045801813</v>
      </c>
      <c r="V115" s="17">
        <v>1.028899721098018</v>
      </c>
      <c r="W115" s="17">
        <v>0.44715447154471544</v>
      </c>
      <c r="X115" s="17">
        <v>0.31758574917702026</v>
      </c>
      <c r="Y115" s="17">
        <v>0.24669260700389112</v>
      </c>
      <c r="Z115" s="17">
        <v>8.2430204312684774E-2</v>
      </c>
      <c r="AA115" s="63" t="s">
        <v>395</v>
      </c>
      <c r="AB115" s="64"/>
      <c r="AL115" s="65"/>
    </row>
    <row r="116" spans="1:38" collapsed="1" x14ac:dyDescent="0.25">
      <c r="A116" s="5" t="s">
        <v>22</v>
      </c>
      <c r="B116" s="5" t="s">
        <v>154</v>
      </c>
      <c r="C116" s="5" t="s">
        <v>62</v>
      </c>
      <c r="D116" s="6">
        <v>69</v>
      </c>
      <c r="E116" s="53">
        <v>524.5797101449275</v>
      </c>
      <c r="F116" s="6">
        <v>36196</v>
      </c>
      <c r="G116" s="6">
        <v>81.111111111111114</v>
      </c>
      <c r="H116" s="53">
        <v>436.44664383561661</v>
      </c>
      <c r="I116" s="6">
        <v>35400.672222222238</v>
      </c>
      <c r="J116" s="6">
        <v>76</v>
      </c>
      <c r="K116" s="53">
        <v>299.79934210526318</v>
      </c>
      <c r="L116" s="6">
        <v>22784.750000000004</v>
      </c>
      <c r="M116" s="6">
        <v>106.11111111111111</v>
      </c>
      <c r="N116" s="6">
        <v>460.79959236031681</v>
      </c>
      <c r="O116" s="6">
        <v>48895.956744900286</v>
      </c>
      <c r="P116" s="6">
        <v>-30.111111111111114</v>
      </c>
      <c r="Q116" s="6">
        <v>-161.00025025505363</v>
      </c>
      <c r="R116" s="6">
        <v>-26111.206744900283</v>
      </c>
      <c r="S116" s="6">
        <v>-12236.019019384075</v>
      </c>
      <c r="T116" s="6">
        <v>-13875.187725516207</v>
      </c>
      <c r="U116" s="8">
        <v>0.71623036649214655</v>
      </c>
      <c r="V116" s="8">
        <v>0.46598433729137306</v>
      </c>
      <c r="W116" s="8">
        <v>0.10144927536231885</v>
      </c>
      <c r="X116" s="8">
        <v>-0.37051746049287204</v>
      </c>
      <c r="Y116" s="8">
        <v>-6.3013698630137019E-2</v>
      </c>
      <c r="Z116" s="8">
        <v>-0.35637521635260866</v>
      </c>
      <c r="AA116" s="63" t="s">
        <v>154</v>
      </c>
      <c r="AB116" s="64"/>
      <c r="AL116" s="65"/>
    </row>
    <row r="117" spans="1:38" hidden="1" outlineLevel="1" x14ac:dyDescent="0.25">
      <c r="A117" s="21" t="s">
        <v>22</v>
      </c>
      <c r="B117" s="21" t="s">
        <v>396</v>
      </c>
      <c r="C117" s="21" t="s">
        <v>362</v>
      </c>
      <c r="D117" s="15">
        <v>22</v>
      </c>
      <c r="E117" s="57">
        <v>336.18181818181819</v>
      </c>
      <c r="F117" s="15">
        <v>7396</v>
      </c>
      <c r="G117" s="15">
        <v>28.888888888888889</v>
      </c>
      <c r="H117" s="57">
        <v>216.52865384615387</v>
      </c>
      <c r="I117" s="15">
        <v>6255.2722222222228</v>
      </c>
      <c r="J117" s="15">
        <v>24</v>
      </c>
      <c r="K117" s="57">
        <v>141.49666666666667</v>
      </c>
      <c r="L117" s="15">
        <v>3395.92</v>
      </c>
      <c r="M117" s="15">
        <v>41.198655515562145</v>
      </c>
      <c r="N117" s="15">
        <v>420.27693020692993</v>
      </c>
      <c r="O117" s="15">
        <v>17314.844468733259</v>
      </c>
      <c r="P117" s="15">
        <v>-17.198655515562145</v>
      </c>
      <c r="Q117" s="15">
        <v>-278.78026354026326</v>
      </c>
      <c r="R117" s="15">
        <v>-13918.924468733259</v>
      </c>
      <c r="S117" s="15">
        <v>-6690.7263249663183</v>
      </c>
      <c r="T117" s="15">
        <v>-7228.1981437669419</v>
      </c>
      <c r="U117" s="17">
        <v>0.58254328204798766</v>
      </c>
      <c r="V117" s="17">
        <v>0.19612766410534457</v>
      </c>
      <c r="W117" s="17">
        <v>9.0909090909090912E-2</v>
      </c>
      <c r="X117" s="17">
        <v>-0.54084369929691722</v>
      </c>
      <c r="Y117" s="17">
        <v>-0.16923076923076924</v>
      </c>
      <c r="Z117" s="17">
        <v>-0.45711075723678429</v>
      </c>
      <c r="AA117" s="63" t="s">
        <v>397</v>
      </c>
      <c r="AB117" s="64"/>
      <c r="AL117" s="65"/>
    </row>
    <row r="118" spans="1:38" hidden="1" outlineLevel="1" x14ac:dyDescent="0.25">
      <c r="A118" s="21" t="s">
        <v>22</v>
      </c>
      <c r="B118" s="21" t="s">
        <v>398</v>
      </c>
      <c r="C118" s="21" t="s">
        <v>363</v>
      </c>
      <c r="D118" s="15">
        <v>47</v>
      </c>
      <c r="E118" s="57">
        <v>612.76595744680856</v>
      </c>
      <c r="F118" s="15">
        <v>28800</v>
      </c>
      <c r="G118" s="15">
        <v>52.222222222222221</v>
      </c>
      <c r="H118" s="57">
        <v>558.10340425531945</v>
      </c>
      <c r="I118" s="15">
        <v>29145.400000000012</v>
      </c>
      <c r="J118" s="15">
        <v>52</v>
      </c>
      <c r="K118" s="57">
        <v>372.86211538461544</v>
      </c>
      <c r="L118" s="15">
        <v>19388.830000000002</v>
      </c>
      <c r="M118" s="15">
        <v>64.912455595548977</v>
      </c>
      <c r="N118" s="15">
        <v>486.51852693633936</v>
      </c>
      <c r="O118" s="15">
        <v>31581.112276167027</v>
      </c>
      <c r="P118" s="15">
        <v>-12.912455595548977</v>
      </c>
      <c r="Q118" s="15">
        <v>-113.65641155172392</v>
      </c>
      <c r="R118" s="15">
        <v>-12192.282276167025</v>
      </c>
      <c r="S118" s="15">
        <v>-5910.1334006896441</v>
      </c>
      <c r="T118" s="15">
        <v>-6282.1488754773809</v>
      </c>
      <c r="U118" s="17">
        <v>0.80107892272628212</v>
      </c>
      <c r="V118" s="17">
        <v>0.61393752792652456</v>
      </c>
      <c r="W118" s="17">
        <v>0.10638297872340426</v>
      </c>
      <c r="X118" s="17">
        <v>-0.32677673611111108</v>
      </c>
      <c r="Y118" s="17">
        <v>-4.2553191489361555E-3</v>
      </c>
      <c r="Z118" s="17">
        <v>-0.3347550556863178</v>
      </c>
      <c r="AA118" s="63" t="s">
        <v>399</v>
      </c>
      <c r="AB118" s="64"/>
      <c r="AL118" s="65"/>
    </row>
    <row r="119" spans="1:38" collapsed="1" x14ac:dyDescent="0.25">
      <c r="A119" s="5" t="s">
        <v>22</v>
      </c>
      <c r="B119" s="5" t="s">
        <v>41</v>
      </c>
      <c r="C119" s="5" t="s">
        <v>63</v>
      </c>
      <c r="D119" s="6">
        <v>67</v>
      </c>
      <c r="E119" s="53">
        <v>1051.358208955224</v>
      </c>
      <c r="F119" s="6">
        <v>70441</v>
      </c>
      <c r="G119" s="6">
        <v>87.777777777777786</v>
      </c>
      <c r="H119" s="53">
        <v>833.17221518987424</v>
      </c>
      <c r="I119" s="6">
        <v>73134.005555555632</v>
      </c>
      <c r="J119" s="6">
        <v>101</v>
      </c>
      <c r="K119" s="53">
        <v>805.10306930693082</v>
      </c>
      <c r="L119" s="6">
        <v>81315.410000000018</v>
      </c>
      <c r="M119" s="6">
        <v>200</v>
      </c>
      <c r="N119" s="6">
        <v>838.30505785123978</v>
      </c>
      <c r="O119" s="6">
        <v>167661.01157024797</v>
      </c>
      <c r="P119" s="6">
        <v>-99</v>
      </c>
      <c r="Q119" s="6">
        <v>-33.201988544308961</v>
      </c>
      <c r="R119" s="6">
        <v>-86345.601570247949</v>
      </c>
      <c r="S119" s="6">
        <v>-3353.4008429752048</v>
      </c>
      <c r="T119" s="6">
        <v>-82992.200727272735</v>
      </c>
      <c r="U119" s="8">
        <v>0.505</v>
      </c>
      <c r="V119" s="8">
        <v>0.48499892275748219</v>
      </c>
      <c r="W119" s="8">
        <v>0.5074626865671642</v>
      </c>
      <c r="X119" s="8">
        <v>0.15437614457489271</v>
      </c>
      <c r="Y119" s="8">
        <v>0.15063291139240495</v>
      </c>
      <c r="Z119" s="8">
        <v>0.11186867698952235</v>
      </c>
      <c r="AA119" s="63" t="s">
        <v>41</v>
      </c>
      <c r="AB119" s="64"/>
      <c r="AL119" s="65"/>
    </row>
    <row r="120" spans="1:38" hidden="1" outlineLevel="1" x14ac:dyDescent="0.25">
      <c r="A120" s="21" t="s">
        <v>22</v>
      </c>
      <c r="B120" s="21" t="s">
        <v>400</v>
      </c>
      <c r="C120" s="21" t="s">
        <v>362</v>
      </c>
      <c r="D120" s="15">
        <v>38</v>
      </c>
      <c r="E120" s="57">
        <v>1247.3157894736842</v>
      </c>
      <c r="F120" s="15">
        <v>47398</v>
      </c>
      <c r="G120" s="15">
        <v>50</v>
      </c>
      <c r="H120" s="57">
        <v>793.02400000000034</v>
      </c>
      <c r="I120" s="15">
        <v>39651.200000000019</v>
      </c>
      <c r="J120" s="15">
        <v>52</v>
      </c>
      <c r="K120" s="57">
        <v>577.87423076923085</v>
      </c>
      <c r="L120" s="15">
        <v>30049.460000000006</v>
      </c>
      <c r="M120" s="15">
        <v>96.617436874702236</v>
      </c>
      <c r="N120" s="15">
        <v>825.69495477287387</v>
      </c>
      <c r="O120" s="15">
        <v>79776.530170528262</v>
      </c>
      <c r="P120" s="15">
        <v>-44.617436874702236</v>
      </c>
      <c r="Q120" s="15">
        <v>-247.82072400364302</v>
      </c>
      <c r="R120" s="15">
        <v>-49727.070170528255</v>
      </c>
      <c r="S120" s="15">
        <v>-12886.677648189438</v>
      </c>
      <c r="T120" s="15">
        <v>-36840.392522338814</v>
      </c>
      <c r="U120" s="17">
        <v>0.53820512820512822</v>
      </c>
      <c r="V120" s="17">
        <v>0.37667043096217712</v>
      </c>
      <c r="W120" s="17">
        <v>0.36842105263157893</v>
      </c>
      <c r="X120" s="17">
        <v>-0.36601839740073405</v>
      </c>
      <c r="Y120" s="17">
        <v>0.04</v>
      </c>
      <c r="Z120" s="17">
        <v>-0.24215509240577859</v>
      </c>
      <c r="AA120" s="63" t="s">
        <v>401</v>
      </c>
      <c r="AB120" s="64"/>
      <c r="AL120" s="65"/>
    </row>
    <row r="121" spans="1:38" hidden="1" outlineLevel="1" x14ac:dyDescent="0.25">
      <c r="A121" s="21" t="s">
        <v>22</v>
      </c>
      <c r="B121" s="21" t="s">
        <v>402</v>
      </c>
      <c r="C121" s="21" t="s">
        <v>363</v>
      </c>
      <c r="D121" s="15">
        <v>29</v>
      </c>
      <c r="E121" s="57">
        <v>794.58620689655174</v>
      </c>
      <c r="F121" s="15">
        <v>23043</v>
      </c>
      <c r="G121" s="15">
        <v>37.777777777777779</v>
      </c>
      <c r="H121" s="57">
        <v>886.30955882353089</v>
      </c>
      <c r="I121" s="15">
        <v>33482.805555555613</v>
      </c>
      <c r="J121" s="15">
        <v>49</v>
      </c>
      <c r="K121" s="57">
        <v>1046.2438775510202</v>
      </c>
      <c r="L121" s="15">
        <v>51265.94999999999</v>
      </c>
      <c r="M121" s="15">
        <v>103.38256312529776</v>
      </c>
      <c r="N121" s="15">
        <v>850.08998367747301</v>
      </c>
      <c r="O121" s="15">
        <v>87884.481399719705</v>
      </c>
      <c r="P121" s="15">
        <v>-54.382563125297764</v>
      </c>
      <c r="Q121" s="15">
        <v>196.15389387354719</v>
      </c>
      <c r="R121" s="15">
        <v>-36618.531399719715</v>
      </c>
      <c r="S121" s="15">
        <v>9611.5407998038118</v>
      </c>
      <c r="T121" s="15">
        <v>-46230.072199523522</v>
      </c>
      <c r="U121" s="17">
        <v>0.47396774193548386</v>
      </c>
      <c r="V121" s="17">
        <v>0.58333336197126939</v>
      </c>
      <c r="W121" s="17">
        <v>0.68965517241379315</v>
      </c>
      <c r="X121" s="17">
        <v>1.2247949485744039</v>
      </c>
      <c r="Y121" s="17">
        <v>0.29705882352941176</v>
      </c>
      <c r="Z121" s="17">
        <v>0.53111273530941372</v>
      </c>
      <c r="AA121" s="63" t="s">
        <v>403</v>
      </c>
      <c r="AB121" s="64"/>
      <c r="AL121" s="65"/>
    </row>
    <row r="122" spans="1:38" collapsed="1" x14ac:dyDescent="0.25">
      <c r="A122" s="5" t="s">
        <v>22</v>
      </c>
      <c r="B122" s="5" t="s">
        <v>41</v>
      </c>
      <c r="C122" s="5" t="s">
        <v>64</v>
      </c>
      <c r="D122" s="6">
        <v>52</v>
      </c>
      <c r="E122" s="53">
        <v>398.38461538461536</v>
      </c>
      <c r="F122" s="6">
        <v>20716</v>
      </c>
      <c r="G122" s="6">
        <v>60.555555555555557</v>
      </c>
      <c r="H122" s="53">
        <v>314.61146788990834</v>
      </c>
      <c r="I122" s="6">
        <v>19051.472222222226</v>
      </c>
      <c r="J122" s="6">
        <v>29</v>
      </c>
      <c r="K122" s="53">
        <v>379.46206896551729</v>
      </c>
      <c r="L122" s="6">
        <v>11004.400000000001</v>
      </c>
      <c r="M122" s="6">
        <v>54.44444444444445</v>
      </c>
      <c r="N122" s="6">
        <v>423.16158536585368</v>
      </c>
      <c r="O122" s="6">
        <v>23038.797425474258</v>
      </c>
      <c r="P122" s="6">
        <v>-25.44444444444445</v>
      </c>
      <c r="Q122" s="6">
        <v>-43.699516400336393</v>
      </c>
      <c r="R122" s="6">
        <v>-12034.397425474257</v>
      </c>
      <c r="S122" s="6">
        <v>-1267.2859756097555</v>
      </c>
      <c r="T122" s="6">
        <v>-10767.111449864502</v>
      </c>
      <c r="U122" s="8">
        <v>0.53265306122448974</v>
      </c>
      <c r="V122" s="8">
        <v>0.47764645857045956</v>
      </c>
      <c r="W122" s="8">
        <v>-0.44230769230769229</v>
      </c>
      <c r="X122" s="8">
        <v>-0.46879706507047686</v>
      </c>
      <c r="Y122" s="8">
        <v>-0.52110091743119269</v>
      </c>
      <c r="Z122" s="8">
        <v>-0.42238584652979577</v>
      </c>
      <c r="AA122" s="63" t="s">
        <v>41</v>
      </c>
      <c r="AB122" s="64"/>
      <c r="AL122" s="65"/>
    </row>
    <row r="123" spans="1:38" hidden="1" outlineLevel="1" x14ac:dyDescent="0.25">
      <c r="A123" s="21" t="s">
        <v>22</v>
      </c>
      <c r="B123" s="21" t="s">
        <v>404</v>
      </c>
      <c r="C123" s="21" t="s">
        <v>362</v>
      </c>
      <c r="D123" s="15">
        <v>19</v>
      </c>
      <c r="E123" s="57">
        <v>413.4736842105263</v>
      </c>
      <c r="F123" s="15">
        <v>7856</v>
      </c>
      <c r="G123" s="15">
        <v>29.444444444444446</v>
      </c>
      <c r="H123" s="57">
        <v>330.34113207547171</v>
      </c>
      <c r="I123" s="15">
        <v>9726.7111111111117</v>
      </c>
      <c r="J123" s="15">
        <v>10</v>
      </c>
      <c r="K123" s="57">
        <v>273.89999999999998</v>
      </c>
      <c r="L123" s="15">
        <v>2739</v>
      </c>
      <c r="M123" s="15">
        <v>26.301413371446721</v>
      </c>
      <c r="N123" s="15">
        <v>416.7962280770098</v>
      </c>
      <c r="O123" s="15">
        <v>10962.329886313222</v>
      </c>
      <c r="P123" s="15">
        <v>-16.301413371446721</v>
      </c>
      <c r="Q123" s="15">
        <v>-142.89622807700982</v>
      </c>
      <c r="R123" s="15">
        <v>-8223.3298863132222</v>
      </c>
      <c r="S123" s="15">
        <v>-1428.9622807700982</v>
      </c>
      <c r="T123" s="15">
        <v>-6794.3676055431242</v>
      </c>
      <c r="U123" s="17">
        <v>0.38020770438352858</v>
      </c>
      <c r="V123" s="17">
        <v>0.24985564459428636</v>
      </c>
      <c r="W123" s="17">
        <v>-0.47368421052631576</v>
      </c>
      <c r="X123" s="17">
        <v>-0.65134928716904272</v>
      </c>
      <c r="Y123" s="17">
        <v>-0.66037735849056611</v>
      </c>
      <c r="Z123" s="17">
        <v>-0.7184043024706307</v>
      </c>
      <c r="AA123" s="63" t="s">
        <v>401</v>
      </c>
      <c r="AB123" s="64"/>
      <c r="AL123" s="65"/>
    </row>
    <row r="124" spans="1:38" hidden="1" outlineLevel="1" x14ac:dyDescent="0.25">
      <c r="A124" s="21" t="s">
        <v>22</v>
      </c>
      <c r="B124" s="21" t="s">
        <v>405</v>
      </c>
      <c r="C124" s="21" t="s">
        <v>363</v>
      </c>
      <c r="D124" s="15">
        <v>33</v>
      </c>
      <c r="E124" s="57">
        <v>389.69696969696969</v>
      </c>
      <c r="F124" s="15">
        <v>12860</v>
      </c>
      <c r="G124" s="15">
        <v>31.111111111111114</v>
      </c>
      <c r="H124" s="57">
        <v>299.72446428571436</v>
      </c>
      <c r="I124" s="15">
        <v>9324.7611111111146</v>
      </c>
      <c r="J124" s="15">
        <v>19</v>
      </c>
      <c r="K124" s="57">
        <v>435.02105263157893</v>
      </c>
      <c r="L124" s="15">
        <v>8265.4</v>
      </c>
      <c r="M124" s="15">
        <v>28.143031072997729</v>
      </c>
      <c r="N124" s="15">
        <v>429.11040775376864</v>
      </c>
      <c r="O124" s="15">
        <v>12076.467539161036</v>
      </c>
      <c r="P124" s="15">
        <v>-9.1430310729977293</v>
      </c>
      <c r="Q124" s="15">
        <v>5.9106448778102845</v>
      </c>
      <c r="R124" s="15">
        <v>-3811.0675391610366</v>
      </c>
      <c r="S124" s="15">
        <v>112.3022526783954</v>
      </c>
      <c r="T124" s="15">
        <v>-3923.3697918394323</v>
      </c>
      <c r="U124" s="17">
        <v>0.67512273112009769</v>
      </c>
      <c r="V124" s="17">
        <v>0.68442199452756569</v>
      </c>
      <c r="W124" s="17">
        <v>-0.42424242424242425</v>
      </c>
      <c r="X124" s="17">
        <v>-0.35727838258164857</v>
      </c>
      <c r="Y124" s="17">
        <v>-0.38928571428571435</v>
      </c>
      <c r="Z124" s="17">
        <v>-0.11360731910320052</v>
      </c>
      <c r="AA124" s="63" t="s">
        <v>403</v>
      </c>
      <c r="AB124" s="64"/>
      <c r="AL124" s="65"/>
    </row>
    <row r="125" spans="1:38" collapsed="1" x14ac:dyDescent="0.25">
      <c r="A125" s="5" t="s">
        <v>22</v>
      </c>
      <c r="B125" s="5" t="s">
        <v>42</v>
      </c>
      <c r="C125" s="5" t="s">
        <v>65</v>
      </c>
      <c r="D125" s="6">
        <v>190</v>
      </c>
      <c r="E125" s="53">
        <v>797.43157894736839</v>
      </c>
      <c r="F125" s="6">
        <v>151512</v>
      </c>
      <c r="G125" s="6">
        <v>435</v>
      </c>
      <c r="H125" s="53">
        <v>369.3665772669226</v>
      </c>
      <c r="I125" s="6">
        <v>160674.46111111133</v>
      </c>
      <c r="J125" s="6">
        <v>161</v>
      </c>
      <c r="K125" s="53">
        <v>686.38944099378875</v>
      </c>
      <c r="L125" s="6">
        <v>110508.7</v>
      </c>
      <c r="M125" s="6">
        <v>218.32645845609898</v>
      </c>
      <c r="N125" s="6">
        <v>637.94535672514655</v>
      </c>
      <c r="O125" s="6">
        <v>139280.35042231396</v>
      </c>
      <c r="P125" s="6">
        <v>-57.326458456098976</v>
      </c>
      <c r="Q125" s="6">
        <v>48.4440842686422</v>
      </c>
      <c r="R125" s="6">
        <v>-28771.650422313964</v>
      </c>
      <c r="S125" s="6">
        <v>7799.4975672513938</v>
      </c>
      <c r="T125" s="6">
        <v>-36571.147989565354</v>
      </c>
      <c r="U125" s="8">
        <v>0.73742780026990562</v>
      </c>
      <c r="V125" s="8">
        <v>0.79342634955271851</v>
      </c>
      <c r="W125" s="8">
        <v>-0.15263157894736842</v>
      </c>
      <c r="X125" s="8">
        <v>-0.27062740905010824</v>
      </c>
      <c r="Y125" s="8">
        <v>-0.62988505747126433</v>
      </c>
      <c r="Z125" s="8">
        <v>-0.31221988089582059</v>
      </c>
      <c r="AA125" s="63" t="s">
        <v>42</v>
      </c>
      <c r="AB125" s="64"/>
      <c r="AL125" s="65"/>
    </row>
    <row r="126" spans="1:38" hidden="1" outlineLevel="1" x14ac:dyDescent="0.25">
      <c r="A126" s="21" t="s">
        <v>22</v>
      </c>
      <c r="B126" s="21" t="s">
        <v>406</v>
      </c>
      <c r="C126" s="21" t="s">
        <v>362</v>
      </c>
      <c r="D126" s="15">
        <v>97</v>
      </c>
      <c r="E126" s="57">
        <v>513.19587628865975</v>
      </c>
      <c r="F126" s="15">
        <v>49780</v>
      </c>
      <c r="G126" s="15">
        <v>323.88888888888891</v>
      </c>
      <c r="H126" s="57">
        <v>219.58226415094484</v>
      </c>
      <c r="I126" s="15">
        <v>71120.255555556025</v>
      </c>
      <c r="J126" s="15">
        <v>94</v>
      </c>
      <c r="K126" s="57">
        <v>453.44872340425525</v>
      </c>
      <c r="L126" s="15">
        <v>42624.179999999993</v>
      </c>
      <c r="M126" s="15">
        <v>108.77160409399258</v>
      </c>
      <c r="N126" s="15">
        <v>468.16036361072412</v>
      </c>
      <c r="O126" s="15">
        <v>50922.553723165292</v>
      </c>
      <c r="P126" s="15">
        <v>-14.771604093992579</v>
      </c>
      <c r="Q126" s="15">
        <v>-14.711640206468871</v>
      </c>
      <c r="R126" s="15">
        <v>-8298.3737231652995</v>
      </c>
      <c r="S126" s="15">
        <v>-1382.8941794080738</v>
      </c>
      <c r="T126" s="15">
        <v>-6915.4795437572266</v>
      </c>
      <c r="U126" s="17">
        <v>0.86419613632591075</v>
      </c>
      <c r="V126" s="17">
        <v>0.83703932508415679</v>
      </c>
      <c r="W126" s="17">
        <v>-3.0927835051546393E-2</v>
      </c>
      <c r="X126" s="17">
        <v>-0.14374889513861003</v>
      </c>
      <c r="Y126" s="17">
        <v>-0.7097770154373928</v>
      </c>
      <c r="Z126" s="17">
        <v>-0.40067453825859989</v>
      </c>
      <c r="AA126" s="63" t="s">
        <v>407</v>
      </c>
      <c r="AB126" s="64"/>
      <c r="AL126" s="65"/>
    </row>
    <row r="127" spans="1:38" hidden="1" outlineLevel="1" x14ac:dyDescent="0.25">
      <c r="A127" s="21" t="s">
        <v>22</v>
      </c>
      <c r="B127" s="21" t="s">
        <v>408</v>
      </c>
      <c r="C127" s="21" t="s">
        <v>363</v>
      </c>
      <c r="D127" s="15">
        <v>93</v>
      </c>
      <c r="E127" s="57">
        <v>1093.8924731182797</v>
      </c>
      <c r="F127" s="15">
        <v>101732</v>
      </c>
      <c r="G127" s="15">
        <v>111.11111111111111</v>
      </c>
      <c r="H127" s="57">
        <v>805.98784999999759</v>
      </c>
      <c r="I127" s="15">
        <v>89554.205555555294</v>
      </c>
      <c r="J127" s="15">
        <v>67</v>
      </c>
      <c r="K127" s="57">
        <v>1013.2017910447762</v>
      </c>
      <c r="L127" s="15">
        <v>67884.52</v>
      </c>
      <c r="M127" s="15">
        <v>109.5548543621064</v>
      </c>
      <c r="N127" s="15">
        <v>806.51649088139789</v>
      </c>
      <c r="O127" s="15">
        <v>88357.796699148661</v>
      </c>
      <c r="P127" s="15">
        <v>-42.554854362106397</v>
      </c>
      <c r="Q127" s="15">
        <v>206.68530016337832</v>
      </c>
      <c r="R127" s="15">
        <v>-20473.276699148657</v>
      </c>
      <c r="S127" s="15">
        <v>13847.915110946347</v>
      </c>
      <c r="T127" s="15">
        <v>-34321.191810094999</v>
      </c>
      <c r="U127" s="17">
        <v>0.61156578035828624</v>
      </c>
      <c r="V127" s="17">
        <v>0.76829122653591564</v>
      </c>
      <c r="W127" s="17">
        <v>-0.27956989247311825</v>
      </c>
      <c r="X127" s="17">
        <v>-0.33271222427554747</v>
      </c>
      <c r="Y127" s="17">
        <v>-0.39700000000000002</v>
      </c>
      <c r="Z127" s="17">
        <v>-0.24197284115386875</v>
      </c>
      <c r="AA127" s="63" t="s">
        <v>409</v>
      </c>
      <c r="AB127" s="64"/>
      <c r="AL127" s="65"/>
    </row>
    <row r="128" spans="1:38" collapsed="1" x14ac:dyDescent="0.25">
      <c r="A128" s="5" t="s">
        <v>22</v>
      </c>
      <c r="B128" s="5" t="s">
        <v>42</v>
      </c>
      <c r="C128" s="5" t="s">
        <v>66</v>
      </c>
      <c r="D128" s="6">
        <v>183</v>
      </c>
      <c r="E128" s="53">
        <v>961.68852459016398</v>
      </c>
      <c r="F128" s="6">
        <v>175989</v>
      </c>
      <c r="G128" s="6">
        <v>182.7777777777778</v>
      </c>
      <c r="H128" s="53">
        <v>820.68784194528871</v>
      </c>
      <c r="I128" s="6">
        <v>150003.5</v>
      </c>
      <c r="J128" s="6">
        <v>151</v>
      </c>
      <c r="K128" s="53">
        <v>757.40304635761584</v>
      </c>
      <c r="L128" s="6">
        <v>114367.85999999999</v>
      </c>
      <c r="M128" s="6">
        <v>215.0919924048975</v>
      </c>
      <c r="N128" s="6">
        <v>834.4940863787383</v>
      </c>
      <c r="O128" s="6">
        <v>179492.99568930746</v>
      </c>
      <c r="P128" s="6">
        <v>-64.091992404897496</v>
      </c>
      <c r="Q128" s="6">
        <v>-77.091040021122467</v>
      </c>
      <c r="R128" s="6">
        <v>-65125.13568930747</v>
      </c>
      <c r="S128" s="6">
        <v>-11640.747043189493</v>
      </c>
      <c r="T128" s="6">
        <v>-53484.388646117972</v>
      </c>
      <c r="U128" s="8">
        <v>0.70202520471218544</v>
      </c>
      <c r="V128" s="8">
        <v>0.63717171559142338</v>
      </c>
      <c r="W128" s="8">
        <v>-0.17486338797814208</v>
      </c>
      <c r="X128" s="8">
        <v>-0.35014199751120817</v>
      </c>
      <c r="Y128" s="8">
        <v>-0.17386018237082076</v>
      </c>
      <c r="Z128" s="8">
        <v>-0.23756539014089681</v>
      </c>
      <c r="AA128" s="63" t="s">
        <v>42</v>
      </c>
      <c r="AB128" s="64"/>
      <c r="AL128" s="65"/>
    </row>
    <row r="129" spans="1:38" hidden="1" outlineLevel="1" x14ac:dyDescent="0.25">
      <c r="A129" s="21" t="s">
        <v>22</v>
      </c>
      <c r="B129" s="21" t="s">
        <v>410</v>
      </c>
      <c r="C129" s="21" t="s">
        <v>362</v>
      </c>
      <c r="D129" s="15">
        <v>61</v>
      </c>
      <c r="E129" s="57">
        <v>723.75409836065569</v>
      </c>
      <c r="F129" s="15">
        <v>44149</v>
      </c>
      <c r="G129" s="15">
        <v>81.111111111111114</v>
      </c>
      <c r="H129" s="57">
        <v>541.29157534246542</v>
      </c>
      <c r="I129" s="15">
        <v>43904.761111111082</v>
      </c>
      <c r="J129" s="15">
        <v>55</v>
      </c>
      <c r="K129" s="57">
        <v>596.23363636363638</v>
      </c>
      <c r="L129" s="15">
        <v>32792.85</v>
      </c>
      <c r="M129" s="15">
        <v>107.16017292222972</v>
      </c>
      <c r="N129" s="15">
        <v>612.39893165080139</v>
      </c>
      <c r="O129" s="15">
        <v>65624.775413088617</v>
      </c>
      <c r="P129" s="15">
        <v>-52.160172922229719</v>
      </c>
      <c r="Q129" s="15">
        <v>-16.165295287165009</v>
      </c>
      <c r="R129" s="15">
        <v>-32831.925413088618</v>
      </c>
      <c r="S129" s="15">
        <v>-889.09124079407547</v>
      </c>
      <c r="T129" s="15">
        <v>-31942.834172294541</v>
      </c>
      <c r="U129" s="17">
        <v>0.51325038491600439</v>
      </c>
      <c r="V129" s="17">
        <v>0.49970228154806889</v>
      </c>
      <c r="W129" s="17">
        <v>-9.8360655737704916E-2</v>
      </c>
      <c r="X129" s="17">
        <v>-0.25722326666515666</v>
      </c>
      <c r="Y129" s="17">
        <v>-0.32191780821917809</v>
      </c>
      <c r="Z129" s="17">
        <v>-0.25309125547887257</v>
      </c>
      <c r="AA129" s="63" t="s">
        <v>407</v>
      </c>
      <c r="AB129" s="64"/>
      <c r="AL129" s="65"/>
    </row>
    <row r="130" spans="1:38" hidden="1" outlineLevel="1" x14ac:dyDescent="0.25">
      <c r="A130" s="21" t="s">
        <v>22</v>
      </c>
      <c r="B130" s="21" t="s">
        <v>411</v>
      </c>
      <c r="C130" s="21" t="s">
        <v>363</v>
      </c>
      <c r="D130" s="15">
        <v>123</v>
      </c>
      <c r="E130" s="57">
        <v>1071.8699186991869</v>
      </c>
      <c r="F130" s="15">
        <v>131840</v>
      </c>
      <c r="G130" s="15">
        <v>101.66666666666667</v>
      </c>
      <c r="H130" s="57">
        <v>1043.5941530054647</v>
      </c>
      <c r="I130" s="15">
        <v>106098.73888888891</v>
      </c>
      <c r="J130" s="15">
        <v>96</v>
      </c>
      <c r="K130" s="57">
        <v>849.73968749999983</v>
      </c>
      <c r="L130" s="15">
        <v>81575.00999999998</v>
      </c>
      <c r="M130" s="15">
        <v>107.93181948266778</v>
      </c>
      <c r="N130" s="15">
        <v>1055.0013964556981</v>
      </c>
      <c r="O130" s="15">
        <v>113868.22027621884</v>
      </c>
      <c r="P130" s="15">
        <v>-11.931819482667777</v>
      </c>
      <c r="Q130" s="15">
        <v>-205.26170895569828</v>
      </c>
      <c r="R130" s="15">
        <v>-32293.210276218859</v>
      </c>
      <c r="S130" s="15">
        <v>-19705.124059747035</v>
      </c>
      <c r="T130" s="15">
        <v>-12588.086216471809</v>
      </c>
      <c r="U130" s="17">
        <v>0.88945039989264851</v>
      </c>
      <c r="V130" s="17">
        <v>0.71639839282740392</v>
      </c>
      <c r="W130" s="17">
        <v>-0.21951219512195122</v>
      </c>
      <c r="X130" s="17">
        <v>-0.38125750910194189</v>
      </c>
      <c r="Y130" s="17">
        <v>-5.5737704918032829E-2</v>
      </c>
      <c r="Z130" s="17">
        <v>-0.23114062566352667</v>
      </c>
      <c r="AA130" s="63" t="s">
        <v>409</v>
      </c>
      <c r="AB130" s="64"/>
      <c r="AL130" s="65"/>
    </row>
    <row r="131" spans="1:38" collapsed="1" x14ac:dyDescent="0.25">
      <c r="A131" s="5" t="s">
        <v>22</v>
      </c>
      <c r="B131" s="5" t="s">
        <v>42</v>
      </c>
      <c r="C131" s="5" t="s">
        <v>67</v>
      </c>
      <c r="D131" s="6">
        <v>222</v>
      </c>
      <c r="E131" s="53">
        <v>970.3648648648649</v>
      </c>
      <c r="F131" s="6">
        <v>215421</v>
      </c>
      <c r="G131" s="6">
        <v>176.11111111111111</v>
      </c>
      <c r="H131" s="53">
        <v>915.63429022081982</v>
      </c>
      <c r="I131" s="6">
        <v>161253.37222222215</v>
      </c>
      <c r="J131" s="6">
        <v>176</v>
      </c>
      <c r="K131" s="53">
        <v>1090.6273863636359</v>
      </c>
      <c r="L131" s="6">
        <v>191950.41999999993</v>
      </c>
      <c r="M131" s="6">
        <v>186.52087561928457</v>
      </c>
      <c r="N131" s="6">
        <v>831.27420457225878</v>
      </c>
      <c r="O131" s="6">
        <v>155049.992516542</v>
      </c>
      <c r="P131" s="6">
        <v>-10.520875619284567</v>
      </c>
      <c r="Q131" s="6">
        <v>259.3531817913771</v>
      </c>
      <c r="R131" s="6">
        <v>36900.427483457926</v>
      </c>
      <c r="S131" s="6">
        <v>45646.159995282367</v>
      </c>
      <c r="T131" s="6">
        <v>-8745.732511824448</v>
      </c>
      <c r="U131" s="8">
        <v>0.94359411200299548</v>
      </c>
      <c r="V131" s="8">
        <v>1.2379905144434049</v>
      </c>
      <c r="W131" s="8">
        <v>-0.2072072072072072</v>
      </c>
      <c r="X131" s="8">
        <v>-0.10895214486981342</v>
      </c>
      <c r="Y131" s="8">
        <v>-6.3091482649844065E-4</v>
      </c>
      <c r="Z131" s="8">
        <v>0.19036530743353622</v>
      </c>
      <c r="AA131" s="63" t="s">
        <v>42</v>
      </c>
      <c r="AB131" s="64"/>
      <c r="AL131" s="65"/>
    </row>
    <row r="132" spans="1:38" hidden="1" outlineLevel="1" x14ac:dyDescent="0.25">
      <c r="A132" s="21" t="s">
        <v>22</v>
      </c>
      <c r="B132" s="21" t="s">
        <v>412</v>
      </c>
      <c r="C132" s="21" t="s">
        <v>362</v>
      </c>
      <c r="D132" s="15">
        <v>108</v>
      </c>
      <c r="E132" s="57">
        <v>921.37037037037032</v>
      </c>
      <c r="F132" s="15">
        <v>99508</v>
      </c>
      <c r="G132" s="15">
        <v>82.222222222222229</v>
      </c>
      <c r="H132" s="57">
        <v>725.49824324324334</v>
      </c>
      <c r="I132" s="15">
        <v>59652.077777777791</v>
      </c>
      <c r="J132" s="15">
        <v>79</v>
      </c>
      <c r="K132" s="57">
        <v>949.98936708860742</v>
      </c>
      <c r="L132" s="15">
        <v>75049.159999999989</v>
      </c>
      <c r="M132" s="15">
        <v>92.925864238324522</v>
      </c>
      <c r="N132" s="15">
        <v>610.03600037241847</v>
      </c>
      <c r="O132" s="15">
        <v>56688.122551097847</v>
      </c>
      <c r="P132" s="15">
        <v>-13.925864238324522</v>
      </c>
      <c r="Q132" s="15">
        <v>339.95336671618895</v>
      </c>
      <c r="R132" s="15">
        <v>18361.037448902141</v>
      </c>
      <c r="S132" s="15">
        <v>26856.315970578926</v>
      </c>
      <c r="T132" s="15">
        <v>-8495.2785216767861</v>
      </c>
      <c r="U132" s="17">
        <v>0.85014006216171178</v>
      </c>
      <c r="V132" s="17">
        <v>1.3238956702500029</v>
      </c>
      <c r="W132" s="17">
        <v>-0.26851851851851855</v>
      </c>
      <c r="X132" s="17">
        <v>-0.24579772480604586</v>
      </c>
      <c r="Y132" s="17">
        <v>-3.9189189189189261E-2</v>
      </c>
      <c r="Z132" s="17">
        <v>0.25811476809879164</v>
      </c>
      <c r="AA132" s="63" t="s">
        <v>407</v>
      </c>
      <c r="AB132" s="64"/>
      <c r="AL132" s="65"/>
    </row>
    <row r="133" spans="1:38" hidden="1" outlineLevel="1" x14ac:dyDescent="0.25">
      <c r="A133" s="21" t="s">
        <v>22</v>
      </c>
      <c r="B133" s="21" t="s">
        <v>413</v>
      </c>
      <c r="C133" s="21" t="s">
        <v>363</v>
      </c>
      <c r="D133" s="15">
        <v>114</v>
      </c>
      <c r="E133" s="57">
        <v>1016.780701754386</v>
      </c>
      <c r="F133" s="15">
        <v>115913</v>
      </c>
      <c r="G133" s="15">
        <v>93.8888888888889</v>
      </c>
      <c r="H133" s="57">
        <v>1082.1439644970405</v>
      </c>
      <c r="I133" s="15">
        <v>101601.29444444437</v>
      </c>
      <c r="J133" s="15">
        <v>97</v>
      </c>
      <c r="K133" s="57">
        <v>1205.1676288659794</v>
      </c>
      <c r="L133" s="15">
        <v>116901.26</v>
      </c>
      <c r="M133" s="15">
        <v>93.595011380960045</v>
      </c>
      <c r="N133" s="15">
        <v>1050.9306907937812</v>
      </c>
      <c r="O133" s="15">
        <v>98361.869965444144</v>
      </c>
      <c r="P133" s="15">
        <v>3.4049886190399548</v>
      </c>
      <c r="Q133" s="15">
        <v>154.2369380721982</v>
      </c>
      <c r="R133" s="15">
        <v>18539.39003455585</v>
      </c>
      <c r="S133" s="15">
        <v>14960.982993003225</v>
      </c>
      <c r="T133" s="15">
        <v>3578.4070415526226</v>
      </c>
      <c r="U133" s="17">
        <v>1.0363800224905215</v>
      </c>
      <c r="V133" s="17">
        <v>1.1884814719470969</v>
      </c>
      <c r="W133" s="17">
        <v>-0.14912280701754385</v>
      </c>
      <c r="X133" s="17">
        <v>8.5258771664955164E-3</v>
      </c>
      <c r="Y133" s="17">
        <v>3.3136094674556089E-2</v>
      </c>
      <c r="Z133" s="17">
        <v>0.15058829357653167</v>
      </c>
      <c r="AA133" s="63" t="s">
        <v>409</v>
      </c>
      <c r="AB133" s="64"/>
      <c r="AL133" s="65"/>
    </row>
    <row r="134" spans="1:38" collapsed="1" x14ac:dyDescent="0.25">
      <c r="A134" s="5" t="s">
        <v>22</v>
      </c>
      <c r="B134" s="5" t="s">
        <v>42</v>
      </c>
      <c r="C134" s="5" t="s">
        <v>68</v>
      </c>
      <c r="D134" s="6">
        <v>71</v>
      </c>
      <c r="E134" s="53">
        <v>785.54929577464793</v>
      </c>
      <c r="F134" s="6">
        <v>55774</v>
      </c>
      <c r="G134" s="6">
        <v>114.44444444444444</v>
      </c>
      <c r="H134" s="53">
        <v>728.94461165048574</v>
      </c>
      <c r="I134" s="6">
        <v>83423.661111111142</v>
      </c>
      <c r="J134" s="6">
        <v>85</v>
      </c>
      <c r="K134" s="53">
        <v>836.38670588235289</v>
      </c>
      <c r="L134" s="6">
        <v>71092.87</v>
      </c>
      <c r="M134" s="6">
        <v>139.62111787686328</v>
      </c>
      <c r="N134" s="6">
        <v>732.93751515151564</v>
      </c>
      <c r="O134" s="6">
        <v>102333.55519934504</v>
      </c>
      <c r="P134" s="6">
        <v>-54.621117876863281</v>
      </c>
      <c r="Q134" s="6">
        <v>103.44919073083724</v>
      </c>
      <c r="R134" s="6">
        <v>-31240.68519934504</v>
      </c>
      <c r="S134" s="6">
        <v>8793.181212121166</v>
      </c>
      <c r="T134" s="6">
        <v>-40033.866411466202</v>
      </c>
      <c r="U134" s="8">
        <v>0.60879042721148002</v>
      </c>
      <c r="V134" s="8">
        <v>0.69471709315201247</v>
      </c>
      <c r="W134" s="8">
        <v>0.19718309859154928</v>
      </c>
      <c r="X134" s="8">
        <v>0.2746596980671997</v>
      </c>
      <c r="Y134" s="8">
        <v>-0.25728155339805825</v>
      </c>
      <c r="Z134" s="8">
        <v>-0.14780927793000942</v>
      </c>
      <c r="AA134" s="63" t="s">
        <v>42</v>
      </c>
      <c r="AB134" s="64"/>
      <c r="AL134" s="65"/>
    </row>
    <row r="135" spans="1:38" hidden="1" outlineLevel="1" x14ac:dyDescent="0.25">
      <c r="A135" s="21" t="s">
        <v>22</v>
      </c>
      <c r="B135" s="21" t="s">
        <v>414</v>
      </c>
      <c r="C135" s="21" t="s">
        <v>362</v>
      </c>
      <c r="D135" s="15">
        <v>31</v>
      </c>
      <c r="E135" s="57">
        <v>732.74193548387098</v>
      </c>
      <c r="F135" s="15">
        <v>22715</v>
      </c>
      <c r="G135" s="15">
        <v>60.555555555555557</v>
      </c>
      <c r="H135" s="57">
        <v>590.74311926605503</v>
      </c>
      <c r="I135" s="15">
        <v>35772.777777777781</v>
      </c>
      <c r="J135" s="15">
        <v>42</v>
      </c>
      <c r="K135" s="57">
        <v>542.84809523809531</v>
      </c>
      <c r="L135" s="15">
        <v>22799.620000000003</v>
      </c>
      <c r="M135" s="15">
        <v>69.560112247763144</v>
      </c>
      <c r="N135" s="15">
        <v>537.87097904234747</v>
      </c>
      <c r="O135" s="15">
        <v>37414.365676999951</v>
      </c>
      <c r="P135" s="15">
        <v>-27.560112247763144</v>
      </c>
      <c r="Q135" s="15">
        <v>4.9771161957478398</v>
      </c>
      <c r="R135" s="15">
        <v>-14614.745676999948</v>
      </c>
      <c r="S135" s="15">
        <v>209.03888022140927</v>
      </c>
      <c r="T135" s="15">
        <v>-14823.784557221354</v>
      </c>
      <c r="U135" s="17">
        <v>0.60379431031396302</v>
      </c>
      <c r="V135" s="17">
        <v>0.60938143911967502</v>
      </c>
      <c r="W135" s="17">
        <v>0.35483870967741937</v>
      </c>
      <c r="X135" s="17">
        <v>3.7252916574951628E-3</v>
      </c>
      <c r="Y135" s="17">
        <v>-0.30642201834862387</v>
      </c>
      <c r="Z135" s="17">
        <v>-0.36265447034523457</v>
      </c>
      <c r="AA135" s="63" t="s">
        <v>407</v>
      </c>
      <c r="AB135" s="64"/>
      <c r="AL135" s="65"/>
    </row>
    <row r="136" spans="1:38" hidden="1" outlineLevel="1" x14ac:dyDescent="0.25">
      <c r="A136" s="21" t="s">
        <v>22</v>
      </c>
      <c r="B136" s="21" t="s">
        <v>415</v>
      </c>
      <c r="C136" s="21" t="s">
        <v>363</v>
      </c>
      <c r="D136" s="15">
        <v>40</v>
      </c>
      <c r="E136" s="57">
        <v>826.45</v>
      </c>
      <c r="F136" s="15">
        <v>33058</v>
      </c>
      <c r="G136" s="15">
        <v>53.888888888888893</v>
      </c>
      <c r="H136" s="57">
        <v>884.24319587628906</v>
      </c>
      <c r="I136" s="15">
        <v>47650.88333333336</v>
      </c>
      <c r="J136" s="15">
        <v>43</v>
      </c>
      <c r="K136" s="57">
        <v>1123.0988372093022</v>
      </c>
      <c r="L136" s="15">
        <v>48293.25</v>
      </c>
      <c r="M136" s="15">
        <v>70.061005629100137</v>
      </c>
      <c r="N136" s="15">
        <v>926.60944471771359</v>
      </c>
      <c r="O136" s="15">
        <v>64919.189522345085</v>
      </c>
      <c r="P136" s="15">
        <v>-27.061005629100137</v>
      </c>
      <c r="Q136" s="15">
        <v>196.48939249158866</v>
      </c>
      <c r="R136" s="15">
        <v>-16625.939522345085</v>
      </c>
      <c r="S136" s="15">
        <v>8449.0438771383124</v>
      </c>
      <c r="T136" s="15">
        <v>-25074.983399483401</v>
      </c>
      <c r="U136" s="17">
        <v>0.61375082492592381</v>
      </c>
      <c r="V136" s="17">
        <v>0.74389791917191972</v>
      </c>
      <c r="W136" s="17">
        <v>7.4999999999999997E-2</v>
      </c>
      <c r="X136" s="17">
        <v>0.46086423861092624</v>
      </c>
      <c r="Y136" s="17">
        <v>-0.20206185567010315</v>
      </c>
      <c r="Z136" s="17">
        <v>1.3480687486380403E-2</v>
      </c>
      <c r="AA136" s="63" t="s">
        <v>409</v>
      </c>
      <c r="AB136" s="64"/>
      <c r="AL136" s="65"/>
    </row>
    <row r="137" spans="1:38" collapsed="1" x14ac:dyDescent="0.25">
      <c r="A137" s="5" t="s">
        <v>22</v>
      </c>
      <c r="B137" s="5" t="s">
        <v>42</v>
      </c>
      <c r="C137" s="5" t="s">
        <v>69</v>
      </c>
      <c r="D137" s="6">
        <v>47</v>
      </c>
      <c r="E137" s="53">
        <v>858.31914893617022</v>
      </c>
      <c r="F137" s="6">
        <v>40341</v>
      </c>
      <c r="G137" s="6">
        <v>172.77777777777777</v>
      </c>
      <c r="H137" s="53">
        <v>602.0223151125399</v>
      </c>
      <c r="I137" s="6">
        <v>104016.07777777773</v>
      </c>
      <c r="J137" s="6">
        <v>103</v>
      </c>
      <c r="K137" s="53">
        <v>929.12417475728159</v>
      </c>
      <c r="L137" s="6">
        <v>95699.790000000008</v>
      </c>
      <c r="M137" s="6">
        <v>155.25437045767038</v>
      </c>
      <c r="N137" s="6">
        <v>770.97279720279766</v>
      </c>
      <c r="O137" s="6">
        <v>119696.89626970953</v>
      </c>
      <c r="P137" s="6">
        <v>-52.254370457670376</v>
      </c>
      <c r="Q137" s="6">
        <v>158.15137755448393</v>
      </c>
      <c r="R137" s="6">
        <v>-23997.106269709519</v>
      </c>
      <c r="S137" s="6">
        <v>16289.591888111845</v>
      </c>
      <c r="T137" s="6">
        <v>-40286.698157821367</v>
      </c>
      <c r="U137" s="8">
        <v>0.66342737854251022</v>
      </c>
      <c r="V137" s="8">
        <v>0.79951772336988969</v>
      </c>
      <c r="W137" s="8">
        <v>1.1914893617021276</v>
      </c>
      <c r="X137" s="8">
        <v>1.3722711385439132</v>
      </c>
      <c r="Y137" s="8">
        <v>-0.40385852090032154</v>
      </c>
      <c r="Z137" s="8">
        <v>-7.9951945463131391E-2</v>
      </c>
      <c r="AA137" s="63" t="s">
        <v>42</v>
      </c>
      <c r="AB137" s="64"/>
      <c r="AL137" s="65"/>
    </row>
    <row r="138" spans="1:38" hidden="1" outlineLevel="1" x14ac:dyDescent="0.25">
      <c r="A138" s="21" t="s">
        <v>22</v>
      </c>
      <c r="B138" s="21" t="s">
        <v>416</v>
      </c>
      <c r="C138" s="21" t="s">
        <v>362</v>
      </c>
      <c r="D138" s="15">
        <v>21</v>
      </c>
      <c r="E138" s="57">
        <v>497.8095238095238</v>
      </c>
      <c r="F138" s="15">
        <v>10454</v>
      </c>
      <c r="G138" s="15">
        <v>98.8888888888889</v>
      </c>
      <c r="H138" s="57">
        <v>351.54724719101085</v>
      </c>
      <c r="I138" s="15">
        <v>34764.116666666632</v>
      </c>
      <c r="J138" s="15">
        <v>54</v>
      </c>
      <c r="K138" s="57">
        <v>527.12629629629635</v>
      </c>
      <c r="L138" s="15">
        <v>28464.820000000003</v>
      </c>
      <c r="M138" s="15">
        <v>77.348696244616946</v>
      </c>
      <c r="N138" s="15">
        <v>565.78341901459487</v>
      </c>
      <c r="O138" s="15">
        <v>43762.609817600729</v>
      </c>
      <c r="P138" s="15">
        <v>-23.348696244616946</v>
      </c>
      <c r="Q138" s="15">
        <v>-38.657122718298524</v>
      </c>
      <c r="R138" s="15">
        <v>-15297.789817600726</v>
      </c>
      <c r="S138" s="15">
        <v>-2087.4846267881203</v>
      </c>
      <c r="T138" s="15">
        <v>-13210.305190812607</v>
      </c>
      <c r="U138" s="17">
        <v>0.69813717130051967</v>
      </c>
      <c r="V138" s="17">
        <v>0.65043698533152472</v>
      </c>
      <c r="W138" s="17">
        <v>1.5714285714285714</v>
      </c>
      <c r="X138" s="17">
        <v>1.7228639755117661</v>
      </c>
      <c r="Y138" s="17">
        <v>-0.45393258426966299</v>
      </c>
      <c r="Z138" s="17">
        <v>-0.18120111398391067</v>
      </c>
      <c r="AA138" s="63" t="s">
        <v>407</v>
      </c>
      <c r="AB138" s="64"/>
      <c r="AL138" s="65"/>
    </row>
    <row r="139" spans="1:38" hidden="1" outlineLevel="1" x14ac:dyDescent="0.25">
      <c r="A139" s="21" t="s">
        <v>22</v>
      </c>
      <c r="B139" s="21" t="s">
        <v>417</v>
      </c>
      <c r="C139" s="21" t="s">
        <v>363</v>
      </c>
      <c r="D139" s="15">
        <v>26</v>
      </c>
      <c r="E139" s="57">
        <v>1149.5</v>
      </c>
      <c r="F139" s="15">
        <v>29887</v>
      </c>
      <c r="G139" s="15">
        <v>73.888888888888886</v>
      </c>
      <c r="H139" s="57">
        <v>937.24458646616506</v>
      </c>
      <c r="I139" s="15">
        <v>69251.961111111086</v>
      </c>
      <c r="J139" s="15">
        <v>49</v>
      </c>
      <c r="K139" s="57">
        <v>1372.142244897959</v>
      </c>
      <c r="L139" s="15">
        <v>67234.969999999987</v>
      </c>
      <c r="M139" s="15">
        <v>77.90567421305343</v>
      </c>
      <c r="N139" s="15">
        <v>974.69519671245814</v>
      </c>
      <c r="O139" s="15">
        <v>75934.28645210879</v>
      </c>
      <c r="P139" s="15">
        <v>-28.90567421305343</v>
      </c>
      <c r="Q139" s="15">
        <v>397.44704818550088</v>
      </c>
      <c r="R139" s="15">
        <v>-8699.3164521088038</v>
      </c>
      <c r="S139" s="15">
        <v>19474.905361089543</v>
      </c>
      <c r="T139" s="15">
        <v>-28174.221813198343</v>
      </c>
      <c r="U139" s="17">
        <v>0.62896573959422641</v>
      </c>
      <c r="V139" s="17">
        <v>0.88543625207309484</v>
      </c>
      <c r="W139" s="17">
        <v>0.88461538461538458</v>
      </c>
      <c r="X139" s="17">
        <v>1.2496393080603603</v>
      </c>
      <c r="Y139" s="17">
        <v>-0.33684210526315789</v>
      </c>
      <c r="Z139" s="17">
        <v>-2.912540062042351E-2</v>
      </c>
      <c r="AA139" s="63" t="s">
        <v>409</v>
      </c>
      <c r="AB139" s="64"/>
      <c r="AL139" s="65"/>
    </row>
    <row r="140" spans="1:38" collapsed="1" x14ac:dyDescent="0.25">
      <c r="A140" s="5" t="s">
        <v>22</v>
      </c>
      <c r="B140" s="5" t="s">
        <v>43</v>
      </c>
      <c r="C140" s="5" t="s">
        <v>70</v>
      </c>
      <c r="D140" s="6">
        <v>0</v>
      </c>
      <c r="E140" s="53" t="s">
        <v>364</v>
      </c>
      <c r="F140" s="6">
        <v>0</v>
      </c>
      <c r="G140" s="6">
        <v>0</v>
      </c>
      <c r="H140" s="53" t="s">
        <v>364</v>
      </c>
      <c r="I140" s="6">
        <v>0</v>
      </c>
      <c r="J140" s="6">
        <v>38</v>
      </c>
      <c r="K140" s="53">
        <v>620.03894736842108</v>
      </c>
      <c r="L140" s="6">
        <v>23561.48</v>
      </c>
      <c r="M140" s="6">
        <v>48.888888888888893</v>
      </c>
      <c r="N140" s="6">
        <v>763.09124999999995</v>
      </c>
      <c r="O140" s="6">
        <v>37306.683333333334</v>
      </c>
      <c r="P140" s="6">
        <v>-10.888888888888893</v>
      </c>
      <c r="Q140" s="6">
        <v>-143.05230263157887</v>
      </c>
      <c r="R140" s="6">
        <v>-13745.203333333335</v>
      </c>
      <c r="S140" s="6">
        <v>-5435.9874999999975</v>
      </c>
      <c r="T140" s="6">
        <v>-8309.2158333333355</v>
      </c>
      <c r="U140" s="8">
        <v>0.77727272727272723</v>
      </c>
      <c r="V140" s="8">
        <v>0.63156190512781218</v>
      </c>
      <c r="W140" s="8" t="s">
        <v>364</v>
      </c>
      <c r="X140" s="8" t="s">
        <v>364</v>
      </c>
      <c r="Y140" s="8" t="s">
        <v>364</v>
      </c>
      <c r="Z140" s="8" t="s">
        <v>364</v>
      </c>
      <c r="AA140" s="63" t="s">
        <v>43</v>
      </c>
      <c r="AB140" s="64"/>
      <c r="AL140" s="65"/>
    </row>
    <row r="141" spans="1:38" hidden="1" outlineLevel="1" x14ac:dyDescent="0.25">
      <c r="A141" s="21" t="s">
        <v>22</v>
      </c>
      <c r="B141" s="21" t="s">
        <v>418</v>
      </c>
      <c r="C141" s="21" t="s">
        <v>362</v>
      </c>
      <c r="D141" s="15">
        <v>0</v>
      </c>
      <c r="E141" s="57" t="s">
        <v>364</v>
      </c>
      <c r="F141" s="15">
        <v>0</v>
      </c>
      <c r="G141" s="15">
        <v>0</v>
      </c>
      <c r="H141" s="57" t="s">
        <v>364</v>
      </c>
      <c r="I141" s="15">
        <v>0</v>
      </c>
      <c r="J141" s="15">
        <v>16</v>
      </c>
      <c r="K141" s="57">
        <v>607.43312500000002</v>
      </c>
      <c r="L141" s="15">
        <v>9718.93</v>
      </c>
      <c r="M141" s="15">
        <v>17.783257980545283</v>
      </c>
      <c r="N141" s="15">
        <v>558.55330830650553</v>
      </c>
      <c r="O141" s="15">
        <v>9932.8975775016352</v>
      </c>
      <c r="P141" s="15">
        <v>-1.7832579805452831</v>
      </c>
      <c r="Q141" s="15">
        <v>48.87981669349449</v>
      </c>
      <c r="R141" s="15">
        <v>-213.96757750163488</v>
      </c>
      <c r="S141" s="15">
        <v>782.07706709591184</v>
      </c>
      <c r="T141" s="15">
        <v>-996.04464459754593</v>
      </c>
      <c r="U141" s="17">
        <v>0.89972265023112463</v>
      </c>
      <c r="V141" s="17">
        <v>0.97845869487406378</v>
      </c>
      <c r="W141" s="17" t="s">
        <v>364</v>
      </c>
      <c r="X141" s="17" t="s">
        <v>364</v>
      </c>
      <c r="Y141" s="17" t="s">
        <v>364</v>
      </c>
      <c r="Z141" s="17" t="s">
        <v>364</v>
      </c>
      <c r="AA141" s="63" t="s">
        <v>419</v>
      </c>
      <c r="AB141" s="64"/>
      <c r="AL141" s="65"/>
    </row>
    <row r="142" spans="1:38" hidden="1" outlineLevel="1" x14ac:dyDescent="0.25">
      <c r="A142" s="21" t="s">
        <v>22</v>
      </c>
      <c r="B142" s="21" t="s">
        <v>420</v>
      </c>
      <c r="C142" s="21" t="s">
        <v>363</v>
      </c>
      <c r="D142" s="15">
        <v>0</v>
      </c>
      <c r="E142" s="57" t="s">
        <v>364</v>
      </c>
      <c r="F142" s="15">
        <v>0</v>
      </c>
      <c r="G142" s="15">
        <v>0</v>
      </c>
      <c r="H142" s="57" t="s">
        <v>364</v>
      </c>
      <c r="I142" s="15">
        <v>0</v>
      </c>
      <c r="J142" s="15">
        <v>22</v>
      </c>
      <c r="K142" s="57">
        <v>629.20681818181822</v>
      </c>
      <c r="L142" s="15">
        <v>13842.550000000001</v>
      </c>
      <c r="M142" s="15">
        <v>31.10563090834361</v>
      </c>
      <c r="N142" s="15">
        <v>880.02670116197828</v>
      </c>
      <c r="O142" s="15">
        <v>27373.785755831697</v>
      </c>
      <c r="P142" s="15">
        <v>-9.1056309083436098</v>
      </c>
      <c r="Q142" s="15">
        <v>-250.81988298016006</v>
      </c>
      <c r="R142" s="15">
        <v>-13531.235755831696</v>
      </c>
      <c r="S142" s="15">
        <v>-5518.0374255635215</v>
      </c>
      <c r="T142" s="15">
        <v>-8013.1983302681747</v>
      </c>
      <c r="U142" s="17">
        <v>0.70726744186046508</v>
      </c>
      <c r="V142" s="17">
        <v>0.5056863571400968</v>
      </c>
      <c r="W142" s="17" t="s">
        <v>364</v>
      </c>
      <c r="X142" s="17" t="s">
        <v>364</v>
      </c>
      <c r="Y142" s="17" t="s">
        <v>364</v>
      </c>
      <c r="Z142" s="17" t="s">
        <v>364</v>
      </c>
      <c r="AA142" s="63" t="s">
        <v>421</v>
      </c>
      <c r="AB142" s="64"/>
      <c r="AL142" s="65"/>
    </row>
    <row r="143" spans="1:38" collapsed="1" x14ac:dyDescent="0.25">
      <c r="A143" s="5" t="s">
        <v>22</v>
      </c>
      <c r="B143" s="5" t="s">
        <v>44</v>
      </c>
      <c r="C143" s="5" t="s">
        <v>71</v>
      </c>
      <c r="D143" s="6">
        <v>306</v>
      </c>
      <c r="E143" s="53">
        <v>796.60130718954247</v>
      </c>
      <c r="F143" s="6">
        <v>243760</v>
      </c>
      <c r="G143" s="6">
        <v>354.44444444444446</v>
      </c>
      <c r="H143" s="53">
        <v>839.19692789968792</v>
      </c>
      <c r="I143" s="6">
        <v>297448.68888888939</v>
      </c>
      <c r="J143" s="6">
        <v>349</v>
      </c>
      <c r="K143" s="53">
        <v>749.22931232091685</v>
      </c>
      <c r="L143" s="6">
        <v>261481.02999999997</v>
      </c>
      <c r="M143" s="6">
        <v>383.33333333333337</v>
      </c>
      <c r="N143" s="6">
        <v>803.53062068965596</v>
      </c>
      <c r="O143" s="6">
        <v>308020.07126436813</v>
      </c>
      <c r="P143" s="6">
        <v>-34.333333333333371</v>
      </c>
      <c r="Q143" s="6">
        <v>-54.301308368739114</v>
      </c>
      <c r="R143" s="6">
        <v>-46539.041264368163</v>
      </c>
      <c r="S143" s="6">
        <v>-18951.156620689952</v>
      </c>
      <c r="T143" s="6">
        <v>-27587.884643678219</v>
      </c>
      <c r="U143" s="8">
        <v>0.91043478260869559</v>
      </c>
      <c r="V143" s="8">
        <v>0.84890906273304334</v>
      </c>
      <c r="W143" s="8">
        <v>0.14052287581699346</v>
      </c>
      <c r="X143" s="8">
        <v>7.2698679028552551E-2</v>
      </c>
      <c r="Y143" s="8">
        <v>-1.5360501567398155E-2</v>
      </c>
      <c r="Z143" s="8">
        <v>-0.1209205494340739</v>
      </c>
      <c r="AA143" s="63" t="s">
        <v>44</v>
      </c>
      <c r="AB143" s="64"/>
      <c r="AL143" s="65"/>
    </row>
    <row r="144" spans="1:38" hidden="1" outlineLevel="1" x14ac:dyDescent="0.25">
      <c r="A144" s="21" t="s">
        <v>22</v>
      </c>
      <c r="B144" s="21" t="s">
        <v>422</v>
      </c>
      <c r="C144" s="21" t="s">
        <v>362</v>
      </c>
      <c r="D144" s="15">
        <v>162</v>
      </c>
      <c r="E144" s="57">
        <v>765.06172839506178</v>
      </c>
      <c r="F144" s="15">
        <v>123940</v>
      </c>
      <c r="G144" s="15">
        <v>226.11111111111111</v>
      </c>
      <c r="H144" s="57">
        <v>798.05810810810976</v>
      </c>
      <c r="I144" s="15">
        <v>180449.80555555594</v>
      </c>
      <c r="J144" s="15">
        <v>218</v>
      </c>
      <c r="K144" s="57">
        <v>651.2904587155964</v>
      </c>
      <c r="L144" s="15">
        <v>141981.32</v>
      </c>
      <c r="M144" s="15">
        <v>224.64232458791764</v>
      </c>
      <c r="N144" s="15">
        <v>750.55772197570457</v>
      </c>
      <c r="O144" s="15">
        <v>168607.03140203428</v>
      </c>
      <c r="P144" s="15">
        <v>-6.642324587917642</v>
      </c>
      <c r="Q144" s="15">
        <v>-99.267263260108166</v>
      </c>
      <c r="R144" s="15">
        <v>-26625.711402034271</v>
      </c>
      <c r="S144" s="15">
        <v>-21640.263390703582</v>
      </c>
      <c r="T144" s="15">
        <v>-4985.4480113306763</v>
      </c>
      <c r="U144" s="17">
        <v>0.97043155335886822</v>
      </c>
      <c r="V144" s="17">
        <v>0.8420842168880448</v>
      </c>
      <c r="W144" s="17">
        <v>0.34567901234567899</v>
      </c>
      <c r="X144" s="17">
        <v>0.14556495078263681</v>
      </c>
      <c r="Y144" s="17">
        <v>-3.5872235872235883E-2</v>
      </c>
      <c r="Z144" s="17">
        <v>-0.21318108621465073</v>
      </c>
      <c r="AA144" s="63" t="s">
        <v>423</v>
      </c>
      <c r="AB144" s="64"/>
      <c r="AL144" s="65"/>
    </row>
    <row r="145" spans="1:38" hidden="1" outlineLevel="1" x14ac:dyDescent="0.25">
      <c r="A145" s="21" t="s">
        <v>22</v>
      </c>
      <c r="B145" s="21" t="s">
        <v>424</v>
      </c>
      <c r="C145" s="21" t="s">
        <v>363</v>
      </c>
      <c r="D145" s="15">
        <v>144</v>
      </c>
      <c r="E145" s="57">
        <v>832.08333333333337</v>
      </c>
      <c r="F145" s="15">
        <v>119820</v>
      </c>
      <c r="G145" s="15">
        <v>128.33333333333334</v>
      </c>
      <c r="H145" s="57">
        <v>911.67961038961118</v>
      </c>
      <c r="I145" s="15">
        <v>116998.88333333345</v>
      </c>
      <c r="J145" s="15">
        <v>131</v>
      </c>
      <c r="K145" s="57">
        <v>912.21152671755715</v>
      </c>
      <c r="L145" s="15">
        <v>119499.70999999999</v>
      </c>
      <c r="M145" s="15">
        <v>158.69100874541573</v>
      </c>
      <c r="N145" s="15">
        <v>878.51883332590671</v>
      </c>
      <c r="O145" s="15">
        <v>139413.03986233388</v>
      </c>
      <c r="P145" s="15">
        <v>-27.691008745415729</v>
      </c>
      <c r="Q145" s="15">
        <v>33.692693391650437</v>
      </c>
      <c r="R145" s="15">
        <v>-19913.329862333892</v>
      </c>
      <c r="S145" s="15">
        <v>4413.7428343062074</v>
      </c>
      <c r="T145" s="15">
        <v>-24327.072696640105</v>
      </c>
      <c r="U145" s="17">
        <v>0.82550360625761876</v>
      </c>
      <c r="V145" s="17">
        <v>0.85716307540530146</v>
      </c>
      <c r="W145" s="17">
        <v>-9.0277777777777776E-2</v>
      </c>
      <c r="X145" s="17">
        <v>-2.6730929727925901E-3</v>
      </c>
      <c r="Y145" s="17">
        <v>2.0779220779220703E-2</v>
      </c>
      <c r="Z145" s="17">
        <v>2.1374790899000389E-2</v>
      </c>
      <c r="AA145" s="63" t="s">
        <v>425</v>
      </c>
      <c r="AB145" s="64"/>
      <c r="AL145" s="65"/>
    </row>
    <row r="146" spans="1:38" collapsed="1" x14ac:dyDescent="0.25">
      <c r="A146" s="5" t="s">
        <v>22</v>
      </c>
      <c r="B146" s="5" t="s">
        <v>46</v>
      </c>
      <c r="C146" s="5" t="s">
        <v>72</v>
      </c>
      <c r="D146" s="6">
        <v>171</v>
      </c>
      <c r="E146" s="53">
        <v>439.23391812865498</v>
      </c>
      <c r="F146" s="6">
        <v>75109</v>
      </c>
      <c r="G146" s="6">
        <v>224.44444444444446</v>
      </c>
      <c r="H146" s="53">
        <v>352.35324257425742</v>
      </c>
      <c r="I146" s="6">
        <v>79083.727777777778</v>
      </c>
      <c r="J146" s="6">
        <v>218</v>
      </c>
      <c r="K146" s="53">
        <v>466.93238532110081</v>
      </c>
      <c r="L146" s="6">
        <v>101791.25999999998</v>
      </c>
      <c r="M146" s="6">
        <v>259.6060925320985</v>
      </c>
      <c r="N146" s="6">
        <v>445.89611111111077</v>
      </c>
      <c r="O146" s="6">
        <v>115757.3470808139</v>
      </c>
      <c r="P146" s="6">
        <v>-41.606092532098501</v>
      </c>
      <c r="Q146" s="6">
        <v>21.03627420999004</v>
      </c>
      <c r="R146" s="6">
        <v>-13966.087080813915</v>
      </c>
      <c r="S146" s="6">
        <v>4585.9077777778284</v>
      </c>
      <c r="T146" s="6">
        <v>-18551.994858591748</v>
      </c>
      <c r="U146" s="8">
        <v>0.83973375922618532</v>
      </c>
      <c r="V146" s="8">
        <v>0.87935031829069354</v>
      </c>
      <c r="W146" s="8">
        <v>0.27485380116959063</v>
      </c>
      <c r="X146" s="8">
        <v>0.35524717410696427</v>
      </c>
      <c r="Y146" s="8">
        <v>-2.8712871287128766E-2</v>
      </c>
      <c r="Z146" s="8">
        <v>0.28713280039137118</v>
      </c>
      <c r="AA146" s="63" t="s">
        <v>46</v>
      </c>
      <c r="AB146" s="64"/>
      <c r="AL146" s="65"/>
    </row>
    <row r="147" spans="1:38" hidden="1" outlineLevel="1" x14ac:dyDescent="0.25">
      <c r="A147" s="21" t="s">
        <v>22</v>
      </c>
      <c r="B147" s="21" t="s">
        <v>426</v>
      </c>
      <c r="C147" s="21" t="s">
        <v>362</v>
      </c>
      <c r="D147" s="15">
        <v>102</v>
      </c>
      <c r="E147" s="57">
        <v>442.66666666666669</v>
      </c>
      <c r="F147" s="15">
        <v>45152</v>
      </c>
      <c r="G147" s="15">
        <v>158.88888888888889</v>
      </c>
      <c r="H147" s="57">
        <v>310.48762237762247</v>
      </c>
      <c r="I147" s="15">
        <v>49333.033333333347</v>
      </c>
      <c r="J147" s="15">
        <v>140</v>
      </c>
      <c r="K147" s="57">
        <v>456.17464285714289</v>
      </c>
      <c r="L147" s="15">
        <v>63864.450000000004</v>
      </c>
      <c r="M147" s="15">
        <v>155.16359493472891</v>
      </c>
      <c r="N147" s="15">
        <v>438.48397159557186</v>
      </c>
      <c r="O147" s="15">
        <v>68036.749354026484</v>
      </c>
      <c r="P147" s="15">
        <v>-15.163594934728906</v>
      </c>
      <c r="Q147" s="15">
        <v>17.690671261571026</v>
      </c>
      <c r="R147" s="15">
        <v>-4172.2993540264797</v>
      </c>
      <c r="S147" s="15">
        <v>2476.6939766199439</v>
      </c>
      <c r="T147" s="15">
        <v>-6648.9933306464263</v>
      </c>
      <c r="U147" s="17">
        <v>0.90227350080985413</v>
      </c>
      <c r="V147" s="17">
        <v>0.93867579809969925</v>
      </c>
      <c r="W147" s="17">
        <v>0.37254901960784315</v>
      </c>
      <c r="X147" s="17">
        <v>0.41443236180014181</v>
      </c>
      <c r="Y147" s="17">
        <v>-0.11888111888111887</v>
      </c>
      <c r="Z147" s="17">
        <v>0.29455753447149313</v>
      </c>
      <c r="AA147" s="63" t="s">
        <v>427</v>
      </c>
      <c r="AB147" s="64"/>
      <c r="AL147" s="65"/>
    </row>
    <row r="148" spans="1:38" hidden="1" outlineLevel="1" x14ac:dyDescent="0.25">
      <c r="A148" s="21" t="s">
        <v>22</v>
      </c>
      <c r="B148" s="21" t="s">
        <v>428</v>
      </c>
      <c r="C148" s="21" t="s">
        <v>363</v>
      </c>
      <c r="D148" s="15">
        <v>69</v>
      </c>
      <c r="E148" s="57">
        <v>434.15942028985506</v>
      </c>
      <c r="F148" s="15">
        <v>29957</v>
      </c>
      <c r="G148" s="15">
        <v>65.555555555555557</v>
      </c>
      <c r="H148" s="57">
        <v>453.8241525423727</v>
      </c>
      <c r="I148" s="15">
        <v>29750.694444444434</v>
      </c>
      <c r="J148" s="15">
        <v>78</v>
      </c>
      <c r="K148" s="57">
        <v>486.24115384615379</v>
      </c>
      <c r="L148" s="15">
        <v>37926.81</v>
      </c>
      <c r="M148" s="15">
        <v>104.44249759736958</v>
      </c>
      <c r="N148" s="15">
        <v>456.90785671128253</v>
      </c>
      <c r="O148" s="15">
        <v>47720.597726787411</v>
      </c>
      <c r="P148" s="15">
        <v>-26.442497597369581</v>
      </c>
      <c r="Q148" s="15">
        <v>29.333297134871259</v>
      </c>
      <c r="R148" s="15">
        <v>-9793.7877267874137</v>
      </c>
      <c r="S148" s="15">
        <v>2287.997176519958</v>
      </c>
      <c r="T148" s="15">
        <v>-12081.784903307373</v>
      </c>
      <c r="U148" s="17">
        <v>0.74682243142722826</v>
      </c>
      <c r="V148" s="17">
        <v>0.79476812543591036</v>
      </c>
      <c r="W148" s="17">
        <v>0.13043478260869565</v>
      </c>
      <c r="X148" s="17">
        <v>0.26604165971225413</v>
      </c>
      <c r="Y148" s="17">
        <v>0.18983050847457625</v>
      </c>
      <c r="Z148" s="17">
        <v>0.27482099857613068</v>
      </c>
      <c r="AA148" s="63" t="s">
        <v>429</v>
      </c>
      <c r="AB148" s="64"/>
      <c r="AL148" s="65"/>
    </row>
    <row r="149" spans="1:38" collapsed="1" x14ac:dyDescent="0.25">
      <c r="A149" s="5" t="s">
        <v>22</v>
      </c>
      <c r="B149" s="5" t="s">
        <v>46</v>
      </c>
      <c r="C149" s="5" t="s">
        <v>73</v>
      </c>
      <c r="D149" s="6">
        <v>193</v>
      </c>
      <c r="E149" s="53">
        <v>496.2176165803109</v>
      </c>
      <c r="F149" s="6">
        <v>95770</v>
      </c>
      <c r="G149" s="6">
        <v>223.33333333333334</v>
      </c>
      <c r="H149" s="53">
        <v>422.86962686567153</v>
      </c>
      <c r="I149" s="6">
        <v>94440.883333333317</v>
      </c>
      <c r="J149" s="6">
        <v>223</v>
      </c>
      <c r="K149" s="53">
        <v>441.00103139013453</v>
      </c>
      <c r="L149" s="6">
        <v>98343.23</v>
      </c>
      <c r="M149" s="6">
        <v>244.85506772063582</v>
      </c>
      <c r="N149" s="6">
        <v>455.66178082191811</v>
      </c>
      <c r="O149" s="6">
        <v>111571.09620085628</v>
      </c>
      <c r="P149" s="6">
        <v>-21.855067720635816</v>
      </c>
      <c r="Q149" s="6">
        <v>-14.660749431783586</v>
      </c>
      <c r="R149" s="6">
        <v>-13227.866200856282</v>
      </c>
      <c r="S149" s="6">
        <v>-3269.3471232877396</v>
      </c>
      <c r="T149" s="6">
        <v>-9958.5190775685351</v>
      </c>
      <c r="U149" s="8">
        <v>0.91074284096267488</v>
      </c>
      <c r="V149" s="8">
        <v>0.8814400265724488</v>
      </c>
      <c r="W149" s="8">
        <v>0.15544041450777202</v>
      </c>
      <c r="X149" s="8">
        <v>2.6868852459016351E-2</v>
      </c>
      <c r="Y149" s="8">
        <v>-1.4925373134328781E-3</v>
      </c>
      <c r="Z149" s="8">
        <v>4.132052273265141E-2</v>
      </c>
      <c r="AA149" s="63" t="s">
        <v>46</v>
      </c>
      <c r="AB149" s="64"/>
      <c r="AL149" s="65"/>
    </row>
    <row r="150" spans="1:38" hidden="1" outlineLevel="1" x14ac:dyDescent="0.25">
      <c r="A150" s="21" t="s">
        <v>22</v>
      </c>
      <c r="B150" s="21" t="s">
        <v>430</v>
      </c>
      <c r="C150" s="21" t="s">
        <v>362</v>
      </c>
      <c r="D150" s="15">
        <v>127</v>
      </c>
      <c r="E150" s="57">
        <v>500.79527559055117</v>
      </c>
      <c r="F150" s="15">
        <v>63601</v>
      </c>
      <c r="G150" s="15">
        <v>152.22222222222223</v>
      </c>
      <c r="H150" s="57">
        <v>416.59923357664229</v>
      </c>
      <c r="I150" s="15">
        <v>63415.661111111105</v>
      </c>
      <c r="J150" s="15">
        <v>158</v>
      </c>
      <c r="K150" s="57">
        <v>428.55360759493669</v>
      </c>
      <c r="L150" s="15">
        <v>67711.47</v>
      </c>
      <c r="M150" s="15">
        <v>146.34707596788328</v>
      </c>
      <c r="N150" s="15">
        <v>448.08730639348028</v>
      </c>
      <c r="O150" s="15">
        <v>65576.26706901085</v>
      </c>
      <c r="P150" s="15">
        <v>11.652924032116715</v>
      </c>
      <c r="Q150" s="15">
        <v>-19.533698798543583</v>
      </c>
      <c r="R150" s="15">
        <v>2135.2029309891514</v>
      </c>
      <c r="S150" s="15">
        <v>-3086.3244101698861</v>
      </c>
      <c r="T150" s="15">
        <v>5221.5273411590324</v>
      </c>
      <c r="U150" s="17">
        <v>1.0796252603958689</v>
      </c>
      <c r="V150" s="17">
        <v>1.032560605024103</v>
      </c>
      <c r="W150" s="17">
        <v>0.24409448818897639</v>
      </c>
      <c r="X150" s="17">
        <v>6.462901526705557E-2</v>
      </c>
      <c r="Y150" s="17">
        <v>3.7956204379562E-2</v>
      </c>
      <c r="Z150" s="17">
        <v>6.7740504689561998E-2</v>
      </c>
      <c r="AA150" s="63" t="s">
        <v>427</v>
      </c>
      <c r="AB150" s="64"/>
      <c r="AL150" s="65"/>
    </row>
    <row r="151" spans="1:38" hidden="1" outlineLevel="1" x14ac:dyDescent="0.25">
      <c r="A151" s="21" t="s">
        <v>22</v>
      </c>
      <c r="B151" s="21" t="s">
        <v>431</v>
      </c>
      <c r="C151" s="21" t="s">
        <v>363</v>
      </c>
      <c r="D151" s="15">
        <v>66</v>
      </c>
      <c r="E151" s="57">
        <v>487.39393939393938</v>
      </c>
      <c r="F151" s="15">
        <v>32168</v>
      </c>
      <c r="G151" s="15">
        <v>71.111111111111114</v>
      </c>
      <c r="H151" s="57">
        <v>436.29218749999984</v>
      </c>
      <c r="I151" s="15">
        <v>31025.222222222212</v>
      </c>
      <c r="J151" s="15">
        <v>65</v>
      </c>
      <c r="K151" s="57">
        <v>471.25784615384606</v>
      </c>
      <c r="L151" s="15">
        <v>30631.759999999995</v>
      </c>
      <c r="M151" s="15">
        <v>98.507991752752545</v>
      </c>
      <c r="N151" s="15">
        <v>466.91469710689978</v>
      </c>
      <c r="O151" s="15">
        <v>45994.829131845436</v>
      </c>
      <c r="P151" s="15">
        <v>-33.507991752752545</v>
      </c>
      <c r="Q151" s="15">
        <v>4.3431490469462801</v>
      </c>
      <c r="R151" s="15">
        <v>-15363.069131845441</v>
      </c>
      <c r="S151" s="15">
        <v>282.30468805150821</v>
      </c>
      <c r="T151" s="15">
        <v>-15645.373819896951</v>
      </c>
      <c r="U151" s="17">
        <v>0.65984494093783763</v>
      </c>
      <c r="V151" s="17">
        <v>0.66598268931912363</v>
      </c>
      <c r="W151" s="17">
        <v>-1.5151515151515152E-2</v>
      </c>
      <c r="X151" s="17">
        <v>-4.7756776921164056E-2</v>
      </c>
      <c r="Y151" s="17">
        <v>-8.5937500000000042E-2</v>
      </c>
      <c r="Z151" s="17">
        <v>-1.268201141007121E-2</v>
      </c>
      <c r="AA151" s="63" t="s">
        <v>429</v>
      </c>
      <c r="AB151" s="64"/>
      <c r="AL151" s="65"/>
    </row>
    <row r="152" spans="1:38" collapsed="1" x14ac:dyDescent="0.25">
      <c r="A152" s="5" t="s">
        <v>22</v>
      </c>
      <c r="B152" s="5" t="s">
        <v>46</v>
      </c>
      <c r="C152" s="5" t="s">
        <v>74</v>
      </c>
      <c r="D152" s="6">
        <v>33</v>
      </c>
      <c r="E152" s="53">
        <v>764.87878787878788</v>
      </c>
      <c r="F152" s="6">
        <v>25241</v>
      </c>
      <c r="G152" s="6">
        <v>88.888888888888886</v>
      </c>
      <c r="H152" s="53">
        <v>757.44343749999973</v>
      </c>
      <c r="I152" s="6">
        <v>67328.305555555533</v>
      </c>
      <c r="J152" s="6">
        <v>72</v>
      </c>
      <c r="K152" s="53">
        <v>681.38083333333327</v>
      </c>
      <c r="L152" s="6">
        <v>49059.42</v>
      </c>
      <c r="M152" s="6">
        <v>187.83333333333331</v>
      </c>
      <c r="N152" s="6">
        <v>723.49709090909084</v>
      </c>
      <c r="O152" s="6">
        <v>135896.87024242422</v>
      </c>
      <c r="P152" s="6">
        <v>-115.83333333333331</v>
      </c>
      <c r="Q152" s="6">
        <v>-42.116257575757572</v>
      </c>
      <c r="R152" s="6">
        <v>-86837.450242424224</v>
      </c>
      <c r="S152" s="6">
        <v>-3032.3705454545452</v>
      </c>
      <c r="T152" s="6">
        <v>-83805.079696969682</v>
      </c>
      <c r="U152" s="8">
        <v>0.38331854480922806</v>
      </c>
      <c r="V152" s="8">
        <v>0.36100478187969814</v>
      </c>
      <c r="W152" s="8">
        <v>1.1818181818181819</v>
      </c>
      <c r="X152" s="8">
        <v>0.94364010934590536</v>
      </c>
      <c r="Y152" s="8">
        <v>-0.18999999999999997</v>
      </c>
      <c r="Z152" s="8">
        <v>-0.27134034348274333</v>
      </c>
      <c r="AA152" s="63" t="s">
        <v>46</v>
      </c>
      <c r="AB152" s="64"/>
      <c r="AL152" s="65"/>
    </row>
    <row r="153" spans="1:38" hidden="1" outlineLevel="1" x14ac:dyDescent="0.25">
      <c r="A153" s="21" t="s">
        <v>22</v>
      </c>
      <c r="B153" s="21" t="s">
        <v>432</v>
      </c>
      <c r="C153" s="21" t="s">
        <v>362</v>
      </c>
      <c r="D153" s="15">
        <v>13</v>
      </c>
      <c r="E153" s="57">
        <v>764.30769230769226</v>
      </c>
      <c r="F153" s="15">
        <v>9936</v>
      </c>
      <c r="G153" s="15">
        <v>43.333333333333336</v>
      </c>
      <c r="H153" s="57">
        <v>712.03474358974347</v>
      </c>
      <c r="I153" s="15">
        <v>30854.838888888884</v>
      </c>
      <c r="J153" s="15">
        <v>35</v>
      </c>
      <c r="K153" s="57">
        <v>603.81485714285714</v>
      </c>
      <c r="L153" s="15">
        <v>21133.52</v>
      </c>
      <c r="M153" s="15">
        <v>112.26583692356789</v>
      </c>
      <c r="N153" s="15">
        <v>711.47038503910289</v>
      </c>
      <c r="O153" s="15">
        <v>79873.818222747985</v>
      </c>
      <c r="P153" s="15">
        <v>-77.265836923567889</v>
      </c>
      <c r="Q153" s="15">
        <v>-107.65552789624576</v>
      </c>
      <c r="R153" s="15">
        <v>-58740.298222747981</v>
      </c>
      <c r="S153" s="15">
        <v>-3767.9434763686013</v>
      </c>
      <c r="T153" s="15">
        <v>-54972.35474637938</v>
      </c>
      <c r="U153" s="17">
        <v>0.3117600238782211</v>
      </c>
      <c r="V153" s="17">
        <v>0.26458632465852489</v>
      </c>
      <c r="W153" s="17">
        <v>1.6923076923076923</v>
      </c>
      <c r="X153" s="17">
        <v>1.1269645732689211</v>
      </c>
      <c r="Y153" s="17">
        <v>-0.19230769230769235</v>
      </c>
      <c r="Z153" s="17">
        <v>-0.31506626639329566</v>
      </c>
      <c r="AA153" s="63" t="s">
        <v>427</v>
      </c>
      <c r="AB153" s="64"/>
      <c r="AL153" s="65"/>
    </row>
    <row r="154" spans="1:38" hidden="1" outlineLevel="1" x14ac:dyDescent="0.25">
      <c r="A154" s="21" t="s">
        <v>22</v>
      </c>
      <c r="B154" s="21" t="s">
        <v>433</v>
      </c>
      <c r="C154" s="21" t="s">
        <v>363</v>
      </c>
      <c r="D154" s="15">
        <v>21</v>
      </c>
      <c r="E154" s="57">
        <v>728.85714285714289</v>
      </c>
      <c r="F154" s="15">
        <v>15306</v>
      </c>
      <c r="G154" s="15">
        <v>45.555555555555557</v>
      </c>
      <c r="H154" s="57">
        <v>800.63707317073124</v>
      </c>
      <c r="I154" s="15">
        <v>36473.466666666645</v>
      </c>
      <c r="J154" s="15">
        <v>37</v>
      </c>
      <c r="K154" s="57">
        <v>754.75405405405411</v>
      </c>
      <c r="L154" s="15">
        <v>27925.9</v>
      </c>
      <c r="M154" s="15">
        <v>75.567496409765425</v>
      </c>
      <c r="N154" s="15">
        <v>741.36440508615942</v>
      </c>
      <c r="O154" s="15">
        <v>56023.05201967623</v>
      </c>
      <c r="P154" s="15">
        <v>-38.567496409765425</v>
      </c>
      <c r="Q154" s="15">
        <v>13.389648967894686</v>
      </c>
      <c r="R154" s="15">
        <v>-28097.152019676229</v>
      </c>
      <c r="S154" s="15">
        <v>495.4170118121034</v>
      </c>
      <c r="T154" s="15">
        <v>-28592.569031488332</v>
      </c>
      <c r="U154" s="17">
        <v>0.48962850111332484</v>
      </c>
      <c r="V154" s="17">
        <v>0.49847159326828461</v>
      </c>
      <c r="W154" s="17">
        <v>0.76190476190476186</v>
      </c>
      <c r="X154" s="17">
        <v>0.82450672938716851</v>
      </c>
      <c r="Y154" s="17">
        <v>-0.18780487804878052</v>
      </c>
      <c r="Z154" s="17">
        <v>-0.23435026740900186</v>
      </c>
      <c r="AA154" s="63" t="s">
        <v>429</v>
      </c>
      <c r="AB154" s="64"/>
      <c r="AL154" s="65"/>
    </row>
    <row r="155" spans="1:38" collapsed="1" x14ac:dyDescent="0.25">
      <c r="A155" s="5" t="s">
        <v>22</v>
      </c>
      <c r="B155" s="5" t="s">
        <v>46</v>
      </c>
      <c r="C155" s="5" t="s">
        <v>75</v>
      </c>
      <c r="D155" s="6">
        <v>29</v>
      </c>
      <c r="E155" s="53">
        <v>663.9655172413793</v>
      </c>
      <c r="F155" s="6">
        <v>19255</v>
      </c>
      <c r="G155" s="6">
        <v>33.888888888888893</v>
      </c>
      <c r="H155" s="53">
        <v>636.59180327868864</v>
      </c>
      <c r="I155" s="6">
        <v>21573.388888888894</v>
      </c>
      <c r="J155" s="6">
        <v>28</v>
      </c>
      <c r="K155" s="53">
        <v>456.18285714285719</v>
      </c>
      <c r="L155" s="6">
        <v>12773.12</v>
      </c>
      <c r="M155" s="6">
        <v>46.904675655557909</v>
      </c>
      <c r="N155" s="6">
        <v>920.98399999999992</v>
      </c>
      <c r="O155" s="6">
        <v>43198.455803958343</v>
      </c>
      <c r="P155" s="6">
        <v>-18.904675655557909</v>
      </c>
      <c r="Q155" s="6">
        <v>-464.80114285714274</v>
      </c>
      <c r="R155" s="6">
        <v>-30425.33580395834</v>
      </c>
      <c r="S155" s="6">
        <v>-13014.431999999997</v>
      </c>
      <c r="T155" s="6">
        <v>-17410.903803958343</v>
      </c>
      <c r="U155" s="8">
        <v>0.59695541241168726</v>
      </c>
      <c r="V155" s="8">
        <v>0.2956846434040723</v>
      </c>
      <c r="W155" s="8">
        <v>-3.4482758620689655E-2</v>
      </c>
      <c r="X155" s="8">
        <v>-0.33663360166190598</v>
      </c>
      <c r="Y155" s="8">
        <v>-0.17377049180327878</v>
      </c>
      <c r="Z155" s="8">
        <v>-0.40792241470329971</v>
      </c>
      <c r="AA155" s="63" t="s">
        <v>46</v>
      </c>
      <c r="AB155" s="64"/>
      <c r="AL155" s="65"/>
    </row>
    <row r="156" spans="1:38" hidden="1" outlineLevel="1" x14ac:dyDescent="0.25">
      <c r="A156" s="21" t="s">
        <v>22</v>
      </c>
      <c r="B156" s="21" t="s">
        <v>434</v>
      </c>
      <c r="C156" s="21" t="s">
        <v>362</v>
      </c>
      <c r="D156" s="15">
        <v>13</v>
      </c>
      <c r="E156" s="57">
        <v>596</v>
      </c>
      <c r="F156" s="15">
        <v>7748</v>
      </c>
      <c r="G156" s="15">
        <v>21.111111111111111</v>
      </c>
      <c r="H156" s="57">
        <v>753.61289473684212</v>
      </c>
      <c r="I156" s="15">
        <v>15909.605555555556</v>
      </c>
      <c r="J156" s="15">
        <v>20</v>
      </c>
      <c r="K156" s="57">
        <v>512.76599999999996</v>
      </c>
      <c r="L156" s="15">
        <v>10255.32</v>
      </c>
      <c r="M156" s="15">
        <v>28.034388650042818</v>
      </c>
      <c r="N156" s="15">
        <v>905.67446549303031</v>
      </c>
      <c r="O156" s="15">
        <v>25390.029956051403</v>
      </c>
      <c r="P156" s="15">
        <v>-8.0343886500428177</v>
      </c>
      <c r="Q156" s="15">
        <v>-392.90846549303035</v>
      </c>
      <c r="R156" s="15">
        <v>-15134.709956051403</v>
      </c>
      <c r="S156" s="15">
        <v>-7858.1693098606065</v>
      </c>
      <c r="T156" s="15">
        <v>-7276.5406461907978</v>
      </c>
      <c r="U156" s="17">
        <v>0.71340952890618692</v>
      </c>
      <c r="V156" s="17">
        <v>0.40391129974054124</v>
      </c>
      <c r="W156" s="17">
        <v>0.53846153846153844</v>
      </c>
      <c r="X156" s="17">
        <v>0.32360867320598863</v>
      </c>
      <c r="Y156" s="17">
        <v>-5.2631578947368404E-2</v>
      </c>
      <c r="Z156" s="17">
        <v>-0.3554007379888251</v>
      </c>
      <c r="AA156" s="63" t="s">
        <v>427</v>
      </c>
      <c r="AB156" s="64"/>
      <c r="AL156" s="65"/>
    </row>
    <row r="157" spans="1:38" hidden="1" outlineLevel="1" x14ac:dyDescent="0.25">
      <c r="A157" s="21" t="s">
        <v>22</v>
      </c>
      <c r="B157" s="21" t="s">
        <v>435</v>
      </c>
      <c r="C157" s="21" t="s">
        <v>363</v>
      </c>
      <c r="D157" s="15">
        <v>16</v>
      </c>
      <c r="E157" s="57">
        <v>719.1875</v>
      </c>
      <c r="F157" s="15">
        <v>11507</v>
      </c>
      <c r="G157" s="15">
        <v>12.777777777777779</v>
      </c>
      <c r="H157" s="57">
        <v>443.25260869565227</v>
      </c>
      <c r="I157" s="15">
        <v>5663.7833333333347</v>
      </c>
      <c r="J157" s="15">
        <v>8</v>
      </c>
      <c r="K157" s="57">
        <v>314.72500000000002</v>
      </c>
      <c r="L157" s="15">
        <v>2517.8000000000002</v>
      </c>
      <c r="M157" s="15">
        <v>18.870287005515092</v>
      </c>
      <c r="N157" s="15">
        <v>943.72840448596196</v>
      </c>
      <c r="O157" s="15">
        <v>17808.425847906939</v>
      </c>
      <c r="P157" s="15">
        <v>-10.870287005515092</v>
      </c>
      <c r="Q157" s="15">
        <v>-629.00340448596194</v>
      </c>
      <c r="R157" s="15">
        <v>-15290.62584790694</v>
      </c>
      <c r="S157" s="15">
        <v>-5032.0272358876955</v>
      </c>
      <c r="T157" s="15">
        <v>-10258.598612019243</v>
      </c>
      <c r="U157" s="17">
        <v>0.42394691705864856</v>
      </c>
      <c r="V157" s="17">
        <v>0.1413825130588913</v>
      </c>
      <c r="W157" s="17">
        <v>-0.5</v>
      </c>
      <c r="X157" s="17">
        <v>-0.78119405579212664</v>
      </c>
      <c r="Y157" s="17">
        <v>-0.37391304347826093</v>
      </c>
      <c r="Z157" s="17">
        <v>-0.55545615857480435</v>
      </c>
      <c r="AA157" s="63" t="s">
        <v>429</v>
      </c>
      <c r="AB157" s="64"/>
      <c r="AL157" s="65"/>
    </row>
    <row r="158" spans="1:38" collapsed="1" x14ac:dyDescent="0.25">
      <c r="A158" s="5" t="s">
        <v>22</v>
      </c>
      <c r="B158" s="5" t="s">
        <v>47</v>
      </c>
      <c r="C158" s="5" t="s">
        <v>76</v>
      </c>
      <c r="D158" s="6">
        <v>147</v>
      </c>
      <c r="E158" s="53">
        <v>308.92517006802723</v>
      </c>
      <c r="F158" s="6">
        <v>45412</v>
      </c>
      <c r="G158" s="6">
        <v>135</v>
      </c>
      <c r="H158" s="53">
        <v>268.31106995884755</v>
      </c>
      <c r="I158" s="6">
        <v>36221.994444444419</v>
      </c>
      <c r="J158" s="6">
        <v>65</v>
      </c>
      <c r="K158" s="53">
        <v>285.70661538461536</v>
      </c>
      <c r="L158" s="6">
        <v>18570.93</v>
      </c>
      <c r="M158" s="6">
        <v>116.66666666666667</v>
      </c>
      <c r="N158" s="6">
        <v>360.25926199261971</v>
      </c>
      <c r="O158" s="6">
        <v>42030.247232472298</v>
      </c>
      <c r="P158" s="6">
        <v>-51.666666666666671</v>
      </c>
      <c r="Q158" s="6">
        <v>-74.552646608004352</v>
      </c>
      <c r="R158" s="6">
        <v>-23459.317232472298</v>
      </c>
      <c r="S158" s="6">
        <v>-4845.9220295202831</v>
      </c>
      <c r="T158" s="6">
        <v>-18613.395202952019</v>
      </c>
      <c r="U158" s="8">
        <v>0.55714285714285716</v>
      </c>
      <c r="V158" s="8">
        <v>0.44184679422138207</v>
      </c>
      <c r="W158" s="8">
        <v>-0.55782312925170063</v>
      </c>
      <c r="X158" s="8">
        <v>-0.59105676913591121</v>
      </c>
      <c r="Y158" s="8">
        <v>-0.51851851851851849</v>
      </c>
      <c r="Z158" s="8">
        <v>-0.48730238947821569</v>
      </c>
      <c r="AA158" s="63" t="s">
        <v>47</v>
      </c>
      <c r="AB158" s="64"/>
      <c r="AL158" s="65"/>
    </row>
    <row r="159" spans="1:38" hidden="1" outlineLevel="1" x14ac:dyDescent="0.25">
      <c r="A159" s="21" t="s">
        <v>22</v>
      </c>
      <c r="B159" s="21" t="s">
        <v>436</v>
      </c>
      <c r="C159" s="21" t="s">
        <v>362</v>
      </c>
      <c r="D159" s="15">
        <v>41</v>
      </c>
      <c r="E159" s="57">
        <v>269.02439024390242</v>
      </c>
      <c r="F159" s="15">
        <v>11030</v>
      </c>
      <c r="G159" s="15">
        <v>60</v>
      </c>
      <c r="H159" s="57">
        <v>210.75037037037035</v>
      </c>
      <c r="I159" s="15">
        <v>12645.02222222222</v>
      </c>
      <c r="J159" s="15">
        <v>23</v>
      </c>
      <c r="K159" s="57">
        <v>249.21434782608696</v>
      </c>
      <c r="L159" s="15">
        <v>5731.93</v>
      </c>
      <c r="M159" s="15">
        <v>43.934750034055313</v>
      </c>
      <c r="N159" s="15">
        <v>300.39308752343788</v>
      </c>
      <c r="O159" s="15">
        <v>13197.695212300343</v>
      </c>
      <c r="P159" s="15">
        <v>-20.934750034055313</v>
      </c>
      <c r="Q159" s="15">
        <v>-51.17873969735092</v>
      </c>
      <c r="R159" s="15">
        <v>-7465.7652123003427</v>
      </c>
      <c r="S159" s="15">
        <v>-1177.1110130390712</v>
      </c>
      <c r="T159" s="15">
        <v>-6288.654199261272</v>
      </c>
      <c r="U159" s="17">
        <v>0.52350360437175403</v>
      </c>
      <c r="V159" s="17">
        <v>0.43431295448146146</v>
      </c>
      <c r="W159" s="17">
        <v>-0.43902439024390244</v>
      </c>
      <c r="X159" s="17">
        <v>-0.48033272892112416</v>
      </c>
      <c r="Y159" s="17">
        <v>-0.6166666666666667</v>
      </c>
      <c r="Z159" s="17">
        <v>-0.54670463212577269</v>
      </c>
      <c r="AA159" s="63" t="s">
        <v>437</v>
      </c>
      <c r="AB159" s="64"/>
      <c r="AL159" s="65"/>
    </row>
    <row r="160" spans="1:38" hidden="1" outlineLevel="1" x14ac:dyDescent="0.25">
      <c r="A160" s="21" t="s">
        <v>22</v>
      </c>
      <c r="B160" s="21" t="s">
        <v>438</v>
      </c>
      <c r="C160" s="21" t="s">
        <v>363</v>
      </c>
      <c r="D160" s="15">
        <v>106</v>
      </c>
      <c r="E160" s="57">
        <v>324.34905660377359</v>
      </c>
      <c r="F160" s="15">
        <v>34381</v>
      </c>
      <c r="G160" s="15">
        <v>75</v>
      </c>
      <c r="H160" s="57">
        <v>314.35962962962935</v>
      </c>
      <c r="I160" s="15">
        <v>23576.972222222201</v>
      </c>
      <c r="J160" s="15">
        <v>42</v>
      </c>
      <c r="K160" s="57">
        <v>305.6904761904762</v>
      </c>
      <c r="L160" s="15">
        <v>12839</v>
      </c>
      <c r="M160" s="15">
        <v>72.731916632611359</v>
      </c>
      <c r="N160" s="15">
        <v>396.42227724883145</v>
      </c>
      <c r="O160" s="15">
        <v>28832.552020171956</v>
      </c>
      <c r="P160" s="15">
        <v>-30.731916632611359</v>
      </c>
      <c r="Q160" s="15">
        <v>-90.731801058355245</v>
      </c>
      <c r="R160" s="15">
        <v>-15993.552020171956</v>
      </c>
      <c r="S160" s="15">
        <v>-3810.7356444509205</v>
      </c>
      <c r="T160" s="15">
        <v>-12182.816375721035</v>
      </c>
      <c r="U160" s="17">
        <v>0.57746312684365786</v>
      </c>
      <c r="V160" s="17">
        <v>0.44529530341322276</v>
      </c>
      <c r="W160" s="17">
        <v>-0.60377358490566035</v>
      </c>
      <c r="X160" s="17">
        <v>-0.62656699921468251</v>
      </c>
      <c r="Y160" s="17">
        <v>-0.44</v>
      </c>
      <c r="Z160" s="17">
        <v>-0.45544322320154623</v>
      </c>
      <c r="AA160" s="63" t="s">
        <v>439</v>
      </c>
      <c r="AB160" s="64"/>
      <c r="AL160" s="65"/>
    </row>
    <row r="161" spans="1:38" collapsed="1" x14ac:dyDescent="0.25">
      <c r="A161" s="5" t="s">
        <v>22</v>
      </c>
      <c r="B161" s="5" t="s">
        <v>47</v>
      </c>
      <c r="C161" s="5" t="s">
        <v>77</v>
      </c>
      <c r="D161" s="6">
        <v>12</v>
      </c>
      <c r="E161" s="53">
        <v>184.66666666666666</v>
      </c>
      <c r="F161" s="6">
        <v>2216</v>
      </c>
      <c r="G161" s="6">
        <v>25</v>
      </c>
      <c r="H161" s="53">
        <v>178.99555555555551</v>
      </c>
      <c r="I161" s="6">
        <v>4474.8888888888878</v>
      </c>
      <c r="J161" s="6">
        <v>24</v>
      </c>
      <c r="K161" s="53">
        <v>190.15041666666664</v>
      </c>
      <c r="L161" s="6">
        <v>4563.6099999999997</v>
      </c>
      <c r="M161" s="6">
        <v>42.777777777777779</v>
      </c>
      <c r="N161" s="6">
        <v>196.44441176470596</v>
      </c>
      <c r="O161" s="6">
        <v>8403.4553921568659</v>
      </c>
      <c r="P161" s="6">
        <v>-18.777777777777779</v>
      </c>
      <c r="Q161" s="6">
        <v>-6.2939950980393178</v>
      </c>
      <c r="R161" s="6">
        <v>-3839.8453921568662</v>
      </c>
      <c r="S161" s="6">
        <v>-151.05588235294363</v>
      </c>
      <c r="T161" s="6">
        <v>-3688.789509803923</v>
      </c>
      <c r="U161" s="8">
        <v>0.561038961038961</v>
      </c>
      <c r="V161" s="8">
        <v>0.54306351221419225</v>
      </c>
      <c r="W161" s="8">
        <v>1</v>
      </c>
      <c r="X161" s="8">
        <v>1.0593907942238265</v>
      </c>
      <c r="Y161" s="8">
        <v>-0.04</v>
      </c>
      <c r="Z161" s="8">
        <v>1.9826438893579164E-2</v>
      </c>
      <c r="AA161" s="63" t="s">
        <v>47</v>
      </c>
      <c r="AB161" s="64"/>
      <c r="AL161" s="65"/>
    </row>
    <row r="162" spans="1:38" hidden="1" outlineLevel="1" x14ac:dyDescent="0.25">
      <c r="A162" s="21" t="s">
        <v>22</v>
      </c>
      <c r="B162" s="21" t="s">
        <v>440</v>
      </c>
      <c r="C162" s="21" t="s">
        <v>362</v>
      </c>
      <c r="D162" s="15">
        <v>7</v>
      </c>
      <c r="E162" s="57">
        <v>209.85714285714286</v>
      </c>
      <c r="F162" s="15">
        <v>1469</v>
      </c>
      <c r="G162" s="15">
        <v>13.888888888888889</v>
      </c>
      <c r="H162" s="57">
        <v>199.0172</v>
      </c>
      <c r="I162" s="15">
        <v>2764.1277777777777</v>
      </c>
      <c r="J162" s="15">
        <v>10</v>
      </c>
      <c r="K162" s="57">
        <v>219.19099999999997</v>
      </c>
      <c r="L162" s="15">
        <v>2191.91</v>
      </c>
      <c r="M162" s="15">
        <v>16.109408345820281</v>
      </c>
      <c r="N162" s="15">
        <v>163.80021168736664</v>
      </c>
      <c r="O162" s="15">
        <v>2638.7244972035928</v>
      </c>
      <c r="P162" s="15">
        <v>-6.109408345820281</v>
      </c>
      <c r="Q162" s="15">
        <v>55.390788312633333</v>
      </c>
      <c r="R162" s="15">
        <v>-446.81449720359296</v>
      </c>
      <c r="S162" s="15">
        <v>553.90788312633333</v>
      </c>
      <c r="T162" s="15">
        <v>-1000.7223803299265</v>
      </c>
      <c r="U162" s="17">
        <v>0.62075526210089416</v>
      </c>
      <c r="V162" s="17">
        <v>0.83067027358213874</v>
      </c>
      <c r="W162" s="17">
        <v>0.42857142857142855</v>
      </c>
      <c r="X162" s="17">
        <v>0.49211027910142946</v>
      </c>
      <c r="Y162" s="17">
        <v>-0.28000000000000003</v>
      </c>
      <c r="Z162" s="17">
        <v>-0.20701567502708312</v>
      </c>
      <c r="AA162" s="63" t="s">
        <v>437</v>
      </c>
      <c r="AB162" s="64"/>
      <c r="AL162" s="65"/>
    </row>
    <row r="163" spans="1:38" hidden="1" outlineLevel="1" x14ac:dyDescent="0.25">
      <c r="A163" s="21" t="s">
        <v>22</v>
      </c>
      <c r="B163" s="21" t="s">
        <v>441</v>
      </c>
      <c r="C163" s="21" t="s">
        <v>363</v>
      </c>
      <c r="D163" s="15">
        <v>6</v>
      </c>
      <c r="E163" s="57">
        <v>124.5</v>
      </c>
      <c r="F163" s="15">
        <v>747</v>
      </c>
      <c r="G163" s="15">
        <v>11.111111111111111</v>
      </c>
      <c r="H163" s="57">
        <v>153.96849999999998</v>
      </c>
      <c r="I163" s="15">
        <v>1710.7611111111107</v>
      </c>
      <c r="J163" s="15">
        <v>14</v>
      </c>
      <c r="K163" s="57">
        <v>169.40714285714284</v>
      </c>
      <c r="L163" s="15">
        <v>2371.6999999999998</v>
      </c>
      <c r="M163" s="15">
        <v>26.668369431957498</v>
      </c>
      <c r="N163" s="15">
        <v>216.163605715062</v>
      </c>
      <c r="O163" s="15">
        <v>5764.7308949532726</v>
      </c>
      <c r="P163" s="15">
        <v>-12.668369431957498</v>
      </c>
      <c r="Q163" s="15">
        <v>-46.756462857919161</v>
      </c>
      <c r="R163" s="15">
        <v>-3393.0308949532728</v>
      </c>
      <c r="S163" s="15">
        <v>-654.5904800108683</v>
      </c>
      <c r="T163" s="15">
        <v>-2738.4404149424045</v>
      </c>
      <c r="U163" s="17">
        <v>0.5249664789487799</v>
      </c>
      <c r="V163" s="17">
        <v>0.41141556183937433</v>
      </c>
      <c r="W163" s="17">
        <v>1.3333333333333333</v>
      </c>
      <c r="X163" s="17">
        <v>2.1749665327978578</v>
      </c>
      <c r="Y163" s="17">
        <v>0.26000000000000006</v>
      </c>
      <c r="Z163" s="17">
        <v>0.38634201151534264</v>
      </c>
      <c r="AA163" s="63" t="s">
        <v>439</v>
      </c>
      <c r="AB163" s="64"/>
      <c r="AL163" s="65"/>
    </row>
    <row r="164" spans="1:38" collapsed="1" x14ac:dyDescent="0.25">
      <c r="A164" s="5" t="s">
        <v>22</v>
      </c>
      <c r="B164" s="5" t="s">
        <v>154</v>
      </c>
      <c r="C164" s="5" t="s">
        <v>78</v>
      </c>
      <c r="D164" s="6">
        <v>67</v>
      </c>
      <c r="E164" s="53">
        <v>859.56716417910445</v>
      </c>
      <c r="F164" s="6">
        <v>57591</v>
      </c>
      <c r="G164" s="6">
        <v>90</v>
      </c>
      <c r="H164" s="53">
        <v>1151.7150617283953</v>
      </c>
      <c r="I164" s="6">
        <v>103654.35555555558</v>
      </c>
      <c r="J164" s="6">
        <v>65</v>
      </c>
      <c r="K164" s="53">
        <v>751.40430769230784</v>
      </c>
      <c r="L164" s="6">
        <v>48841.280000000006</v>
      </c>
      <c r="M164" s="6">
        <v>106.21527777777779</v>
      </c>
      <c r="N164" s="6">
        <v>921.37204938271634</v>
      </c>
      <c r="O164" s="6">
        <v>97863.78816186561</v>
      </c>
      <c r="P164" s="6">
        <v>-41.215277777777786</v>
      </c>
      <c r="Q164" s="6">
        <v>-169.9677416904085</v>
      </c>
      <c r="R164" s="6">
        <v>-49022.508161865604</v>
      </c>
      <c r="S164" s="6">
        <v>-11047.903209876553</v>
      </c>
      <c r="T164" s="6">
        <v>-37974.604951989044</v>
      </c>
      <c r="U164" s="8">
        <v>0.61196469434455703</v>
      </c>
      <c r="V164" s="8">
        <v>0.49907407956880923</v>
      </c>
      <c r="W164" s="8">
        <v>-2.9850746268656716E-2</v>
      </c>
      <c r="X164" s="8">
        <v>-0.15192859995485394</v>
      </c>
      <c r="Y164" s="8">
        <v>-0.27777777777777779</v>
      </c>
      <c r="Z164" s="8">
        <v>-0.52880629339475693</v>
      </c>
      <c r="AA164" s="63" t="s">
        <v>154</v>
      </c>
      <c r="AB164" s="64"/>
      <c r="AL164" s="65"/>
    </row>
    <row r="165" spans="1:38" hidden="1" outlineLevel="1" x14ac:dyDescent="0.25">
      <c r="A165" s="21" t="s">
        <v>22</v>
      </c>
      <c r="B165" s="21" t="s">
        <v>442</v>
      </c>
      <c r="C165" s="21" t="s">
        <v>362</v>
      </c>
      <c r="D165" s="15">
        <v>33</v>
      </c>
      <c r="E165" s="57">
        <v>863.12121212121212</v>
      </c>
      <c r="F165" s="15">
        <v>28483</v>
      </c>
      <c r="G165" s="15">
        <v>33.333333333333336</v>
      </c>
      <c r="H165" s="57">
        <v>1623.3748333333335</v>
      </c>
      <c r="I165" s="15">
        <v>54112.494444444455</v>
      </c>
      <c r="J165" s="15">
        <v>32</v>
      </c>
      <c r="K165" s="57">
        <v>377.94312500000012</v>
      </c>
      <c r="L165" s="15">
        <v>12094.180000000004</v>
      </c>
      <c r="M165" s="15">
        <v>41.239099221892864</v>
      </c>
      <c r="N165" s="15">
        <v>840.34669933094233</v>
      </c>
      <c r="O165" s="15">
        <v>34655.140914498901</v>
      </c>
      <c r="P165" s="15">
        <v>-9.2390992218928645</v>
      </c>
      <c r="Q165" s="15">
        <v>-462.40357433094221</v>
      </c>
      <c r="R165" s="15">
        <v>-22560.960914498897</v>
      </c>
      <c r="S165" s="15">
        <v>-14796.914378590151</v>
      </c>
      <c r="T165" s="15">
        <v>-7764.0465359087466</v>
      </c>
      <c r="U165" s="17">
        <v>0.77596263264188747</v>
      </c>
      <c r="V165" s="17">
        <v>0.34898660576330487</v>
      </c>
      <c r="W165" s="17">
        <v>-3.0303030303030304E-2</v>
      </c>
      <c r="X165" s="17">
        <v>-0.57538953059719822</v>
      </c>
      <c r="Y165" s="17">
        <v>-4.000000000000007E-2</v>
      </c>
      <c r="Z165" s="17">
        <v>-0.7764993071532359</v>
      </c>
      <c r="AA165" s="63" t="s">
        <v>397</v>
      </c>
      <c r="AB165" s="64"/>
      <c r="AL165" s="65"/>
    </row>
    <row r="166" spans="1:38" hidden="1" outlineLevel="1" x14ac:dyDescent="0.25">
      <c r="A166" s="21" t="s">
        <v>22</v>
      </c>
      <c r="B166" s="21" t="s">
        <v>443</v>
      </c>
      <c r="C166" s="21" t="s">
        <v>363</v>
      </c>
      <c r="D166" s="15">
        <v>34</v>
      </c>
      <c r="E166" s="57">
        <v>856.14705882352939</v>
      </c>
      <c r="F166" s="15">
        <v>29109</v>
      </c>
      <c r="G166" s="15">
        <v>56.666666666666671</v>
      </c>
      <c r="H166" s="57">
        <v>874.26813725490194</v>
      </c>
      <c r="I166" s="15">
        <v>49541.861111111117</v>
      </c>
      <c r="J166" s="15">
        <v>33</v>
      </c>
      <c r="K166" s="57">
        <v>1113.5484848484848</v>
      </c>
      <c r="L166" s="15">
        <v>36747.1</v>
      </c>
      <c r="M166" s="15">
        <v>64.976178555884914</v>
      </c>
      <c r="N166" s="15">
        <v>972.79724126899862</v>
      </c>
      <c r="O166" s="15">
        <v>63208.647247366709</v>
      </c>
      <c r="P166" s="15">
        <v>-31.976178555884914</v>
      </c>
      <c r="Q166" s="15">
        <v>140.75124357948619</v>
      </c>
      <c r="R166" s="15">
        <v>-26461.547247366711</v>
      </c>
      <c r="S166" s="15">
        <v>4644.791038123044</v>
      </c>
      <c r="T166" s="15">
        <v>-31106.338285489757</v>
      </c>
      <c r="U166" s="17">
        <v>0.5078784368892556</v>
      </c>
      <c r="V166" s="17">
        <v>0.58136191170474538</v>
      </c>
      <c r="W166" s="17">
        <v>-2.9411764705882353E-2</v>
      </c>
      <c r="X166" s="17">
        <v>0.26239650967054856</v>
      </c>
      <c r="Y166" s="17">
        <v>-0.41764705882352948</v>
      </c>
      <c r="Z166" s="17">
        <v>-0.25826161601832803</v>
      </c>
      <c r="AA166" s="63" t="s">
        <v>399</v>
      </c>
      <c r="AB166" s="64"/>
      <c r="AL166" s="65"/>
    </row>
    <row r="167" spans="1:38" collapsed="1" x14ac:dyDescent="0.25">
      <c r="A167" s="5" t="s">
        <v>22</v>
      </c>
      <c r="B167" s="5" t="s">
        <v>48</v>
      </c>
      <c r="C167" s="5" t="s">
        <v>79</v>
      </c>
      <c r="D167" s="6">
        <v>155</v>
      </c>
      <c r="E167" s="53">
        <v>755.73548387096776</v>
      </c>
      <c r="F167" s="6">
        <v>117139</v>
      </c>
      <c r="G167" s="6">
        <v>165.55555555555557</v>
      </c>
      <c r="H167" s="53">
        <v>786.54637583892668</v>
      </c>
      <c r="I167" s="6">
        <v>130217.12222222232</v>
      </c>
      <c r="J167" s="6">
        <v>111</v>
      </c>
      <c r="K167" s="53">
        <v>836.2319819819819</v>
      </c>
      <c r="L167" s="6">
        <v>92821.749999999985</v>
      </c>
      <c r="M167" s="6">
        <v>161</v>
      </c>
      <c r="N167" s="6">
        <v>811.6001140684416</v>
      </c>
      <c r="O167" s="6">
        <v>130667.61836501909</v>
      </c>
      <c r="P167" s="6">
        <v>-50</v>
      </c>
      <c r="Q167" s="6">
        <v>24.631867913540304</v>
      </c>
      <c r="R167" s="6">
        <v>-37845.868365019109</v>
      </c>
      <c r="S167" s="6">
        <v>2734.1373384029739</v>
      </c>
      <c r="T167" s="6">
        <v>-40580.005703422081</v>
      </c>
      <c r="U167" s="8">
        <v>0.68944099378881984</v>
      </c>
      <c r="V167" s="8">
        <v>0.71036536183511867</v>
      </c>
      <c r="W167" s="8">
        <v>-0.28387096774193549</v>
      </c>
      <c r="X167" s="8">
        <v>-0.20759311587088855</v>
      </c>
      <c r="Y167" s="8">
        <v>-0.32953020134228195</v>
      </c>
      <c r="Z167" s="8">
        <v>-0.28717707459703473</v>
      </c>
      <c r="AA167" s="63" t="s">
        <v>48</v>
      </c>
      <c r="AB167" s="64"/>
      <c r="AL167" s="65"/>
    </row>
    <row r="168" spans="1:38" hidden="1" outlineLevel="1" x14ac:dyDescent="0.25">
      <c r="A168" s="21" t="s">
        <v>22</v>
      </c>
      <c r="B168" s="21" t="s">
        <v>444</v>
      </c>
      <c r="C168" s="21" t="s">
        <v>362</v>
      </c>
      <c r="D168" s="15">
        <v>53</v>
      </c>
      <c r="E168" s="57">
        <v>861.58490566037733</v>
      </c>
      <c r="F168" s="15">
        <v>45664</v>
      </c>
      <c r="G168" s="15">
        <v>86.111111111111114</v>
      </c>
      <c r="H168" s="57">
        <v>754.29993548387131</v>
      </c>
      <c r="I168" s="15">
        <v>64953.605555555587</v>
      </c>
      <c r="J168" s="15">
        <v>47</v>
      </c>
      <c r="K168" s="57">
        <v>819.58085106382987</v>
      </c>
      <c r="L168" s="15">
        <v>38520.300000000003</v>
      </c>
      <c r="M168" s="15">
        <v>66.779155113358343</v>
      </c>
      <c r="N168" s="15">
        <v>748.40062761036268</v>
      </c>
      <c r="O168" s="15">
        <v>49977.56159812714</v>
      </c>
      <c r="P168" s="15">
        <v>-19.779155113358343</v>
      </c>
      <c r="Q168" s="15">
        <v>71.180223453467192</v>
      </c>
      <c r="R168" s="15">
        <v>-11457.261598127137</v>
      </c>
      <c r="S168" s="15">
        <v>3345.4705023129582</v>
      </c>
      <c r="T168" s="15">
        <v>-14802.732100440098</v>
      </c>
      <c r="U168" s="17">
        <v>0.70381243848049568</v>
      </c>
      <c r="V168" s="17">
        <v>0.77075188881250889</v>
      </c>
      <c r="W168" s="17">
        <v>-0.11320754716981132</v>
      </c>
      <c r="X168" s="17">
        <v>-0.15644052207428163</v>
      </c>
      <c r="Y168" s="17">
        <v>-0.4541935483870968</v>
      </c>
      <c r="Z168" s="17">
        <v>-0.4069567090151272</v>
      </c>
      <c r="AA168" s="63" t="s">
        <v>445</v>
      </c>
      <c r="AB168" s="64"/>
      <c r="AL168" s="65"/>
    </row>
    <row r="169" spans="1:38" hidden="1" outlineLevel="1" x14ac:dyDescent="0.25">
      <c r="A169" s="21" t="s">
        <v>22</v>
      </c>
      <c r="B169" s="21" t="s">
        <v>446</v>
      </c>
      <c r="C169" s="21" t="s">
        <v>363</v>
      </c>
      <c r="D169" s="15">
        <v>102</v>
      </c>
      <c r="E169" s="57">
        <v>700.74509803921569</v>
      </c>
      <c r="F169" s="15">
        <v>71476</v>
      </c>
      <c r="G169" s="15">
        <v>79.444444444444443</v>
      </c>
      <c r="H169" s="57">
        <v>821.49881118881194</v>
      </c>
      <c r="I169" s="15">
        <v>65263.516666666728</v>
      </c>
      <c r="J169" s="15">
        <v>64</v>
      </c>
      <c r="K169" s="57">
        <v>848.46015625000007</v>
      </c>
      <c r="L169" s="15">
        <v>54301.450000000004</v>
      </c>
      <c r="M169" s="15">
        <v>94.220844886641657</v>
      </c>
      <c r="N169" s="15">
        <v>856.39283816623833</v>
      </c>
      <c r="O169" s="15">
        <v>80690.056766891954</v>
      </c>
      <c r="P169" s="15">
        <v>-30.220844886641657</v>
      </c>
      <c r="Q169" s="15">
        <v>-7.9326819162382662</v>
      </c>
      <c r="R169" s="15">
        <v>-26388.60676689195</v>
      </c>
      <c r="S169" s="15">
        <v>-507.69164263924904</v>
      </c>
      <c r="T169" s="15">
        <v>-25880.9151242527</v>
      </c>
      <c r="U169" s="17">
        <v>0.67925521233649777</v>
      </c>
      <c r="V169" s="17">
        <v>0.67296333867843439</v>
      </c>
      <c r="W169" s="17">
        <v>-0.37254901960784315</v>
      </c>
      <c r="X169" s="17">
        <v>-0.24028415132352113</v>
      </c>
      <c r="Y169" s="17">
        <v>-0.19440559440559438</v>
      </c>
      <c r="Z169" s="17">
        <v>-0.16796622717490778</v>
      </c>
      <c r="AA169" s="63" t="s">
        <v>447</v>
      </c>
      <c r="AB169" s="64"/>
      <c r="AL169" s="65"/>
    </row>
    <row r="170" spans="1:38" collapsed="1" x14ac:dyDescent="0.25">
      <c r="A170" s="5" t="s">
        <v>22</v>
      </c>
      <c r="B170" s="5" t="s">
        <v>48</v>
      </c>
      <c r="C170" s="5" t="s">
        <v>80</v>
      </c>
      <c r="D170" s="6">
        <v>157</v>
      </c>
      <c r="E170" s="53">
        <v>692.53503184713372</v>
      </c>
      <c r="F170" s="6">
        <v>108728</v>
      </c>
      <c r="G170" s="6">
        <v>121.66666666666667</v>
      </c>
      <c r="H170" s="53">
        <v>669.15073059360759</v>
      </c>
      <c r="I170" s="6">
        <v>81413.338888888931</v>
      </c>
      <c r="J170" s="6">
        <v>148</v>
      </c>
      <c r="K170" s="53">
        <v>618.05466216216212</v>
      </c>
      <c r="L170" s="6">
        <v>91472.09</v>
      </c>
      <c r="M170" s="6">
        <v>161.66666666666669</v>
      </c>
      <c r="N170" s="6">
        <v>817.91034722222162</v>
      </c>
      <c r="O170" s="6">
        <v>132228.83946759251</v>
      </c>
      <c r="P170" s="6">
        <v>-13.666666666666686</v>
      </c>
      <c r="Q170" s="6">
        <v>-199.8556850600595</v>
      </c>
      <c r="R170" s="6">
        <v>-40756.749467592512</v>
      </c>
      <c r="S170" s="6">
        <v>-29578.641388888806</v>
      </c>
      <c r="T170" s="6">
        <v>-11178.108078703712</v>
      </c>
      <c r="U170" s="8">
        <v>0.91546391752577305</v>
      </c>
      <c r="V170" s="8">
        <v>0.69177110204025172</v>
      </c>
      <c r="W170" s="8">
        <v>-5.7324840764331211E-2</v>
      </c>
      <c r="X170" s="8">
        <v>-0.15870714075491138</v>
      </c>
      <c r="Y170" s="8">
        <v>0.21643835616438351</v>
      </c>
      <c r="Z170" s="8">
        <v>0.12355163476146114</v>
      </c>
      <c r="AA170" s="63" t="s">
        <v>48</v>
      </c>
      <c r="AB170" s="64"/>
      <c r="AL170" s="65"/>
    </row>
    <row r="171" spans="1:38" hidden="1" outlineLevel="1" x14ac:dyDescent="0.25">
      <c r="A171" s="21" t="s">
        <v>22</v>
      </c>
      <c r="B171" s="21" t="s">
        <v>448</v>
      </c>
      <c r="C171" s="21" t="s">
        <v>362</v>
      </c>
      <c r="D171" s="15">
        <v>58</v>
      </c>
      <c r="E171" s="57">
        <v>628.43103448275861</v>
      </c>
      <c r="F171" s="15">
        <v>36449</v>
      </c>
      <c r="G171" s="15">
        <v>46.111111111111114</v>
      </c>
      <c r="H171" s="57">
        <v>589.11855421686721</v>
      </c>
      <c r="I171" s="15">
        <v>27164.911111111101</v>
      </c>
      <c r="J171" s="15">
        <v>59</v>
      </c>
      <c r="K171" s="57">
        <v>509.95762711864404</v>
      </c>
      <c r="L171" s="15">
        <v>30087.5</v>
      </c>
      <c r="M171" s="15">
        <v>67.05567335399337</v>
      </c>
      <c r="N171" s="15">
        <v>754.21948146559805</v>
      </c>
      <c r="O171" s="15">
        <v>50574.6951863754</v>
      </c>
      <c r="P171" s="15">
        <v>-8.0556733539933703</v>
      </c>
      <c r="Q171" s="15">
        <v>-244.26185434695401</v>
      </c>
      <c r="R171" s="15">
        <v>-20487.1951863754</v>
      </c>
      <c r="S171" s="15">
        <v>-14411.449406470287</v>
      </c>
      <c r="T171" s="15">
        <v>-6075.7457799051144</v>
      </c>
      <c r="U171" s="17">
        <v>0.8798658942478037</v>
      </c>
      <c r="V171" s="17">
        <v>0.59491213716905289</v>
      </c>
      <c r="W171" s="17">
        <v>1.7241379310344827E-2</v>
      </c>
      <c r="X171" s="17">
        <v>-0.17453153721638454</v>
      </c>
      <c r="Y171" s="17">
        <v>0.27951807228915654</v>
      </c>
      <c r="Z171" s="17">
        <v>0.10758691154684064</v>
      </c>
      <c r="AA171" s="63" t="s">
        <v>445</v>
      </c>
      <c r="AB171" s="64"/>
      <c r="AL171" s="65"/>
    </row>
    <row r="172" spans="1:38" hidden="1" outlineLevel="1" x14ac:dyDescent="0.25">
      <c r="A172" s="21" t="s">
        <v>22</v>
      </c>
      <c r="B172" s="21" t="s">
        <v>449</v>
      </c>
      <c r="C172" s="21" t="s">
        <v>363</v>
      </c>
      <c r="D172" s="15">
        <v>99</v>
      </c>
      <c r="E172" s="57">
        <v>730.08080808080808</v>
      </c>
      <c r="F172" s="15">
        <v>72278</v>
      </c>
      <c r="G172" s="15">
        <v>75.555555555555557</v>
      </c>
      <c r="H172" s="57">
        <v>717.99389705882425</v>
      </c>
      <c r="I172" s="15">
        <v>54248.427777777833</v>
      </c>
      <c r="J172" s="15">
        <v>89</v>
      </c>
      <c r="K172" s="57">
        <v>689.71449438202239</v>
      </c>
      <c r="L172" s="15">
        <v>61384.59</v>
      </c>
      <c r="M172" s="15">
        <v>94.610993312673315</v>
      </c>
      <c r="N172" s="15">
        <v>863.05133708261553</v>
      </c>
      <c r="O172" s="15">
        <v>81654.144281217101</v>
      </c>
      <c r="P172" s="15">
        <v>-5.6109933126733154</v>
      </c>
      <c r="Q172" s="15">
        <v>-173.33684270059314</v>
      </c>
      <c r="R172" s="15">
        <v>-20269.554281217104</v>
      </c>
      <c r="S172" s="15">
        <v>-15426.979000352789</v>
      </c>
      <c r="T172" s="15">
        <v>-4842.5752808643192</v>
      </c>
      <c r="U172" s="17">
        <v>0.94069406613108975</v>
      </c>
      <c r="V172" s="17">
        <v>0.7517633126934905</v>
      </c>
      <c r="W172" s="17">
        <v>-0.10101010101010101</v>
      </c>
      <c r="X172" s="17">
        <v>-0.15071543208168464</v>
      </c>
      <c r="Y172" s="17">
        <v>0.17794117647058821</v>
      </c>
      <c r="Z172" s="17">
        <v>0.13154597311934263</v>
      </c>
      <c r="AA172" s="63" t="s">
        <v>447</v>
      </c>
      <c r="AB172" s="64"/>
      <c r="AL172" s="65"/>
    </row>
    <row r="173" spans="1:38" collapsed="1" x14ac:dyDescent="0.25">
      <c r="A173" s="5" t="s">
        <v>22</v>
      </c>
      <c r="B173" s="5" t="s">
        <v>48</v>
      </c>
      <c r="C173" s="5" t="s">
        <v>81</v>
      </c>
      <c r="D173" s="6">
        <v>49</v>
      </c>
      <c r="E173" s="53">
        <v>789.75510204081638</v>
      </c>
      <c r="F173" s="6">
        <v>38698</v>
      </c>
      <c r="G173" s="6">
        <v>109.44444444444444</v>
      </c>
      <c r="H173" s="53">
        <v>844.64406091370472</v>
      </c>
      <c r="I173" s="6">
        <v>92441.599999999904</v>
      </c>
      <c r="J173" s="6">
        <v>193</v>
      </c>
      <c r="K173" s="53">
        <v>891.76119170984441</v>
      </c>
      <c r="L173" s="6">
        <v>172109.90999999997</v>
      </c>
      <c r="M173" s="6">
        <v>100.06689508415533</v>
      </c>
      <c r="N173" s="6">
        <v>929.61950000000002</v>
      </c>
      <c r="O173" s="6">
        <v>93024.136974684938</v>
      </c>
      <c r="P173" s="6">
        <v>92.933104915844666</v>
      </c>
      <c r="Q173" s="6">
        <v>-37.858308290155605</v>
      </c>
      <c r="R173" s="6">
        <v>79085.773025315037</v>
      </c>
      <c r="S173" s="6">
        <v>-7306.6535000000322</v>
      </c>
      <c r="T173" s="6">
        <v>86392.426525315066</v>
      </c>
      <c r="U173" s="8">
        <v>1.9287097879642292</v>
      </c>
      <c r="V173" s="8">
        <v>1.8501640068624017</v>
      </c>
      <c r="W173" s="8">
        <v>2.9387755102040818</v>
      </c>
      <c r="X173" s="8">
        <v>3.4475143418264502</v>
      </c>
      <c r="Y173" s="8">
        <v>0.76345177664974617</v>
      </c>
      <c r="Z173" s="8">
        <v>0.86182314023123952</v>
      </c>
      <c r="AA173" s="63" t="s">
        <v>48</v>
      </c>
      <c r="AB173" s="64"/>
      <c r="AL173" s="65"/>
    </row>
    <row r="174" spans="1:38" hidden="1" outlineLevel="1" x14ac:dyDescent="0.25">
      <c r="A174" s="21" t="s">
        <v>22</v>
      </c>
      <c r="B174" s="21" t="s">
        <v>450</v>
      </c>
      <c r="C174" s="21" t="s">
        <v>362</v>
      </c>
      <c r="D174" s="15">
        <v>21</v>
      </c>
      <c r="E174" s="57">
        <v>665</v>
      </c>
      <c r="F174" s="15">
        <v>13965</v>
      </c>
      <c r="G174" s="15">
        <v>46.111111111111114</v>
      </c>
      <c r="H174" s="57">
        <v>610.50999999999988</v>
      </c>
      <c r="I174" s="15">
        <v>28151.29444444444</v>
      </c>
      <c r="J174" s="15">
        <v>84</v>
      </c>
      <c r="K174" s="57">
        <v>671.13404761904769</v>
      </c>
      <c r="L174" s="15">
        <v>56375.26</v>
      </c>
      <c r="M174" s="15">
        <v>41.505482661720272</v>
      </c>
      <c r="N174" s="15">
        <v>857.22981697383216</v>
      </c>
      <c r="O174" s="15">
        <v>35579.737305517032</v>
      </c>
      <c r="P174" s="15">
        <v>42.494517338279728</v>
      </c>
      <c r="Q174" s="15">
        <v>-186.09576935478447</v>
      </c>
      <c r="R174" s="15">
        <v>20795.52269448297</v>
      </c>
      <c r="S174" s="15">
        <v>-15632.044625801895</v>
      </c>
      <c r="T174" s="15">
        <v>36427.56732028487</v>
      </c>
      <c r="U174" s="17">
        <v>2.0238290127745371</v>
      </c>
      <c r="V174" s="17">
        <v>1.5844765664208091</v>
      </c>
      <c r="W174" s="17">
        <v>3</v>
      </c>
      <c r="X174" s="17">
        <v>3.0368965270318657</v>
      </c>
      <c r="Y174" s="17">
        <v>0.82168674698795163</v>
      </c>
      <c r="Z174" s="17">
        <v>1.0025814482973257</v>
      </c>
      <c r="AA174" s="63" t="s">
        <v>445</v>
      </c>
      <c r="AB174" s="64"/>
      <c r="AL174" s="65"/>
    </row>
    <row r="175" spans="1:38" hidden="1" outlineLevel="1" x14ac:dyDescent="0.25">
      <c r="A175" s="21" t="s">
        <v>22</v>
      </c>
      <c r="B175" s="21" t="s">
        <v>451</v>
      </c>
      <c r="C175" s="21" t="s">
        <v>363</v>
      </c>
      <c r="D175" s="15">
        <v>28</v>
      </c>
      <c r="E175" s="57">
        <v>883.32142857142856</v>
      </c>
      <c r="F175" s="15">
        <v>24733</v>
      </c>
      <c r="G175" s="15">
        <v>63.333333333333336</v>
      </c>
      <c r="H175" s="57">
        <v>1015.1100877192968</v>
      </c>
      <c r="I175" s="15">
        <v>64290.30555555546</v>
      </c>
      <c r="J175" s="15">
        <v>109</v>
      </c>
      <c r="K175" s="57">
        <v>1061.7857798165137</v>
      </c>
      <c r="L175" s="15">
        <v>115734.65</v>
      </c>
      <c r="M175" s="15">
        <v>58.561412422435062</v>
      </c>
      <c r="N175" s="15">
        <v>980.92578872228114</v>
      </c>
      <c r="O175" s="15">
        <v>57444.399669167906</v>
      </c>
      <c r="P175" s="15">
        <v>50.438587577564938</v>
      </c>
      <c r="Q175" s="15">
        <v>80.859991094232555</v>
      </c>
      <c r="R175" s="15">
        <v>58290.250330832088</v>
      </c>
      <c r="S175" s="15">
        <v>8813.739029271348</v>
      </c>
      <c r="T175" s="15">
        <v>49476.511301560742</v>
      </c>
      <c r="U175" s="17">
        <v>1.8612939048280495</v>
      </c>
      <c r="V175" s="17">
        <v>2.0147246845042437</v>
      </c>
      <c r="W175" s="17">
        <v>2.8928571428571428</v>
      </c>
      <c r="X175" s="17">
        <v>3.6793615816924756</v>
      </c>
      <c r="Y175" s="17">
        <v>0.72105263157894728</v>
      </c>
      <c r="Z175" s="17">
        <v>0.8001882087804002</v>
      </c>
      <c r="AA175" s="63" t="s">
        <v>447</v>
      </c>
      <c r="AB175" s="64"/>
      <c r="AL175" s="65"/>
    </row>
    <row r="176" spans="1:38" collapsed="1" x14ac:dyDescent="0.25">
      <c r="A176" s="5" t="s">
        <v>22</v>
      </c>
      <c r="B176" s="5" t="s">
        <v>48</v>
      </c>
      <c r="C176" s="5" t="s">
        <v>82</v>
      </c>
      <c r="D176" s="6">
        <v>0</v>
      </c>
      <c r="E176" s="53" t="s">
        <v>364</v>
      </c>
      <c r="F176" s="6">
        <v>0</v>
      </c>
      <c r="G176" s="6">
        <v>78.333333333333343</v>
      </c>
      <c r="H176" s="53">
        <v>651.70595744680804</v>
      </c>
      <c r="I176" s="6">
        <v>51050.299999999974</v>
      </c>
      <c r="J176" s="6">
        <v>0</v>
      </c>
      <c r="K176" s="53" t="s">
        <v>364</v>
      </c>
      <c r="L176" s="6">
        <v>524.91000000000008</v>
      </c>
      <c r="M176" s="6">
        <v>138.6</v>
      </c>
      <c r="N176" s="6">
        <v>643.10314285714287</v>
      </c>
      <c r="O176" s="6">
        <v>89134.095600000001</v>
      </c>
      <c r="P176" s="6">
        <v>-138.6</v>
      </c>
      <c r="Q176" s="6" t="s">
        <v>364</v>
      </c>
      <c r="R176" s="6">
        <v>-88609.185599999997</v>
      </c>
      <c r="S176" s="6" t="s">
        <v>364</v>
      </c>
      <c r="T176" s="6">
        <v>-89134.095600000001</v>
      </c>
      <c r="U176" s="8">
        <v>0</v>
      </c>
      <c r="V176" s="8">
        <v>5.8889922702037275E-3</v>
      </c>
      <c r="W176" s="8" t="s">
        <v>364</v>
      </c>
      <c r="X176" s="8" t="s">
        <v>364</v>
      </c>
      <c r="Y176" s="8">
        <v>-1</v>
      </c>
      <c r="Z176" s="8">
        <v>-0.98971778814228317</v>
      </c>
      <c r="AA176" s="63" t="s">
        <v>48</v>
      </c>
      <c r="AB176" s="64"/>
      <c r="AL176" s="65"/>
    </row>
    <row r="177" spans="1:38" hidden="1" outlineLevel="1" x14ac:dyDescent="0.25">
      <c r="A177" s="21" t="s">
        <v>22</v>
      </c>
      <c r="B177" s="21" t="s">
        <v>452</v>
      </c>
      <c r="C177" s="21" t="s">
        <v>362</v>
      </c>
      <c r="D177" s="15">
        <v>0</v>
      </c>
      <c r="E177" s="57" t="s">
        <v>364</v>
      </c>
      <c r="F177" s="15">
        <v>0</v>
      </c>
      <c r="G177" s="15">
        <v>24.444444444444446</v>
      </c>
      <c r="H177" s="57">
        <v>505.80727272727268</v>
      </c>
      <c r="I177" s="15">
        <v>12364.177777777777</v>
      </c>
      <c r="J177" s="15">
        <v>0</v>
      </c>
      <c r="K177" s="57" t="s">
        <v>364</v>
      </c>
      <c r="L177" s="15">
        <v>0</v>
      </c>
      <c r="M177" s="15">
        <v>57.488142228021523</v>
      </c>
      <c r="N177" s="15">
        <v>593.02455407478521</v>
      </c>
      <c r="O177" s="15">
        <v>34091.879909360294</v>
      </c>
      <c r="P177" s="15">
        <v>-57.488142228021523</v>
      </c>
      <c r="Q177" s="15" t="s">
        <v>364</v>
      </c>
      <c r="R177" s="15">
        <v>-34091.879909360294</v>
      </c>
      <c r="S177" s="15" t="s">
        <v>364</v>
      </c>
      <c r="T177" s="15">
        <v>-34091.879909360294</v>
      </c>
      <c r="U177" s="17">
        <v>0</v>
      </c>
      <c r="V177" s="17">
        <v>0</v>
      </c>
      <c r="W177" s="17" t="s">
        <v>364</v>
      </c>
      <c r="X177" s="17" t="s">
        <v>364</v>
      </c>
      <c r="Y177" s="17">
        <v>-1</v>
      </c>
      <c r="Z177" s="17">
        <v>-1</v>
      </c>
      <c r="AA177" s="63" t="s">
        <v>445</v>
      </c>
      <c r="AB177" s="64"/>
      <c r="AL177" s="65"/>
    </row>
    <row r="178" spans="1:38" hidden="1" outlineLevel="1" x14ac:dyDescent="0.25">
      <c r="A178" s="21" t="s">
        <v>22</v>
      </c>
      <c r="B178" s="21" t="s">
        <v>453</v>
      </c>
      <c r="C178" s="21" t="s">
        <v>363</v>
      </c>
      <c r="D178" s="15">
        <v>0</v>
      </c>
      <c r="E178" s="57" t="s">
        <v>364</v>
      </c>
      <c r="F178" s="15">
        <v>0</v>
      </c>
      <c r="G178" s="15">
        <v>53.888888888888893</v>
      </c>
      <c r="H178" s="57">
        <v>717.88680412371082</v>
      </c>
      <c r="I178" s="15">
        <v>38686.122222222199</v>
      </c>
      <c r="J178" s="15">
        <v>0</v>
      </c>
      <c r="K178" s="57" t="s">
        <v>364</v>
      </c>
      <c r="L178" s="15">
        <v>524.91000000000008</v>
      </c>
      <c r="M178" s="15">
        <v>81.111857771978478</v>
      </c>
      <c r="N178" s="15">
        <v>678.59641244285501</v>
      </c>
      <c r="O178" s="15">
        <v>55042.215690639707</v>
      </c>
      <c r="P178" s="15">
        <v>-81.111857771978478</v>
      </c>
      <c r="Q178" s="15" t="s">
        <v>364</v>
      </c>
      <c r="R178" s="15">
        <v>-54517.305690639703</v>
      </c>
      <c r="S178" s="15" t="s">
        <v>364</v>
      </c>
      <c r="T178" s="15">
        <v>-55042.215690639699</v>
      </c>
      <c r="U178" s="17">
        <v>0</v>
      </c>
      <c r="V178" s="17">
        <v>9.5364983660943814E-3</v>
      </c>
      <c r="W178" s="17" t="s">
        <v>364</v>
      </c>
      <c r="X178" s="17" t="s">
        <v>364</v>
      </c>
      <c r="Y178" s="17">
        <v>-1</v>
      </c>
      <c r="Z178" s="17">
        <v>-0.98643156848378866</v>
      </c>
      <c r="AA178" s="63" t="s">
        <v>447</v>
      </c>
      <c r="AB178" s="64"/>
      <c r="AL178" s="65"/>
    </row>
    <row r="179" spans="1:38" collapsed="1" x14ac:dyDescent="0.25">
      <c r="A179" s="5" t="s">
        <v>22</v>
      </c>
      <c r="B179" s="5" t="s">
        <v>50</v>
      </c>
      <c r="C179" s="5" t="s">
        <v>83</v>
      </c>
      <c r="D179" s="6">
        <v>124</v>
      </c>
      <c r="E179" s="53">
        <v>521.70967741935488</v>
      </c>
      <c r="F179" s="6">
        <v>64692</v>
      </c>
      <c r="G179" s="6">
        <v>148.88888888888889</v>
      </c>
      <c r="H179" s="53">
        <v>562.95332089552289</v>
      </c>
      <c r="I179" s="6">
        <v>83817.494444444514</v>
      </c>
      <c r="J179" s="6">
        <v>169</v>
      </c>
      <c r="K179" s="53">
        <v>512.74710059171593</v>
      </c>
      <c r="L179" s="6">
        <v>86654.26</v>
      </c>
      <c r="M179" s="6">
        <v>173.10838404842082</v>
      </c>
      <c r="N179" s="6">
        <v>532.33654545454567</v>
      </c>
      <c r="O179" s="6">
        <v>92151.919153555122</v>
      </c>
      <c r="P179" s="6">
        <v>-4.1083840484208167</v>
      </c>
      <c r="Q179" s="6">
        <v>-19.589444862829737</v>
      </c>
      <c r="R179" s="6">
        <v>-5497.659153555127</v>
      </c>
      <c r="S179" s="6">
        <v>-3310.6161818182254</v>
      </c>
      <c r="T179" s="6">
        <v>-2187.0429717368984</v>
      </c>
      <c r="U179" s="8">
        <v>0.97626698399962164</v>
      </c>
      <c r="V179" s="8">
        <v>0.94034134932779601</v>
      </c>
      <c r="W179" s="8">
        <v>0.36290322580645162</v>
      </c>
      <c r="X179" s="8">
        <v>0.33948958140110053</v>
      </c>
      <c r="Y179" s="8">
        <v>0.13507462686567168</v>
      </c>
      <c r="Z179" s="8">
        <v>3.384455207541108E-2</v>
      </c>
      <c r="AA179" s="63" t="s">
        <v>50</v>
      </c>
      <c r="AB179" s="64"/>
      <c r="AL179" s="65"/>
    </row>
    <row r="180" spans="1:38" hidden="1" outlineLevel="1" x14ac:dyDescent="0.25">
      <c r="A180" s="21" t="s">
        <v>22</v>
      </c>
      <c r="B180" s="21" t="s">
        <v>454</v>
      </c>
      <c r="C180" s="21" t="s">
        <v>362</v>
      </c>
      <c r="D180" s="15">
        <v>39</v>
      </c>
      <c r="E180" s="57">
        <v>681.35897435897436</v>
      </c>
      <c r="F180" s="15">
        <v>26573</v>
      </c>
      <c r="G180" s="15">
        <v>37.777777777777779</v>
      </c>
      <c r="H180" s="57">
        <v>663.30235294117676</v>
      </c>
      <c r="I180" s="15">
        <v>25058.088888888902</v>
      </c>
      <c r="J180" s="15">
        <v>36</v>
      </c>
      <c r="K180" s="57">
        <v>689.77499999999998</v>
      </c>
      <c r="L180" s="15">
        <v>24831.899999999998</v>
      </c>
      <c r="M180" s="15">
        <v>64.105382291881554</v>
      </c>
      <c r="N180" s="15">
        <v>514.08108953934016</v>
      </c>
      <c r="O180" s="15">
        <v>32955.364773946392</v>
      </c>
      <c r="P180" s="15">
        <v>-28.105382291881554</v>
      </c>
      <c r="Q180" s="15">
        <v>175.69391046065982</v>
      </c>
      <c r="R180" s="15">
        <v>-8123.4647739463944</v>
      </c>
      <c r="S180" s="15">
        <v>6324.9807765837541</v>
      </c>
      <c r="T180" s="15">
        <v>-14448.445550530147</v>
      </c>
      <c r="U180" s="17">
        <v>0.56157531104153668</v>
      </c>
      <c r="V180" s="17">
        <v>0.75350099051646413</v>
      </c>
      <c r="W180" s="17">
        <v>-7.6923076923076927E-2</v>
      </c>
      <c r="X180" s="17">
        <v>-6.5521393896059987E-2</v>
      </c>
      <c r="Y180" s="17">
        <v>-4.7058823529411785E-2</v>
      </c>
      <c r="Z180" s="17">
        <v>-9.0265817912873469E-3</v>
      </c>
      <c r="AA180" s="63" t="s">
        <v>455</v>
      </c>
      <c r="AB180" s="64"/>
      <c r="AL180" s="65"/>
    </row>
    <row r="181" spans="1:38" hidden="1" outlineLevel="1" x14ac:dyDescent="0.25">
      <c r="A181" s="21" t="s">
        <v>22</v>
      </c>
      <c r="B181" s="21" t="s">
        <v>456</v>
      </c>
      <c r="C181" s="21" t="s">
        <v>363</v>
      </c>
      <c r="D181" s="15">
        <v>84</v>
      </c>
      <c r="E181" s="57">
        <v>453.79761904761904</v>
      </c>
      <c r="F181" s="15">
        <v>38119</v>
      </c>
      <c r="G181" s="15">
        <v>111.11111111111111</v>
      </c>
      <c r="H181" s="57">
        <v>528.83465000000047</v>
      </c>
      <c r="I181" s="15">
        <v>58759.405555555611</v>
      </c>
      <c r="J181" s="15">
        <v>133</v>
      </c>
      <c r="K181" s="57">
        <v>464.82977443609025</v>
      </c>
      <c r="L181" s="15">
        <v>61822.36</v>
      </c>
      <c r="M181" s="15">
        <v>109.00300175653926</v>
      </c>
      <c r="N181" s="15">
        <v>543.07269915213533</v>
      </c>
      <c r="O181" s="15">
        <v>59196.55437960873</v>
      </c>
      <c r="P181" s="15">
        <v>23.996998243460737</v>
      </c>
      <c r="Q181" s="15">
        <v>-78.242924716045081</v>
      </c>
      <c r="R181" s="15">
        <v>2625.8056203912711</v>
      </c>
      <c r="S181" s="15">
        <v>-10406.308987233995</v>
      </c>
      <c r="T181" s="15">
        <v>13032.114607625273</v>
      </c>
      <c r="U181" s="17">
        <v>1.220149884468857</v>
      </c>
      <c r="V181" s="17">
        <v>1.0443574064049879</v>
      </c>
      <c r="W181" s="17">
        <v>0.58333333333333337</v>
      </c>
      <c r="X181" s="17">
        <v>0.6218253364463916</v>
      </c>
      <c r="Y181" s="17">
        <v>0.19699999999999995</v>
      </c>
      <c r="Z181" s="17">
        <v>5.2127049541854861E-2</v>
      </c>
      <c r="AA181" s="63" t="s">
        <v>457</v>
      </c>
      <c r="AB181" s="64"/>
      <c r="AL181" s="65"/>
    </row>
    <row r="182" spans="1:38" collapsed="1" x14ac:dyDescent="0.25">
      <c r="A182" s="5" t="s">
        <v>22</v>
      </c>
      <c r="B182" s="5" t="s">
        <v>50</v>
      </c>
      <c r="C182" s="5" t="s">
        <v>84</v>
      </c>
      <c r="D182" s="6">
        <v>63</v>
      </c>
      <c r="E182" s="53">
        <v>394.60317460317458</v>
      </c>
      <c r="F182" s="6">
        <v>24860</v>
      </c>
      <c r="G182" s="6">
        <v>110</v>
      </c>
      <c r="H182" s="53">
        <v>387.46404040404042</v>
      </c>
      <c r="I182" s="6">
        <v>42621.044444444444</v>
      </c>
      <c r="J182" s="6">
        <v>7</v>
      </c>
      <c r="K182" s="53">
        <v>358.11714285714288</v>
      </c>
      <c r="L182" s="6">
        <v>2506.8200000000002</v>
      </c>
      <c r="M182" s="6">
        <v>145.03416666666666</v>
      </c>
      <c r="N182" s="6">
        <v>453.22798076923107</v>
      </c>
      <c r="O182" s="6">
        <v>65733.542500881449</v>
      </c>
      <c r="P182" s="6">
        <v>-138.03416666666666</v>
      </c>
      <c r="Q182" s="6">
        <v>-95.110837912088186</v>
      </c>
      <c r="R182" s="6">
        <v>-63226.722500881449</v>
      </c>
      <c r="S182" s="6">
        <v>-665.7758653846173</v>
      </c>
      <c r="T182" s="6">
        <v>-62560.946635496832</v>
      </c>
      <c r="U182" s="8">
        <v>4.8264489401922538E-2</v>
      </c>
      <c r="V182" s="8">
        <v>3.8136085545159612E-2</v>
      </c>
      <c r="W182" s="8">
        <v>-0.88888888888888884</v>
      </c>
      <c r="X182" s="8">
        <v>-0.89916251005631542</v>
      </c>
      <c r="Y182" s="8">
        <v>-0.9363636363636364</v>
      </c>
      <c r="Z182" s="8">
        <v>-0.94118351549860346</v>
      </c>
      <c r="AA182" s="63" t="s">
        <v>50</v>
      </c>
      <c r="AB182" s="64"/>
      <c r="AL182" s="65"/>
    </row>
    <row r="183" spans="1:38" hidden="1" outlineLevel="1" x14ac:dyDescent="0.25">
      <c r="A183" s="21" t="s">
        <v>22</v>
      </c>
      <c r="B183" s="21" t="s">
        <v>458</v>
      </c>
      <c r="C183" s="21" t="s">
        <v>362</v>
      </c>
      <c r="D183" s="15">
        <v>26</v>
      </c>
      <c r="E183" s="57">
        <v>372.92307692307691</v>
      </c>
      <c r="F183" s="15">
        <v>9696</v>
      </c>
      <c r="G183" s="15">
        <v>58.888888888888893</v>
      </c>
      <c r="H183" s="57">
        <v>286.7616981132075</v>
      </c>
      <c r="I183" s="15">
        <v>16887.077777777777</v>
      </c>
      <c r="J183" s="15">
        <v>4</v>
      </c>
      <c r="K183" s="57">
        <v>319.51499999999999</v>
      </c>
      <c r="L183" s="15">
        <v>1278.06</v>
      </c>
      <c r="M183" s="15">
        <v>53.708956678554053</v>
      </c>
      <c r="N183" s="15">
        <v>437.68540062304641</v>
      </c>
      <c r="O183" s="15">
        <v>23507.626220898776</v>
      </c>
      <c r="P183" s="15">
        <v>-49.708956678554053</v>
      </c>
      <c r="Q183" s="15">
        <v>-118.17040062304642</v>
      </c>
      <c r="R183" s="15">
        <v>-22229.566220898774</v>
      </c>
      <c r="S183" s="15">
        <v>-472.68160249218568</v>
      </c>
      <c r="T183" s="15">
        <v>-21756.884618406588</v>
      </c>
      <c r="U183" s="17">
        <v>7.4475473875611459E-2</v>
      </c>
      <c r="V183" s="17">
        <v>5.436788844565589E-2</v>
      </c>
      <c r="W183" s="17">
        <v>-0.84615384615384615</v>
      </c>
      <c r="X183" s="17">
        <v>-0.86818688118811882</v>
      </c>
      <c r="Y183" s="17">
        <v>-0.93207547169811322</v>
      </c>
      <c r="Z183" s="17">
        <v>-0.92431727876081449</v>
      </c>
      <c r="AA183" s="63" t="s">
        <v>455</v>
      </c>
      <c r="AB183" s="64"/>
      <c r="AL183" s="65"/>
    </row>
    <row r="184" spans="1:38" hidden="1" outlineLevel="1" x14ac:dyDescent="0.25">
      <c r="A184" s="21" t="s">
        <v>22</v>
      </c>
      <c r="B184" s="21" t="s">
        <v>459</v>
      </c>
      <c r="C184" s="21" t="s">
        <v>363</v>
      </c>
      <c r="D184" s="15">
        <v>37</v>
      </c>
      <c r="E184" s="57">
        <v>409.83783783783781</v>
      </c>
      <c r="F184" s="15">
        <v>15164</v>
      </c>
      <c r="G184" s="15">
        <v>51.111111111111114</v>
      </c>
      <c r="H184" s="57">
        <v>503.49065217391296</v>
      </c>
      <c r="I184" s="15">
        <v>25733.966666666664</v>
      </c>
      <c r="J184" s="15">
        <v>3</v>
      </c>
      <c r="K184" s="57">
        <v>409.58666666666664</v>
      </c>
      <c r="L184" s="15">
        <v>1228.76</v>
      </c>
      <c r="M184" s="15">
        <v>91.325209988112604</v>
      </c>
      <c r="N184" s="15">
        <v>462.3686743833278</v>
      </c>
      <c r="O184" s="15">
        <v>42225.916279982674</v>
      </c>
      <c r="P184" s="15">
        <v>-88.325209988112604</v>
      </c>
      <c r="Q184" s="15">
        <v>-52.782007716661155</v>
      </c>
      <c r="R184" s="15">
        <v>-40997.156279982672</v>
      </c>
      <c r="S184" s="15">
        <v>-158.34602314998347</v>
      </c>
      <c r="T184" s="15">
        <v>-40838.810256832687</v>
      </c>
      <c r="U184" s="17">
        <v>3.2849637032211554E-2</v>
      </c>
      <c r="V184" s="17">
        <v>2.909966457216933E-2</v>
      </c>
      <c r="W184" s="17">
        <v>-0.91891891891891897</v>
      </c>
      <c r="X184" s="17">
        <v>-0.9189686098654708</v>
      </c>
      <c r="Y184" s="17">
        <v>-0.94130434782608696</v>
      </c>
      <c r="Z184" s="17">
        <v>-0.95225143422635972</v>
      </c>
      <c r="AA184" s="63" t="s">
        <v>457</v>
      </c>
      <c r="AB184" s="64"/>
      <c r="AL184" s="65"/>
    </row>
    <row r="185" spans="1:38" collapsed="1" x14ac:dyDescent="0.25">
      <c r="A185" s="5" t="s">
        <v>22</v>
      </c>
      <c r="B185" s="5" t="s">
        <v>50</v>
      </c>
      <c r="C185" s="5" t="s">
        <v>85</v>
      </c>
      <c r="D185" s="6">
        <v>83</v>
      </c>
      <c r="E185" s="53">
        <v>415.06024096385545</v>
      </c>
      <c r="F185" s="6">
        <v>34450</v>
      </c>
      <c r="G185" s="6">
        <v>138.88888888888889</v>
      </c>
      <c r="H185" s="53">
        <v>351.1136799999997</v>
      </c>
      <c r="I185" s="6">
        <v>48765.788888888848</v>
      </c>
      <c r="J185" s="6">
        <v>207</v>
      </c>
      <c r="K185" s="53">
        <v>409.54589371980671</v>
      </c>
      <c r="L185" s="6">
        <v>84775.999999999985</v>
      </c>
      <c r="M185" s="6">
        <v>139.53333333333333</v>
      </c>
      <c r="N185" s="6">
        <v>425.85917391304321</v>
      </c>
      <c r="O185" s="6">
        <v>59421.550066666627</v>
      </c>
      <c r="P185" s="6">
        <v>67.466666666666669</v>
      </c>
      <c r="Q185" s="6">
        <v>-16.313280193236494</v>
      </c>
      <c r="R185" s="6">
        <v>25354.449933333359</v>
      </c>
      <c r="S185" s="6">
        <v>-3376.8489999999542</v>
      </c>
      <c r="T185" s="6">
        <v>28731.298933333317</v>
      </c>
      <c r="U185" s="8">
        <v>1.4835164835164836</v>
      </c>
      <c r="V185" s="8">
        <v>1.4266877909594671</v>
      </c>
      <c r="W185" s="8">
        <v>1.4939759036144578</v>
      </c>
      <c r="X185" s="8">
        <v>1.4608417997097238</v>
      </c>
      <c r="Y185" s="8">
        <v>0.49040000000000006</v>
      </c>
      <c r="Z185" s="8">
        <v>0.73843183780250432</v>
      </c>
      <c r="AA185" s="63" t="s">
        <v>50</v>
      </c>
      <c r="AB185" s="64"/>
      <c r="AL185" s="65"/>
    </row>
    <row r="186" spans="1:38" hidden="1" outlineLevel="1" x14ac:dyDescent="0.25">
      <c r="A186" s="21" t="s">
        <v>22</v>
      </c>
      <c r="B186" s="21" t="s">
        <v>460</v>
      </c>
      <c r="C186" s="21" t="s">
        <v>362</v>
      </c>
      <c r="D186" s="15">
        <v>31</v>
      </c>
      <c r="E186" s="57">
        <v>367.19354838709677</v>
      </c>
      <c r="F186" s="15">
        <v>11383</v>
      </c>
      <c r="G186" s="15">
        <v>87.777777777777786</v>
      </c>
      <c r="H186" s="57">
        <v>312.37101265822776</v>
      </c>
      <c r="I186" s="15">
        <v>27419.233333333326</v>
      </c>
      <c r="J186" s="15">
        <v>100</v>
      </c>
      <c r="K186" s="57">
        <v>381.77859999999993</v>
      </c>
      <c r="L186" s="15">
        <v>38177.859999999993</v>
      </c>
      <c r="M186" s="15">
        <v>51.67189171664775</v>
      </c>
      <c r="N186" s="15">
        <v>411.25515425322959</v>
      </c>
      <c r="O186" s="15">
        <v>21250.331798486146</v>
      </c>
      <c r="P186" s="15">
        <v>48.32810828335225</v>
      </c>
      <c r="Q186" s="15">
        <v>-29.476554253229665</v>
      </c>
      <c r="R186" s="15">
        <v>16927.528201513847</v>
      </c>
      <c r="S186" s="15">
        <v>-2947.6554253229665</v>
      </c>
      <c r="T186" s="15">
        <v>19875.183626836813</v>
      </c>
      <c r="U186" s="17">
        <v>1.9352881552773074</v>
      </c>
      <c r="V186" s="17">
        <v>1.7965771246319904</v>
      </c>
      <c r="W186" s="17">
        <v>2.225806451612903</v>
      </c>
      <c r="X186" s="17">
        <v>2.3539365720811731</v>
      </c>
      <c r="Y186" s="17">
        <v>0.13924050632911383</v>
      </c>
      <c r="Z186" s="17">
        <v>0.39237518189786497</v>
      </c>
      <c r="AA186" s="63" t="s">
        <v>455</v>
      </c>
      <c r="AB186" s="64"/>
      <c r="AL186" s="65"/>
    </row>
    <row r="187" spans="1:38" hidden="1" outlineLevel="1" x14ac:dyDescent="0.25">
      <c r="A187" s="21" t="s">
        <v>22</v>
      </c>
      <c r="B187" s="21" t="s">
        <v>461</v>
      </c>
      <c r="C187" s="21" t="s">
        <v>363</v>
      </c>
      <c r="D187" s="15">
        <v>53</v>
      </c>
      <c r="E187" s="57">
        <v>435.24528301886795</v>
      </c>
      <c r="F187" s="15">
        <v>23068</v>
      </c>
      <c r="G187" s="15">
        <v>51.111111111111114</v>
      </c>
      <c r="H187" s="57">
        <v>417.64999999999924</v>
      </c>
      <c r="I187" s="15">
        <v>21346.555555555518</v>
      </c>
      <c r="J187" s="15">
        <v>107</v>
      </c>
      <c r="K187" s="57">
        <v>435.49663551401869</v>
      </c>
      <c r="L187" s="15">
        <v>46598.14</v>
      </c>
      <c r="M187" s="15">
        <v>87.861441616685582</v>
      </c>
      <c r="N187" s="15">
        <v>434.4478939317957</v>
      </c>
      <c r="O187" s="15">
        <v>38171.218268180477</v>
      </c>
      <c r="P187" s="15">
        <v>19.138558383314418</v>
      </c>
      <c r="Q187" s="15">
        <v>1.0487415822229877</v>
      </c>
      <c r="R187" s="15">
        <v>8426.9217318195224</v>
      </c>
      <c r="S187" s="15">
        <v>112.21534929785969</v>
      </c>
      <c r="T187" s="15">
        <v>8314.706382521661</v>
      </c>
      <c r="U187" s="17">
        <v>1.2178265918605171</v>
      </c>
      <c r="V187" s="17">
        <v>1.2207663814294396</v>
      </c>
      <c r="W187" s="17">
        <v>1.0188679245283019</v>
      </c>
      <c r="X187" s="17">
        <v>1.0200338130743887</v>
      </c>
      <c r="Y187" s="17">
        <v>1.093478260869565</v>
      </c>
      <c r="Z187" s="17">
        <v>1.1829348476725401</v>
      </c>
      <c r="AA187" s="63" t="s">
        <v>457</v>
      </c>
      <c r="AB187" s="64"/>
      <c r="AL187" s="65"/>
    </row>
    <row r="188" spans="1:38" collapsed="1" x14ac:dyDescent="0.25">
      <c r="A188" s="5" t="s">
        <v>22</v>
      </c>
      <c r="B188" s="5" t="s">
        <v>50</v>
      </c>
      <c r="C188" s="5" t="s">
        <v>86</v>
      </c>
      <c r="D188" s="6">
        <v>36</v>
      </c>
      <c r="E188" s="53">
        <v>887.02777777777783</v>
      </c>
      <c r="F188" s="6">
        <v>31933</v>
      </c>
      <c r="G188" s="6">
        <v>67.777777777777786</v>
      </c>
      <c r="H188" s="53">
        <v>704.79499999999962</v>
      </c>
      <c r="I188" s="6">
        <v>47769.438888888872</v>
      </c>
      <c r="J188" s="6">
        <v>103</v>
      </c>
      <c r="K188" s="53">
        <v>491.10339805825231</v>
      </c>
      <c r="L188" s="6">
        <v>50583.649999999987</v>
      </c>
      <c r="M188" s="6">
        <v>90.5625</v>
      </c>
      <c r="N188" s="6">
        <v>752.42329824561295</v>
      </c>
      <c r="O188" s="6">
        <v>68141.334947368319</v>
      </c>
      <c r="P188" s="6">
        <v>12.4375</v>
      </c>
      <c r="Q188" s="6">
        <v>-261.31990018736064</v>
      </c>
      <c r="R188" s="6">
        <v>-17557.684947368332</v>
      </c>
      <c r="S188" s="6">
        <v>-26915.949719298147</v>
      </c>
      <c r="T188" s="6">
        <v>9358.2647719298111</v>
      </c>
      <c r="U188" s="8">
        <v>1.137336093857833</v>
      </c>
      <c r="V188" s="8">
        <v>0.74233429736987522</v>
      </c>
      <c r="W188" s="8">
        <v>1.8611111111111112</v>
      </c>
      <c r="X188" s="8">
        <v>0.58405567907806932</v>
      </c>
      <c r="Y188" s="8">
        <v>0.51967213114754085</v>
      </c>
      <c r="Z188" s="8">
        <v>5.8912375287826509E-2</v>
      </c>
      <c r="AA188" s="63" t="s">
        <v>50</v>
      </c>
      <c r="AB188" s="64"/>
      <c r="AL188" s="65">
        <v>0</v>
      </c>
    </row>
    <row r="189" spans="1:38" hidden="1" outlineLevel="1" x14ac:dyDescent="0.25">
      <c r="A189" s="21" t="s">
        <v>22</v>
      </c>
      <c r="B189" s="21" t="s">
        <v>462</v>
      </c>
      <c r="C189" s="21" t="s">
        <v>362</v>
      </c>
      <c r="D189" s="15">
        <v>7</v>
      </c>
      <c r="E189" s="57">
        <v>1036.7142857142858</v>
      </c>
      <c r="F189" s="15">
        <v>7257</v>
      </c>
      <c r="G189" s="15">
        <v>17.222222222222221</v>
      </c>
      <c r="H189" s="57">
        <v>677.33580645161305</v>
      </c>
      <c r="I189" s="15">
        <v>11665.22777777778</v>
      </c>
      <c r="J189" s="15">
        <v>24</v>
      </c>
      <c r="K189" s="57">
        <v>633.39333333333332</v>
      </c>
      <c r="L189" s="15">
        <v>15201.44</v>
      </c>
      <c r="M189" s="15">
        <v>33.537045104555034</v>
      </c>
      <c r="N189" s="15">
        <v>726.6203912913893</v>
      </c>
      <c r="O189" s="15">
        <v>24368.700836628752</v>
      </c>
      <c r="P189" s="15">
        <v>-9.537045104555034</v>
      </c>
      <c r="Q189" s="15">
        <v>-93.22705795805598</v>
      </c>
      <c r="R189" s="15">
        <v>-9167.2608366287513</v>
      </c>
      <c r="S189" s="15">
        <v>-2237.4493909933435</v>
      </c>
      <c r="T189" s="15">
        <v>-6929.8114456354078</v>
      </c>
      <c r="U189" s="17">
        <v>0.71562655341809756</v>
      </c>
      <c r="V189" s="17">
        <v>0.62381003000170687</v>
      </c>
      <c r="W189" s="17">
        <v>2.4285714285714284</v>
      </c>
      <c r="X189" s="17">
        <v>1.0947278489734051</v>
      </c>
      <c r="Y189" s="17">
        <v>0.39354838709677425</v>
      </c>
      <c r="Z189" s="17">
        <v>0.30314129218794106</v>
      </c>
      <c r="AA189" s="63" t="s">
        <v>455</v>
      </c>
      <c r="AB189" s="64"/>
      <c r="AL189" s="65"/>
    </row>
    <row r="190" spans="1:38" hidden="1" outlineLevel="1" x14ac:dyDescent="0.25">
      <c r="A190" s="21" t="s">
        <v>22</v>
      </c>
      <c r="B190" s="21" t="s">
        <v>463</v>
      </c>
      <c r="C190" s="21" t="s">
        <v>363</v>
      </c>
      <c r="D190" s="15">
        <v>29</v>
      </c>
      <c r="E190" s="57">
        <v>850.93103448275861</v>
      </c>
      <c r="F190" s="15">
        <v>24677</v>
      </c>
      <c r="G190" s="15">
        <v>50.555555555555557</v>
      </c>
      <c r="H190" s="57">
        <v>714.14923076923026</v>
      </c>
      <c r="I190" s="15">
        <v>36104.211111111086</v>
      </c>
      <c r="J190" s="15">
        <v>79</v>
      </c>
      <c r="K190" s="57">
        <v>447.87607594936708</v>
      </c>
      <c r="L190" s="15">
        <v>35382.21</v>
      </c>
      <c r="M190" s="15">
        <v>57.025454895444966</v>
      </c>
      <c r="N190" s="15">
        <v>767.59815754202782</v>
      </c>
      <c r="O190" s="15">
        <v>43772.634110739564</v>
      </c>
      <c r="P190" s="15">
        <v>21.974545104555034</v>
      </c>
      <c r="Q190" s="15">
        <v>-319.72208159266074</v>
      </c>
      <c r="R190" s="15">
        <v>-8390.4241107395646</v>
      </c>
      <c r="S190" s="15">
        <v>-25258.0444458202</v>
      </c>
      <c r="T190" s="15">
        <v>16867.620335080632</v>
      </c>
      <c r="U190" s="17">
        <v>1.3853462483525107</v>
      </c>
      <c r="V190" s="17">
        <v>0.80831804433992283</v>
      </c>
      <c r="W190" s="17">
        <v>1.7241379310344827</v>
      </c>
      <c r="X190" s="17">
        <v>0.43381326741500181</v>
      </c>
      <c r="Y190" s="17">
        <v>0.56263736263736264</v>
      </c>
      <c r="Z190" s="17">
        <v>-1.9997698021682875E-2</v>
      </c>
      <c r="AA190" s="63" t="s">
        <v>457</v>
      </c>
      <c r="AB190" s="64"/>
      <c r="AL190" s="65"/>
    </row>
    <row r="191" spans="1:38" collapsed="1" x14ac:dyDescent="0.25">
      <c r="A191" s="5" t="s">
        <v>22</v>
      </c>
      <c r="B191" s="5" t="s">
        <v>154</v>
      </c>
      <c r="C191" s="5" t="s">
        <v>87</v>
      </c>
      <c r="D191" s="6">
        <v>117</v>
      </c>
      <c r="E191" s="53">
        <v>348.40170940170941</v>
      </c>
      <c r="F191" s="6">
        <v>40763</v>
      </c>
      <c r="G191" s="6">
        <v>134.44444444444446</v>
      </c>
      <c r="H191" s="53">
        <v>328.86454545454558</v>
      </c>
      <c r="I191" s="6">
        <v>44214.011111111133</v>
      </c>
      <c r="J191" s="6">
        <v>79</v>
      </c>
      <c r="K191" s="53">
        <v>379.63556962025325</v>
      </c>
      <c r="L191" s="6">
        <v>29991.210000000006</v>
      </c>
      <c r="M191" s="6">
        <v>106.21527777777779</v>
      </c>
      <c r="N191" s="6">
        <v>402.99401574803113</v>
      </c>
      <c r="O191" s="6">
        <v>42804.12132545928</v>
      </c>
      <c r="P191" s="6">
        <v>-27.215277777777786</v>
      </c>
      <c r="Q191" s="6">
        <v>-23.358446127777881</v>
      </c>
      <c r="R191" s="6">
        <v>-12812.911325459274</v>
      </c>
      <c r="S191" s="6">
        <v>-1845.3172440944527</v>
      </c>
      <c r="T191" s="6">
        <v>-10967.594081364823</v>
      </c>
      <c r="U191" s="8">
        <v>0.74377247466492313</v>
      </c>
      <c r="V191" s="8">
        <v>0.70066173703142143</v>
      </c>
      <c r="W191" s="8">
        <v>-0.3247863247863248</v>
      </c>
      <c r="X191" s="8">
        <v>-0.26425410298555047</v>
      </c>
      <c r="Y191" s="8">
        <v>-0.41239669421487607</v>
      </c>
      <c r="Z191" s="8">
        <v>-0.32168085983804551</v>
      </c>
      <c r="AA191" s="63" t="s">
        <v>154</v>
      </c>
      <c r="AB191" s="64"/>
      <c r="AL191" s="65"/>
    </row>
    <row r="192" spans="1:38" hidden="1" outlineLevel="1" x14ac:dyDescent="0.25">
      <c r="A192" s="21" t="s">
        <v>22</v>
      </c>
      <c r="B192" s="21" t="s">
        <v>464</v>
      </c>
      <c r="C192" s="21" t="s">
        <v>362</v>
      </c>
      <c r="D192" s="15">
        <v>39</v>
      </c>
      <c r="E192" s="57">
        <v>304.56410256410254</v>
      </c>
      <c r="F192" s="15">
        <v>11878</v>
      </c>
      <c r="G192" s="15">
        <v>45</v>
      </c>
      <c r="H192" s="57">
        <v>217.76308641975305</v>
      </c>
      <c r="I192" s="15">
        <v>9799.3388888888876</v>
      </c>
      <c r="J192" s="15">
        <v>27</v>
      </c>
      <c r="K192" s="57">
        <v>215.73111111111109</v>
      </c>
      <c r="L192" s="15">
        <v>5824.74</v>
      </c>
      <c r="M192" s="15">
        <v>41.239099221892864</v>
      </c>
      <c r="N192" s="15">
        <v>367.55476922798482</v>
      </c>
      <c r="O192" s="15">
        <v>15157.627597672799</v>
      </c>
      <c r="P192" s="15">
        <v>-14.239099221892864</v>
      </c>
      <c r="Q192" s="15">
        <v>-151.82365811687373</v>
      </c>
      <c r="R192" s="15">
        <v>-9332.8875976727995</v>
      </c>
      <c r="S192" s="15">
        <v>-4099.2387691555905</v>
      </c>
      <c r="T192" s="15">
        <v>-5233.6488285172099</v>
      </c>
      <c r="U192" s="17">
        <v>0.65471847129159255</v>
      </c>
      <c r="V192" s="17">
        <v>0.38427781408841916</v>
      </c>
      <c r="W192" s="17">
        <v>-0.30769230769230771</v>
      </c>
      <c r="X192" s="17">
        <v>-0.50961946455632268</v>
      </c>
      <c r="Y192" s="17">
        <v>-0.4</v>
      </c>
      <c r="Z192" s="17">
        <v>-0.40559867700825619</v>
      </c>
      <c r="AA192" s="63" t="s">
        <v>397</v>
      </c>
      <c r="AB192" s="64"/>
      <c r="AL192" s="65"/>
    </row>
    <row r="193" spans="1:38" hidden="1" outlineLevel="1" x14ac:dyDescent="0.25">
      <c r="A193" s="21" t="s">
        <v>22</v>
      </c>
      <c r="B193" s="21" t="s">
        <v>465</v>
      </c>
      <c r="C193" s="21" t="s">
        <v>363</v>
      </c>
      <c r="D193" s="15">
        <v>77</v>
      </c>
      <c r="E193" s="57">
        <v>375.12987012987014</v>
      </c>
      <c r="F193" s="15">
        <v>28885</v>
      </c>
      <c r="G193" s="15">
        <v>89.444444444444443</v>
      </c>
      <c r="H193" s="57">
        <v>384.76031055900637</v>
      </c>
      <c r="I193" s="15">
        <v>34414.672222222238</v>
      </c>
      <c r="J193" s="15">
        <v>52</v>
      </c>
      <c r="K193" s="57">
        <v>464.73980769230769</v>
      </c>
      <c r="L193" s="15">
        <v>24166.47</v>
      </c>
      <c r="M193" s="15">
        <v>64.976178555884914</v>
      </c>
      <c r="N193" s="15">
        <v>425.48660666475172</v>
      </c>
      <c r="O193" s="15">
        <v>27646.493727786481</v>
      </c>
      <c r="P193" s="15">
        <v>-12.976178555884914</v>
      </c>
      <c r="Q193" s="15">
        <v>39.253201027555974</v>
      </c>
      <c r="R193" s="15">
        <v>-3480.0237277864799</v>
      </c>
      <c r="S193" s="15">
        <v>2041.1664534329107</v>
      </c>
      <c r="T193" s="15">
        <v>-5521.1901812193901</v>
      </c>
      <c r="U193" s="17">
        <v>0.80029329449216036</v>
      </c>
      <c r="V193" s="17">
        <v>0.87412422848077709</v>
      </c>
      <c r="W193" s="17">
        <v>-0.32467532467532467</v>
      </c>
      <c r="X193" s="17">
        <v>-0.16335572096243722</v>
      </c>
      <c r="Y193" s="17">
        <v>-0.41863354037267081</v>
      </c>
      <c r="Z193" s="17">
        <v>-0.29778584424827875</v>
      </c>
      <c r="AA193" s="63" t="s">
        <v>399</v>
      </c>
      <c r="AB193" s="64"/>
      <c r="AL193" s="65"/>
    </row>
    <row r="194" spans="1:38" collapsed="1" x14ac:dyDescent="0.25">
      <c r="A194" s="5" t="s">
        <v>22</v>
      </c>
      <c r="B194" s="5" t="s">
        <v>51</v>
      </c>
      <c r="C194" s="5" t="s">
        <v>88</v>
      </c>
      <c r="D194" s="6">
        <v>140</v>
      </c>
      <c r="E194" s="53">
        <v>351.39285714285717</v>
      </c>
      <c r="F194" s="6">
        <v>49195</v>
      </c>
      <c r="G194" s="6">
        <v>150.55555555555557</v>
      </c>
      <c r="H194" s="53">
        <v>401.81313653136527</v>
      </c>
      <c r="I194" s="6">
        <v>60495.200000000004</v>
      </c>
      <c r="J194" s="6">
        <v>167</v>
      </c>
      <c r="K194" s="53">
        <v>327.45131736526946</v>
      </c>
      <c r="L194" s="6">
        <v>54684.37</v>
      </c>
      <c r="M194" s="6">
        <v>127.45833333333333</v>
      </c>
      <c r="N194" s="6">
        <v>411.98977477477484</v>
      </c>
      <c r="O194" s="6">
        <v>52511.530043168175</v>
      </c>
      <c r="P194" s="6">
        <v>39.541666666666671</v>
      </c>
      <c r="Q194" s="6">
        <v>-84.538457409505384</v>
      </c>
      <c r="R194" s="6">
        <v>2172.8399568318273</v>
      </c>
      <c r="S194" s="6">
        <v>-14117.9223873874</v>
      </c>
      <c r="T194" s="6">
        <v>16290.762344219223</v>
      </c>
      <c r="U194" s="8">
        <v>1.3102321019941159</v>
      </c>
      <c r="V194" s="8">
        <v>1.041378340243478</v>
      </c>
      <c r="W194" s="8">
        <v>0.19285714285714287</v>
      </c>
      <c r="X194" s="8">
        <v>0.11158390080292718</v>
      </c>
      <c r="Y194" s="8">
        <v>0.10922509225092239</v>
      </c>
      <c r="Z194" s="8">
        <v>-9.6054397704280689E-2</v>
      </c>
      <c r="AA194" s="63" t="s">
        <v>51</v>
      </c>
      <c r="AB194" s="64"/>
      <c r="AL194" s="65"/>
    </row>
    <row r="195" spans="1:38" hidden="1" outlineLevel="1" x14ac:dyDescent="0.25">
      <c r="A195" s="21" t="s">
        <v>22</v>
      </c>
      <c r="B195" s="21" t="s">
        <v>466</v>
      </c>
      <c r="C195" s="21" t="s">
        <v>362</v>
      </c>
      <c r="D195" s="15">
        <v>93</v>
      </c>
      <c r="E195" s="57">
        <v>355.98924731182797</v>
      </c>
      <c r="F195" s="15">
        <v>33107</v>
      </c>
      <c r="G195" s="15">
        <v>111.66666666666667</v>
      </c>
      <c r="H195" s="57">
        <v>394.18860696517413</v>
      </c>
      <c r="I195" s="15">
        <v>44017.727777777778</v>
      </c>
      <c r="J195" s="15">
        <v>133</v>
      </c>
      <c r="K195" s="57">
        <v>330.97052631578941</v>
      </c>
      <c r="L195" s="15">
        <v>44019.079999999994</v>
      </c>
      <c r="M195" s="15">
        <v>89.360990780850827</v>
      </c>
      <c r="N195" s="15">
        <v>405.90396331730079</v>
      </c>
      <c r="O195" s="15">
        <v>36271.98032390813</v>
      </c>
      <c r="P195" s="15">
        <v>43.639009219149173</v>
      </c>
      <c r="Q195" s="15">
        <v>-74.933437001511379</v>
      </c>
      <c r="R195" s="15">
        <v>7747.0996760918642</v>
      </c>
      <c r="S195" s="15">
        <v>-9966.1471212010129</v>
      </c>
      <c r="T195" s="15">
        <v>17713.246797292879</v>
      </c>
      <c r="U195" s="17">
        <v>1.4883451810216566</v>
      </c>
      <c r="V195" s="17">
        <v>1.2135835873010077</v>
      </c>
      <c r="W195" s="17">
        <v>0.43010752688172044</v>
      </c>
      <c r="X195" s="17">
        <v>0.32960038662518482</v>
      </c>
      <c r="Y195" s="17">
        <v>0.19104477611940293</v>
      </c>
      <c r="Z195" s="17">
        <v>3.0719946041808966E-5</v>
      </c>
      <c r="AA195" s="63" t="s">
        <v>467</v>
      </c>
      <c r="AB195" s="64"/>
      <c r="AL195" s="65"/>
    </row>
    <row r="196" spans="1:38" hidden="1" outlineLevel="1" x14ac:dyDescent="0.25">
      <c r="A196" s="21" t="s">
        <v>22</v>
      </c>
      <c r="B196" s="21" t="s">
        <v>468</v>
      </c>
      <c r="C196" s="21" t="s">
        <v>363</v>
      </c>
      <c r="D196" s="15">
        <v>47</v>
      </c>
      <c r="E196" s="57">
        <v>342.29787234042556</v>
      </c>
      <c r="F196" s="15">
        <v>16088</v>
      </c>
      <c r="G196" s="15">
        <v>38.888888888888893</v>
      </c>
      <c r="H196" s="57">
        <v>423.70642857142843</v>
      </c>
      <c r="I196" s="15">
        <v>16477.472222222219</v>
      </c>
      <c r="J196" s="15">
        <v>34</v>
      </c>
      <c r="K196" s="57">
        <v>313.68499999999995</v>
      </c>
      <c r="L196" s="15">
        <v>10665.289999999999</v>
      </c>
      <c r="M196" s="15">
        <v>38.097342552482502</v>
      </c>
      <c r="N196" s="15">
        <v>426.26463241861586</v>
      </c>
      <c r="O196" s="15">
        <v>16239.549719260047</v>
      </c>
      <c r="P196" s="15">
        <v>-4.0973425524825018</v>
      </c>
      <c r="Q196" s="15">
        <v>-112.57963241861592</v>
      </c>
      <c r="R196" s="15">
        <v>-5574.2597192600479</v>
      </c>
      <c r="S196" s="15">
        <v>-3827.7075022329409</v>
      </c>
      <c r="T196" s="15">
        <v>-1746.552217027107</v>
      </c>
      <c r="U196" s="17">
        <v>0.89245069923609377</v>
      </c>
      <c r="V196" s="17">
        <v>0.65674788921955174</v>
      </c>
      <c r="W196" s="17">
        <v>-0.27659574468085107</v>
      </c>
      <c r="X196" s="17">
        <v>-0.33706551466931883</v>
      </c>
      <c r="Y196" s="17">
        <v>-0.12571428571428581</v>
      </c>
      <c r="Z196" s="17">
        <v>-0.35273506420382028</v>
      </c>
      <c r="AA196" s="63" t="s">
        <v>469</v>
      </c>
      <c r="AB196" s="64"/>
      <c r="AL196" s="65"/>
    </row>
    <row r="197" spans="1:38" collapsed="1" x14ac:dyDescent="0.25">
      <c r="A197" s="5" t="s">
        <v>22</v>
      </c>
      <c r="B197" s="5" t="s">
        <v>154</v>
      </c>
      <c r="C197" s="5" t="s">
        <v>89</v>
      </c>
      <c r="D197" s="6">
        <v>0</v>
      </c>
      <c r="E197" s="53" t="s">
        <v>364</v>
      </c>
      <c r="F197" s="6">
        <v>0</v>
      </c>
      <c r="G197" s="6">
        <v>108.33333333333334</v>
      </c>
      <c r="H197" s="53">
        <v>232.35112820512828</v>
      </c>
      <c r="I197" s="6">
        <v>25171.372222222231</v>
      </c>
      <c r="J197" s="6">
        <v>27</v>
      </c>
      <c r="K197" s="53">
        <v>239.82296296296295</v>
      </c>
      <c r="L197" s="6">
        <v>6475.2199999999993</v>
      </c>
      <c r="M197" s="6">
        <v>147.77777777777777</v>
      </c>
      <c r="N197" s="6">
        <v>253.19862068965514</v>
      </c>
      <c r="O197" s="6">
        <v>37417.129501915704</v>
      </c>
      <c r="P197" s="6">
        <v>-120.77777777777777</v>
      </c>
      <c r="Q197" s="6">
        <v>-13.375657726692197</v>
      </c>
      <c r="R197" s="6">
        <v>-30941.909501915703</v>
      </c>
      <c r="S197" s="6">
        <v>-361.14275862068928</v>
      </c>
      <c r="T197" s="6">
        <v>-30580.766743295015</v>
      </c>
      <c r="U197" s="8">
        <v>0.18270676691729323</v>
      </c>
      <c r="V197" s="8">
        <v>0.17305496402839982</v>
      </c>
      <c r="W197" s="8" t="s">
        <v>364</v>
      </c>
      <c r="X197" s="8" t="s">
        <v>364</v>
      </c>
      <c r="Y197" s="8">
        <v>-0.75076923076923074</v>
      </c>
      <c r="Z197" s="8">
        <v>-0.74275458871155897</v>
      </c>
      <c r="AA197" s="63" t="s">
        <v>154</v>
      </c>
      <c r="AB197" s="64"/>
      <c r="AL197" s="65"/>
    </row>
    <row r="198" spans="1:38" hidden="1" outlineLevel="1" x14ac:dyDescent="0.25">
      <c r="A198" s="21" t="s">
        <v>22</v>
      </c>
      <c r="B198" s="21" t="s">
        <v>470</v>
      </c>
      <c r="C198" s="21" t="s">
        <v>362</v>
      </c>
      <c r="D198" s="15">
        <v>0</v>
      </c>
      <c r="E198" s="57" t="s">
        <v>364</v>
      </c>
      <c r="F198" s="15">
        <v>0</v>
      </c>
      <c r="G198" s="15">
        <v>36.666666666666671</v>
      </c>
      <c r="H198" s="57">
        <v>172.05045454545453</v>
      </c>
      <c r="I198" s="15">
        <v>6308.5166666666673</v>
      </c>
      <c r="J198" s="15">
        <v>11</v>
      </c>
      <c r="K198" s="57">
        <v>239.0181818181818</v>
      </c>
      <c r="L198" s="15">
        <v>2629.2</v>
      </c>
      <c r="M198" s="15">
        <v>57.376138047850937</v>
      </c>
      <c r="N198" s="15">
        <v>230.9323636572758</v>
      </c>
      <c r="O198" s="15">
        <v>13250.007176916371</v>
      </c>
      <c r="P198" s="15">
        <v>-46.376138047850937</v>
      </c>
      <c r="Q198" s="15">
        <v>8.0858181609060011</v>
      </c>
      <c r="R198" s="15">
        <v>-10620.807176916373</v>
      </c>
      <c r="S198" s="15">
        <v>88.943999769966013</v>
      </c>
      <c r="T198" s="15">
        <v>-10709.751176686337</v>
      </c>
      <c r="U198" s="17">
        <v>0.19171733013515385</v>
      </c>
      <c r="V198" s="17">
        <v>0.19843008119878502</v>
      </c>
      <c r="W198" s="17" t="s">
        <v>364</v>
      </c>
      <c r="X198" s="17" t="s">
        <v>364</v>
      </c>
      <c r="Y198" s="17">
        <v>-0.70000000000000007</v>
      </c>
      <c r="Z198" s="17">
        <v>-0.58323007785771097</v>
      </c>
      <c r="AA198" s="63" t="s">
        <v>397</v>
      </c>
      <c r="AB198" s="64"/>
      <c r="AL198" s="65"/>
    </row>
    <row r="199" spans="1:38" hidden="1" outlineLevel="1" x14ac:dyDescent="0.25">
      <c r="A199" s="21" t="s">
        <v>22</v>
      </c>
      <c r="B199" s="21" t="s">
        <v>471</v>
      </c>
      <c r="C199" s="21" t="s">
        <v>363</v>
      </c>
      <c r="D199" s="15">
        <v>0</v>
      </c>
      <c r="E199" s="57" t="s">
        <v>364</v>
      </c>
      <c r="F199" s="15">
        <v>0</v>
      </c>
      <c r="G199" s="15">
        <v>71.666666666666671</v>
      </c>
      <c r="H199" s="57">
        <v>263.20263565891486</v>
      </c>
      <c r="I199" s="15">
        <v>18862.855555555565</v>
      </c>
      <c r="J199" s="15">
        <v>16</v>
      </c>
      <c r="K199" s="57">
        <v>240.37625</v>
      </c>
      <c r="L199" s="15">
        <v>3846.02</v>
      </c>
      <c r="M199" s="15">
        <v>90.401639729926828</v>
      </c>
      <c r="N199" s="15">
        <v>267.33057494530135</v>
      </c>
      <c r="O199" s="15">
        <v>24167.122324999335</v>
      </c>
      <c r="P199" s="15">
        <v>-74.401639729926828</v>
      </c>
      <c r="Q199" s="15">
        <v>-26.954324945301352</v>
      </c>
      <c r="R199" s="15">
        <v>-20321.102324999334</v>
      </c>
      <c r="S199" s="15">
        <v>-431.26919912482163</v>
      </c>
      <c r="T199" s="15">
        <v>-19889.833125874513</v>
      </c>
      <c r="U199" s="17">
        <v>0.17698794012807395</v>
      </c>
      <c r="V199" s="17">
        <v>0.15914265456510474</v>
      </c>
      <c r="W199" s="17" t="s">
        <v>364</v>
      </c>
      <c r="X199" s="17" t="s">
        <v>364</v>
      </c>
      <c r="Y199" s="17">
        <v>-0.77674418604651163</v>
      </c>
      <c r="Z199" s="17">
        <v>-0.79610616278788948</v>
      </c>
      <c r="AA199" s="63" t="s">
        <v>399</v>
      </c>
      <c r="AB199" s="64"/>
      <c r="AL199" s="65"/>
    </row>
    <row r="200" spans="1:38" collapsed="1" x14ac:dyDescent="0.25">
      <c r="A200" s="5" t="s">
        <v>22</v>
      </c>
      <c r="B200" s="5" t="s">
        <v>154</v>
      </c>
      <c r="C200" s="5" t="s">
        <v>90</v>
      </c>
      <c r="D200" s="6">
        <v>35</v>
      </c>
      <c r="E200" s="53">
        <v>372.17142857142858</v>
      </c>
      <c r="F200" s="6">
        <v>13026</v>
      </c>
      <c r="G200" s="6">
        <v>41.666666666666671</v>
      </c>
      <c r="H200" s="53">
        <v>317.12119999999999</v>
      </c>
      <c r="I200" s="6">
        <v>13213.383333333333</v>
      </c>
      <c r="J200" s="6">
        <v>44</v>
      </c>
      <c r="K200" s="53">
        <v>333.63636363636363</v>
      </c>
      <c r="L200" s="6">
        <v>14680</v>
      </c>
      <c r="M200" s="6">
        <v>63.729166666666664</v>
      </c>
      <c r="N200" s="6">
        <v>337.30666666666667</v>
      </c>
      <c r="O200" s="6">
        <v>21496.272777777776</v>
      </c>
      <c r="P200" s="6">
        <v>-19.729166666666664</v>
      </c>
      <c r="Q200" s="6">
        <v>-3.6703030303030459</v>
      </c>
      <c r="R200" s="6">
        <v>-6816.2727777777764</v>
      </c>
      <c r="S200" s="6">
        <v>-161.49333333333402</v>
      </c>
      <c r="T200" s="6">
        <v>-6654.7794444444435</v>
      </c>
      <c r="U200" s="8">
        <v>0.69042170644001311</v>
      </c>
      <c r="V200" s="8">
        <v>0.68290908622892799</v>
      </c>
      <c r="W200" s="8">
        <v>0.25714285714285712</v>
      </c>
      <c r="X200" s="8">
        <v>0.12697681559957008</v>
      </c>
      <c r="Y200" s="8">
        <v>5.5999999999999883E-2</v>
      </c>
      <c r="Z200" s="8">
        <v>0.11099478685121021</v>
      </c>
      <c r="AA200" s="63" t="s">
        <v>154</v>
      </c>
      <c r="AB200" s="64"/>
      <c r="AL200" s="65"/>
    </row>
    <row r="201" spans="1:38" hidden="1" outlineLevel="1" x14ac:dyDescent="0.25">
      <c r="A201" s="21" t="s">
        <v>22</v>
      </c>
      <c r="B201" s="21" t="s">
        <v>472</v>
      </c>
      <c r="C201" s="21" t="s">
        <v>362</v>
      </c>
      <c r="D201" s="15">
        <v>35</v>
      </c>
      <c r="E201" s="57">
        <v>372.17142857142858</v>
      </c>
      <c r="F201" s="15">
        <v>13026</v>
      </c>
      <c r="G201" s="15">
        <v>38.888888888888893</v>
      </c>
      <c r="H201" s="57">
        <v>332.91557142857141</v>
      </c>
      <c r="I201" s="15">
        <v>12946.716666666667</v>
      </c>
      <c r="J201" s="15">
        <v>42</v>
      </c>
      <c r="K201" s="57">
        <v>339.64285714285717</v>
      </c>
      <c r="L201" s="15">
        <v>14265</v>
      </c>
      <c r="M201" s="15">
        <v>24.743459533135717</v>
      </c>
      <c r="N201" s="15">
        <v>307.64395792726646</v>
      </c>
      <c r="O201" s="15">
        <v>7612.1758235870248</v>
      </c>
      <c r="P201" s="15">
        <v>17.256540466864283</v>
      </c>
      <c r="Q201" s="15">
        <v>31.998899215590711</v>
      </c>
      <c r="R201" s="15">
        <v>6652.8241764129752</v>
      </c>
      <c r="S201" s="15">
        <v>1343.9537670548098</v>
      </c>
      <c r="T201" s="15">
        <v>5308.8704093581664</v>
      </c>
      <c r="U201" s="17">
        <v>1.6974182589041289</v>
      </c>
      <c r="V201" s="17">
        <v>1.8739714282214277</v>
      </c>
      <c r="W201" s="17">
        <v>0.2</v>
      </c>
      <c r="X201" s="17">
        <v>9.5117457392906501E-2</v>
      </c>
      <c r="Y201" s="17">
        <v>7.9999999999999891E-2</v>
      </c>
      <c r="Z201" s="17">
        <v>0.10182375711731284</v>
      </c>
      <c r="AA201" s="63" t="s">
        <v>397</v>
      </c>
      <c r="AB201" s="64"/>
      <c r="AL201" s="65"/>
    </row>
    <row r="202" spans="1:38" hidden="1" outlineLevel="1" x14ac:dyDescent="0.25">
      <c r="A202" s="21" t="s">
        <v>22</v>
      </c>
      <c r="B202" s="21" t="s">
        <v>473</v>
      </c>
      <c r="C202" s="21" t="s">
        <v>363</v>
      </c>
      <c r="D202" s="15">
        <v>0</v>
      </c>
      <c r="E202" s="57" t="s">
        <v>364</v>
      </c>
      <c r="F202" s="15">
        <v>0</v>
      </c>
      <c r="G202" s="15">
        <v>2.7777777777777777</v>
      </c>
      <c r="H202" s="57">
        <v>96.000000000000014</v>
      </c>
      <c r="I202" s="15">
        <v>266.66666666666669</v>
      </c>
      <c r="J202" s="15">
        <v>2</v>
      </c>
      <c r="K202" s="57">
        <v>207.5</v>
      </c>
      <c r="L202" s="15">
        <v>415</v>
      </c>
      <c r="M202" s="15">
        <v>38.985707133530944</v>
      </c>
      <c r="N202" s="15">
        <v>356.13300296531685</v>
      </c>
      <c r="O202" s="15">
        <v>13884.096954190751</v>
      </c>
      <c r="P202" s="15">
        <v>-36.985707133530944</v>
      </c>
      <c r="Q202" s="15">
        <v>-148.63300296531685</v>
      </c>
      <c r="R202" s="15">
        <v>-13469.096954190751</v>
      </c>
      <c r="S202" s="15">
        <v>-297.2660059306337</v>
      </c>
      <c r="T202" s="15">
        <v>-13171.830948260116</v>
      </c>
      <c r="U202" s="17">
        <v>5.1300852211035926E-2</v>
      </c>
      <c r="V202" s="17">
        <v>2.9890312734724686E-2</v>
      </c>
      <c r="W202" s="17" t="s">
        <v>364</v>
      </c>
      <c r="X202" s="17" t="s">
        <v>364</v>
      </c>
      <c r="Y202" s="17">
        <v>-0.27999999999999997</v>
      </c>
      <c r="Z202" s="17">
        <v>0.55624999999999991</v>
      </c>
      <c r="AA202" s="63" t="s">
        <v>399</v>
      </c>
      <c r="AB202" s="64"/>
      <c r="AL202" s="65"/>
    </row>
    <row r="203" spans="1:38" collapsed="1" x14ac:dyDescent="0.25">
      <c r="A203" s="5" t="s">
        <v>22</v>
      </c>
      <c r="B203" s="5" t="s">
        <v>52</v>
      </c>
      <c r="C203" s="5" t="s">
        <v>91</v>
      </c>
      <c r="D203" s="6">
        <v>176</v>
      </c>
      <c r="E203" s="53">
        <v>1100.8522727272727</v>
      </c>
      <c r="F203" s="6">
        <v>193750</v>
      </c>
      <c r="G203" s="6">
        <v>196.11111111111111</v>
      </c>
      <c r="H203" s="53">
        <v>873.32286118980187</v>
      </c>
      <c r="I203" s="6">
        <v>171268.31666666671</v>
      </c>
      <c r="J203" s="6">
        <v>117</v>
      </c>
      <c r="K203" s="53">
        <v>914.41632478632482</v>
      </c>
      <c r="L203" s="6">
        <v>106986.71</v>
      </c>
      <c r="M203" s="6">
        <v>178.88888888888889</v>
      </c>
      <c r="N203" s="6">
        <v>931.93886274509794</v>
      </c>
      <c r="O203" s="6">
        <v>166713.5076688453</v>
      </c>
      <c r="P203" s="6">
        <v>-61.888888888888886</v>
      </c>
      <c r="Q203" s="6">
        <v>-17.522537958773114</v>
      </c>
      <c r="R203" s="6">
        <v>-59726.797668845291</v>
      </c>
      <c r="S203" s="6">
        <v>-2050.1369411764545</v>
      </c>
      <c r="T203" s="6">
        <v>-57676.660727668837</v>
      </c>
      <c r="U203" s="8">
        <v>0.65403726708074539</v>
      </c>
      <c r="V203" s="8">
        <v>0.64173990155923777</v>
      </c>
      <c r="W203" s="8">
        <v>-0.33522727272727271</v>
      </c>
      <c r="X203" s="8">
        <v>-0.44781052903225804</v>
      </c>
      <c r="Y203" s="8">
        <v>-0.40339943342776202</v>
      </c>
      <c r="Z203" s="8">
        <v>-0.37532690177469108</v>
      </c>
      <c r="AA203" s="63" t="s">
        <v>52</v>
      </c>
      <c r="AB203" s="64"/>
      <c r="AL203" s="65"/>
    </row>
    <row r="204" spans="1:38" hidden="1" outlineLevel="1" x14ac:dyDescent="0.25">
      <c r="A204" s="21" t="s">
        <v>22</v>
      </c>
      <c r="B204" s="21" t="s">
        <v>474</v>
      </c>
      <c r="C204" s="21" t="s">
        <v>362</v>
      </c>
      <c r="D204" s="15">
        <v>81</v>
      </c>
      <c r="E204" s="57">
        <v>1032.4197530864199</v>
      </c>
      <c r="F204" s="15">
        <v>83626</v>
      </c>
      <c r="G204" s="15">
        <v>121.11111111111111</v>
      </c>
      <c r="H204" s="57">
        <v>749.9773394495412</v>
      </c>
      <c r="I204" s="15">
        <v>90830.588888888888</v>
      </c>
      <c r="J204" s="15">
        <v>62</v>
      </c>
      <c r="K204" s="57">
        <v>664.3767741935485</v>
      </c>
      <c r="L204" s="15">
        <v>41191.360000000008</v>
      </c>
      <c r="M204" s="15">
        <v>95.20191016923043</v>
      </c>
      <c r="N204" s="15">
        <v>890.29804318798949</v>
      </c>
      <c r="O204" s="15">
        <v>84758.074331424606</v>
      </c>
      <c r="P204" s="15">
        <v>-33.20191016923043</v>
      </c>
      <c r="Q204" s="15">
        <v>-225.92126899444099</v>
      </c>
      <c r="R204" s="15">
        <v>-43566.714331424599</v>
      </c>
      <c r="S204" s="15">
        <v>-14007.118677655342</v>
      </c>
      <c r="T204" s="15">
        <v>-29559.595653769262</v>
      </c>
      <c r="U204" s="17">
        <v>0.65124743705025578</v>
      </c>
      <c r="V204" s="17">
        <v>0.4859874451480789</v>
      </c>
      <c r="W204" s="17">
        <v>-0.23456790123456789</v>
      </c>
      <c r="X204" s="17">
        <v>-0.50743357329060335</v>
      </c>
      <c r="Y204" s="17">
        <v>-0.48807339449541287</v>
      </c>
      <c r="Z204" s="17">
        <v>-0.54650343563897275</v>
      </c>
      <c r="AA204" s="63" t="s">
        <v>475</v>
      </c>
      <c r="AB204" s="64"/>
      <c r="AL204" s="65"/>
    </row>
    <row r="205" spans="1:38" hidden="1" outlineLevel="1" x14ac:dyDescent="0.25">
      <c r="A205" s="21" t="s">
        <v>22</v>
      </c>
      <c r="B205" s="21" t="s">
        <v>476</v>
      </c>
      <c r="C205" s="21" t="s">
        <v>363</v>
      </c>
      <c r="D205" s="15">
        <v>95</v>
      </c>
      <c r="E205" s="57">
        <v>1159.2</v>
      </c>
      <c r="F205" s="15">
        <v>110124</v>
      </c>
      <c r="G205" s="15">
        <v>75</v>
      </c>
      <c r="H205" s="57">
        <v>1072.5030370370375</v>
      </c>
      <c r="I205" s="15">
        <v>80437.727777777822</v>
      </c>
      <c r="J205" s="15">
        <v>55</v>
      </c>
      <c r="K205" s="57">
        <v>1196.2790909090911</v>
      </c>
      <c r="L205" s="15">
        <v>65795.350000000006</v>
      </c>
      <c r="M205" s="15">
        <v>83.686978719658455</v>
      </c>
      <c r="N205" s="15">
        <v>979.30926162314643</v>
      </c>
      <c r="O205" s="15">
        <v>81955.433337420691</v>
      </c>
      <c r="P205" s="15">
        <v>-28.686978719658455</v>
      </c>
      <c r="Q205" s="15">
        <v>216.96982928594468</v>
      </c>
      <c r="R205" s="15">
        <v>-16160.083337420685</v>
      </c>
      <c r="S205" s="15">
        <v>11933.340610726958</v>
      </c>
      <c r="T205" s="15">
        <v>-28093.423948147636</v>
      </c>
      <c r="U205" s="17">
        <v>0.65721096449476968</v>
      </c>
      <c r="V205" s="17">
        <v>0.80281864570360317</v>
      </c>
      <c r="W205" s="17">
        <v>-0.42105263157894735</v>
      </c>
      <c r="X205" s="17">
        <v>-0.40253396171588385</v>
      </c>
      <c r="Y205" s="17">
        <v>-0.26666666666666666</v>
      </c>
      <c r="Z205" s="17">
        <v>-0.18203370709612463</v>
      </c>
      <c r="AA205" s="63" t="s">
        <v>477</v>
      </c>
      <c r="AB205" s="64"/>
      <c r="AL205" s="65"/>
    </row>
    <row r="206" spans="1:38" collapsed="1" x14ac:dyDescent="0.25">
      <c r="A206" s="5" t="s">
        <v>22</v>
      </c>
      <c r="B206" s="5" t="s">
        <v>53</v>
      </c>
      <c r="C206" s="5" t="s">
        <v>92</v>
      </c>
      <c r="D206" s="6">
        <v>54</v>
      </c>
      <c r="E206" s="53">
        <v>626.5</v>
      </c>
      <c r="F206" s="6">
        <v>33831</v>
      </c>
      <c r="G206" s="6">
        <v>53.888888888888893</v>
      </c>
      <c r="H206" s="53">
        <v>653.23247422680402</v>
      </c>
      <c r="I206" s="6">
        <v>35201.972222222219</v>
      </c>
      <c r="J206" s="6">
        <v>61</v>
      </c>
      <c r="K206" s="53">
        <v>506.73901639344257</v>
      </c>
      <c r="L206" s="6">
        <v>30911.079999999998</v>
      </c>
      <c r="M206" s="6">
        <v>58.888888888888893</v>
      </c>
      <c r="N206" s="6">
        <v>761.92797872340429</v>
      </c>
      <c r="O206" s="6">
        <v>44869.092080378257</v>
      </c>
      <c r="P206" s="6">
        <v>2.1111111111111072</v>
      </c>
      <c r="Q206" s="6">
        <v>-255.18896232996173</v>
      </c>
      <c r="R206" s="6">
        <v>-13958.012080378259</v>
      </c>
      <c r="S206" s="6">
        <v>-15566.526702127665</v>
      </c>
      <c r="T206" s="6">
        <v>1608.5146217494062</v>
      </c>
      <c r="U206" s="8">
        <v>1.0358490566037735</v>
      </c>
      <c r="V206" s="8">
        <v>0.68891699311913979</v>
      </c>
      <c r="W206" s="8">
        <v>0.12962962962962962</v>
      </c>
      <c r="X206" s="8">
        <v>-8.630900653247027E-2</v>
      </c>
      <c r="Y206" s="8">
        <v>0.13195876288659786</v>
      </c>
      <c r="Z206" s="8">
        <v>-0.12189351764539705</v>
      </c>
      <c r="AA206" s="63" t="s">
        <v>53</v>
      </c>
      <c r="AB206" s="64"/>
      <c r="AL206" s="65"/>
    </row>
    <row r="207" spans="1:38" hidden="1" outlineLevel="1" x14ac:dyDescent="0.25">
      <c r="A207" s="21" t="s">
        <v>22</v>
      </c>
      <c r="B207" s="21" t="s">
        <v>478</v>
      </c>
      <c r="C207" s="21" t="s">
        <v>362</v>
      </c>
      <c r="D207" s="15">
        <v>24</v>
      </c>
      <c r="E207" s="57">
        <v>448.79166666666669</v>
      </c>
      <c r="F207" s="15">
        <v>10771</v>
      </c>
      <c r="G207" s="15">
        <v>25.555555555555557</v>
      </c>
      <c r="H207" s="57">
        <v>500.99282608695648</v>
      </c>
      <c r="I207" s="15">
        <v>12803.15</v>
      </c>
      <c r="J207" s="15">
        <v>29</v>
      </c>
      <c r="K207" s="57">
        <v>387.09172413793107</v>
      </c>
      <c r="L207" s="15">
        <v>11225.660000000002</v>
      </c>
      <c r="M207" s="15" t="s">
        <v>364</v>
      </c>
      <c r="N207" s="15" t="s">
        <v>364</v>
      </c>
      <c r="O207" s="15" t="s">
        <v>364</v>
      </c>
      <c r="P207" s="15" t="s">
        <v>364</v>
      </c>
      <c r="Q207" s="15" t="s">
        <v>364</v>
      </c>
      <c r="R207" s="15" t="s">
        <v>364</v>
      </c>
      <c r="S207" s="15" t="s">
        <v>364</v>
      </c>
      <c r="T207" s="15" t="s">
        <v>364</v>
      </c>
      <c r="U207" s="17" t="s">
        <v>364</v>
      </c>
      <c r="V207" s="17" t="s">
        <v>364</v>
      </c>
      <c r="W207" s="17">
        <v>0.20833333333333334</v>
      </c>
      <c r="X207" s="17">
        <v>4.2211493826014454E-2</v>
      </c>
      <c r="Y207" s="17">
        <v>0.13478260869565212</v>
      </c>
      <c r="Z207" s="17">
        <v>-0.12321108477210671</v>
      </c>
      <c r="AA207" s="63" t="s">
        <v>479</v>
      </c>
      <c r="AB207" s="64"/>
      <c r="AL207" s="65"/>
    </row>
    <row r="208" spans="1:38" hidden="1" outlineLevel="1" x14ac:dyDescent="0.25">
      <c r="A208" s="21" t="s">
        <v>22</v>
      </c>
      <c r="B208" s="21" t="s">
        <v>480</v>
      </c>
      <c r="C208" s="21" t="s">
        <v>363</v>
      </c>
      <c r="D208" s="15">
        <v>30</v>
      </c>
      <c r="E208" s="57">
        <v>768.66666666666663</v>
      </c>
      <c r="F208" s="15">
        <v>23060</v>
      </c>
      <c r="G208" s="15">
        <v>28.333333333333336</v>
      </c>
      <c r="H208" s="57">
        <v>790.5466666666664</v>
      </c>
      <c r="I208" s="15">
        <v>22398.822222222218</v>
      </c>
      <c r="J208" s="15">
        <v>32</v>
      </c>
      <c r="K208" s="57">
        <v>615.16937499999995</v>
      </c>
      <c r="L208" s="15">
        <v>19685.419999999998</v>
      </c>
      <c r="M208" s="15" t="s">
        <v>364</v>
      </c>
      <c r="N208" s="15" t="s">
        <v>364</v>
      </c>
      <c r="O208" s="15" t="s">
        <v>364</v>
      </c>
      <c r="P208" s="15" t="s">
        <v>364</v>
      </c>
      <c r="Q208" s="15" t="s">
        <v>364</v>
      </c>
      <c r="R208" s="15" t="s">
        <v>364</v>
      </c>
      <c r="S208" s="15" t="s">
        <v>364</v>
      </c>
      <c r="T208" s="15" t="s">
        <v>364</v>
      </c>
      <c r="U208" s="17" t="s">
        <v>364</v>
      </c>
      <c r="V208" s="17" t="s">
        <v>364</v>
      </c>
      <c r="W208" s="17">
        <v>6.6666666666666666E-2</v>
      </c>
      <c r="X208" s="17">
        <v>-0.14633911535125765</v>
      </c>
      <c r="Y208" s="17">
        <v>0.12941176470588225</v>
      </c>
      <c r="Z208" s="17">
        <v>-0.12114039726295121</v>
      </c>
      <c r="AA208" s="63" t="s">
        <v>481</v>
      </c>
      <c r="AB208" s="64"/>
      <c r="AL208" s="65"/>
    </row>
    <row r="209" spans="1:38" collapsed="1" x14ac:dyDescent="0.25">
      <c r="A209" s="5" t="s">
        <v>22</v>
      </c>
      <c r="B209" s="5" t="s">
        <v>49</v>
      </c>
      <c r="C209" s="5" t="s">
        <v>93</v>
      </c>
      <c r="D209" s="6">
        <v>43</v>
      </c>
      <c r="E209" s="53">
        <v>924.1395348837209</v>
      </c>
      <c r="F209" s="6">
        <v>39738</v>
      </c>
      <c r="G209" s="6">
        <v>22.222222222222221</v>
      </c>
      <c r="H209" s="53">
        <v>831.79750000000024</v>
      </c>
      <c r="I209" s="6">
        <v>18484.388888888894</v>
      </c>
      <c r="J209" s="6">
        <v>17</v>
      </c>
      <c r="K209" s="53">
        <v>1114.4829411764708</v>
      </c>
      <c r="L209" s="6">
        <v>18946.210000000003</v>
      </c>
      <c r="M209" s="6" t="s">
        <v>364</v>
      </c>
      <c r="N209" s="6" t="s">
        <v>364</v>
      </c>
      <c r="O209" s="6" t="s">
        <v>364</v>
      </c>
      <c r="P209" s="6" t="s">
        <v>364</v>
      </c>
      <c r="Q209" s="6" t="s">
        <v>364</v>
      </c>
      <c r="R209" s="6" t="s">
        <v>364</v>
      </c>
      <c r="S209" s="6" t="s">
        <v>364</v>
      </c>
      <c r="T209" s="6" t="s">
        <v>364</v>
      </c>
      <c r="U209" s="8" t="s">
        <v>364</v>
      </c>
      <c r="V209" s="8" t="s">
        <v>364</v>
      </c>
      <c r="W209" s="8">
        <v>-0.60465116279069764</v>
      </c>
      <c r="X209" s="8">
        <v>-0.52322185313805414</v>
      </c>
      <c r="Y209" s="8">
        <v>-0.23499999999999999</v>
      </c>
      <c r="Z209" s="8">
        <v>2.4984386223810343E-2</v>
      </c>
      <c r="AA209" s="63" t="s">
        <v>49</v>
      </c>
      <c r="AB209" s="64"/>
      <c r="AL209" s="65"/>
    </row>
    <row r="210" spans="1:38" hidden="1" outlineLevel="1" x14ac:dyDescent="0.25">
      <c r="A210" s="21" t="s">
        <v>22</v>
      </c>
      <c r="B210" s="21" t="s">
        <v>482</v>
      </c>
      <c r="C210" s="21" t="s">
        <v>362</v>
      </c>
      <c r="D210" s="15">
        <v>15</v>
      </c>
      <c r="E210" s="57">
        <v>867.4</v>
      </c>
      <c r="F210" s="15">
        <v>13011</v>
      </c>
      <c r="G210" s="15">
        <v>7.7777777777777786</v>
      </c>
      <c r="H210" s="57">
        <v>630.35785714285703</v>
      </c>
      <c r="I210" s="15">
        <v>4902.7833333333328</v>
      </c>
      <c r="J210" s="15">
        <v>7</v>
      </c>
      <c r="K210" s="57">
        <v>764.04857142857145</v>
      </c>
      <c r="L210" s="15">
        <v>5348.34</v>
      </c>
      <c r="M210" s="15" t="s">
        <v>364</v>
      </c>
      <c r="N210" s="15" t="s">
        <v>364</v>
      </c>
      <c r="O210" s="15" t="s">
        <v>364</v>
      </c>
      <c r="P210" s="15" t="s">
        <v>364</v>
      </c>
      <c r="Q210" s="15" t="s">
        <v>364</v>
      </c>
      <c r="R210" s="15" t="s">
        <v>364</v>
      </c>
      <c r="S210" s="15" t="s">
        <v>364</v>
      </c>
      <c r="T210" s="15" t="s">
        <v>364</v>
      </c>
      <c r="U210" s="17" t="s">
        <v>364</v>
      </c>
      <c r="V210" s="17" t="s">
        <v>364</v>
      </c>
      <c r="W210" s="17">
        <v>-0.53333333333333333</v>
      </c>
      <c r="X210" s="17">
        <v>-0.58893705326262391</v>
      </c>
      <c r="Y210" s="17">
        <v>-0.10000000000000009</v>
      </c>
      <c r="Z210" s="17">
        <v>9.0878310619478195E-2</v>
      </c>
      <c r="AA210" s="63" t="s">
        <v>483</v>
      </c>
      <c r="AB210" s="64"/>
      <c r="AL210" s="65"/>
    </row>
    <row r="211" spans="1:38" hidden="1" outlineLevel="1" x14ac:dyDescent="0.25">
      <c r="A211" s="21" t="s">
        <v>22</v>
      </c>
      <c r="B211" s="21" t="s">
        <v>484</v>
      </c>
      <c r="C211" s="21" t="s">
        <v>363</v>
      </c>
      <c r="D211" s="15">
        <v>28</v>
      </c>
      <c r="E211" s="57">
        <v>954.53571428571433</v>
      </c>
      <c r="F211" s="15">
        <v>26727</v>
      </c>
      <c r="G211" s="15">
        <v>14.444444444444445</v>
      </c>
      <c r="H211" s="57">
        <v>940.26500000000044</v>
      </c>
      <c r="I211" s="15">
        <v>13581.605555555561</v>
      </c>
      <c r="J211" s="15">
        <v>10</v>
      </c>
      <c r="K211" s="57">
        <v>1359.7869999999998</v>
      </c>
      <c r="L211" s="15">
        <v>13597.869999999999</v>
      </c>
      <c r="M211" s="15" t="s">
        <v>364</v>
      </c>
      <c r="N211" s="15" t="s">
        <v>364</v>
      </c>
      <c r="O211" s="15" t="s">
        <v>364</v>
      </c>
      <c r="P211" s="15" t="s">
        <v>364</v>
      </c>
      <c r="Q211" s="15" t="s">
        <v>364</v>
      </c>
      <c r="R211" s="15" t="s">
        <v>364</v>
      </c>
      <c r="S211" s="15" t="s">
        <v>364</v>
      </c>
      <c r="T211" s="15" t="s">
        <v>364</v>
      </c>
      <c r="U211" s="17" t="s">
        <v>364</v>
      </c>
      <c r="V211" s="17" t="s">
        <v>364</v>
      </c>
      <c r="W211" s="17">
        <v>-0.6428571428571429</v>
      </c>
      <c r="X211" s="17">
        <v>-0.49123096494181917</v>
      </c>
      <c r="Y211" s="17">
        <v>-0.30769230769230771</v>
      </c>
      <c r="Z211" s="17">
        <v>1.1975347375468954E-3</v>
      </c>
      <c r="AA211" s="63" t="s">
        <v>485</v>
      </c>
      <c r="AB211" s="64"/>
      <c r="AL211" s="65"/>
    </row>
    <row r="212" spans="1:38" collapsed="1" x14ac:dyDescent="0.25">
      <c r="A212" s="5" t="s">
        <v>22</v>
      </c>
      <c r="B212" s="5" t="s">
        <v>49</v>
      </c>
      <c r="C212" s="5" t="s">
        <v>94</v>
      </c>
      <c r="D212" s="6">
        <v>10</v>
      </c>
      <c r="E212" s="53">
        <v>423.6</v>
      </c>
      <c r="F212" s="6">
        <v>4236</v>
      </c>
      <c r="G212" s="6">
        <v>12.222222222222223</v>
      </c>
      <c r="H212" s="53">
        <v>439.53727272727275</v>
      </c>
      <c r="I212" s="6">
        <v>5372.1222222222232</v>
      </c>
      <c r="J212" s="6">
        <v>17</v>
      </c>
      <c r="K212" s="53">
        <v>393.93529411764706</v>
      </c>
      <c r="L212" s="6">
        <v>6696.9</v>
      </c>
      <c r="M212" s="6" t="s">
        <v>364</v>
      </c>
      <c r="N212" s="6" t="s">
        <v>364</v>
      </c>
      <c r="O212" s="6" t="s">
        <v>364</v>
      </c>
      <c r="P212" s="6" t="s">
        <v>364</v>
      </c>
      <c r="Q212" s="6" t="s">
        <v>364</v>
      </c>
      <c r="R212" s="6" t="s">
        <v>364</v>
      </c>
      <c r="S212" s="6" t="s">
        <v>364</v>
      </c>
      <c r="T212" s="6" t="s">
        <v>364</v>
      </c>
      <c r="U212" s="8" t="s">
        <v>364</v>
      </c>
      <c r="V212" s="8" t="s">
        <v>364</v>
      </c>
      <c r="W212" s="8">
        <v>0.7</v>
      </c>
      <c r="X212" s="8">
        <v>0.58094900849858344</v>
      </c>
      <c r="Y212" s="8">
        <v>0.39090909090909082</v>
      </c>
      <c r="Z212" s="8">
        <v>0.2466023152447509</v>
      </c>
      <c r="AA212" s="63" t="s">
        <v>49</v>
      </c>
      <c r="AB212" s="64"/>
      <c r="AL212" s="65"/>
    </row>
    <row r="213" spans="1:38" hidden="1" outlineLevel="1" x14ac:dyDescent="0.25">
      <c r="A213" s="21" t="s">
        <v>22</v>
      </c>
      <c r="B213" s="21" t="s">
        <v>486</v>
      </c>
      <c r="C213" s="21" t="s">
        <v>362</v>
      </c>
      <c r="D213" s="15">
        <v>2</v>
      </c>
      <c r="E213" s="57">
        <v>124</v>
      </c>
      <c r="F213" s="15">
        <v>248</v>
      </c>
      <c r="G213" s="15">
        <v>2.7777777777777777</v>
      </c>
      <c r="H213" s="57">
        <v>342.72800000000001</v>
      </c>
      <c r="I213" s="15">
        <v>952.02222222222224</v>
      </c>
      <c r="J213" s="15">
        <v>3</v>
      </c>
      <c r="K213" s="57">
        <v>235.97333333333333</v>
      </c>
      <c r="L213" s="15">
        <v>707.92</v>
      </c>
      <c r="M213" s="15" t="s">
        <v>364</v>
      </c>
      <c r="N213" s="15" t="s">
        <v>364</v>
      </c>
      <c r="O213" s="15" t="s">
        <v>364</v>
      </c>
      <c r="P213" s="15" t="s">
        <v>364</v>
      </c>
      <c r="Q213" s="15" t="s">
        <v>364</v>
      </c>
      <c r="R213" s="15" t="s">
        <v>364</v>
      </c>
      <c r="S213" s="15" t="s">
        <v>364</v>
      </c>
      <c r="T213" s="15" t="s">
        <v>364</v>
      </c>
      <c r="U213" s="17" t="s">
        <v>364</v>
      </c>
      <c r="V213" s="17" t="s">
        <v>364</v>
      </c>
      <c r="W213" s="17">
        <v>0.5</v>
      </c>
      <c r="X213" s="17">
        <v>1.8545161290322578</v>
      </c>
      <c r="Y213" s="17">
        <v>8.0000000000000043E-2</v>
      </c>
      <c r="Z213" s="17">
        <v>-0.25640391214023955</v>
      </c>
      <c r="AA213" s="63" t="s">
        <v>483</v>
      </c>
      <c r="AB213" s="64"/>
      <c r="AL213" s="65"/>
    </row>
    <row r="214" spans="1:38" hidden="1" outlineLevel="1" x14ac:dyDescent="0.25">
      <c r="A214" s="21" t="s">
        <v>22</v>
      </c>
      <c r="B214" s="21" t="s">
        <v>487</v>
      </c>
      <c r="C214" s="21" t="s">
        <v>363</v>
      </c>
      <c r="D214" s="15">
        <v>8</v>
      </c>
      <c r="E214" s="57">
        <v>498.5</v>
      </c>
      <c r="F214" s="15">
        <v>3988</v>
      </c>
      <c r="G214" s="15">
        <v>9.4444444444444446</v>
      </c>
      <c r="H214" s="57">
        <v>468.01058823529422</v>
      </c>
      <c r="I214" s="15">
        <v>4420.1000000000013</v>
      </c>
      <c r="J214" s="15">
        <v>14</v>
      </c>
      <c r="K214" s="57">
        <v>427.78428571428566</v>
      </c>
      <c r="L214" s="15">
        <v>5988.98</v>
      </c>
      <c r="M214" s="15" t="s">
        <v>364</v>
      </c>
      <c r="N214" s="15" t="s">
        <v>364</v>
      </c>
      <c r="O214" s="15" t="s">
        <v>364</v>
      </c>
      <c r="P214" s="15" t="s">
        <v>364</v>
      </c>
      <c r="Q214" s="15" t="s">
        <v>364</v>
      </c>
      <c r="R214" s="15" t="s">
        <v>364</v>
      </c>
      <c r="S214" s="15" t="s">
        <v>364</v>
      </c>
      <c r="T214" s="15" t="s">
        <v>364</v>
      </c>
      <c r="U214" s="17" t="s">
        <v>364</v>
      </c>
      <c r="V214" s="17" t="s">
        <v>364</v>
      </c>
      <c r="W214" s="17">
        <v>0.75</v>
      </c>
      <c r="X214" s="17">
        <v>0.50175025075225665</v>
      </c>
      <c r="Y214" s="17">
        <v>0.48235294117647054</v>
      </c>
      <c r="Z214" s="17">
        <v>0.35494219587792081</v>
      </c>
      <c r="AA214" s="63" t="s">
        <v>485</v>
      </c>
      <c r="AB214" s="64"/>
      <c r="AL214" s="65"/>
    </row>
    <row r="215" spans="1:38" collapsed="1" x14ac:dyDescent="0.25">
      <c r="A215" s="5" t="s">
        <v>22</v>
      </c>
      <c r="B215" s="5" t="s">
        <v>49</v>
      </c>
      <c r="C215" s="5" t="s">
        <v>95</v>
      </c>
      <c r="D215" s="6">
        <v>0</v>
      </c>
      <c r="E215" s="53" t="s">
        <v>364</v>
      </c>
      <c r="F215" s="6">
        <v>0</v>
      </c>
      <c r="G215" s="6">
        <v>96.666666666666671</v>
      </c>
      <c r="H215" s="53">
        <v>706.30120689655178</v>
      </c>
      <c r="I215" s="6">
        <v>68275.78333333334</v>
      </c>
      <c r="J215" s="6">
        <v>95</v>
      </c>
      <c r="K215" s="53">
        <v>833.37452631578969</v>
      </c>
      <c r="L215" s="6">
        <v>79170.580000000016</v>
      </c>
      <c r="M215" s="6" t="s">
        <v>364</v>
      </c>
      <c r="N215" s="6" t="s">
        <v>364</v>
      </c>
      <c r="O215" s="6" t="s">
        <v>364</v>
      </c>
      <c r="P215" s="6" t="s">
        <v>364</v>
      </c>
      <c r="Q215" s="6" t="s">
        <v>364</v>
      </c>
      <c r="R215" s="6" t="s">
        <v>364</v>
      </c>
      <c r="S215" s="6" t="s">
        <v>364</v>
      </c>
      <c r="T215" s="6" t="s">
        <v>364</v>
      </c>
      <c r="U215" s="8" t="s">
        <v>364</v>
      </c>
      <c r="V215" s="8" t="s">
        <v>364</v>
      </c>
      <c r="W215" s="8" t="s">
        <v>364</v>
      </c>
      <c r="X215" s="8" t="s">
        <v>364</v>
      </c>
      <c r="Y215" s="8">
        <v>-1.7241379310344876E-2</v>
      </c>
      <c r="Z215" s="8">
        <v>0.15957043822516878</v>
      </c>
      <c r="AA215" s="63" t="s">
        <v>49</v>
      </c>
      <c r="AB215" s="64"/>
      <c r="AL215" s="65"/>
    </row>
    <row r="216" spans="1:38" hidden="1" outlineLevel="1" x14ac:dyDescent="0.25">
      <c r="A216" s="21" t="s">
        <v>22</v>
      </c>
      <c r="B216" s="21" t="s">
        <v>488</v>
      </c>
      <c r="C216" s="21" t="s">
        <v>362</v>
      </c>
      <c r="D216" s="15">
        <v>0</v>
      </c>
      <c r="E216" s="57" t="s">
        <v>364</v>
      </c>
      <c r="F216" s="15">
        <v>0</v>
      </c>
      <c r="G216" s="15">
        <v>51.111111111111114</v>
      </c>
      <c r="H216" s="57">
        <v>593.67076086956502</v>
      </c>
      <c r="I216" s="15">
        <v>30343.172222222212</v>
      </c>
      <c r="J216" s="15">
        <v>48</v>
      </c>
      <c r="K216" s="57">
        <v>753.16312499999992</v>
      </c>
      <c r="L216" s="15">
        <v>36151.829999999994</v>
      </c>
      <c r="M216" s="15" t="s">
        <v>364</v>
      </c>
      <c r="N216" s="15" t="s">
        <v>364</v>
      </c>
      <c r="O216" s="15" t="s">
        <v>364</v>
      </c>
      <c r="P216" s="15" t="s">
        <v>364</v>
      </c>
      <c r="Q216" s="15" t="s">
        <v>364</v>
      </c>
      <c r="R216" s="15" t="s">
        <v>364</v>
      </c>
      <c r="S216" s="15" t="s">
        <v>364</v>
      </c>
      <c r="T216" s="15" t="s">
        <v>364</v>
      </c>
      <c r="U216" s="17" t="s">
        <v>364</v>
      </c>
      <c r="V216" s="17" t="s">
        <v>364</v>
      </c>
      <c r="W216" s="17" t="s">
        <v>364</v>
      </c>
      <c r="X216" s="17" t="s">
        <v>364</v>
      </c>
      <c r="Y216" s="17">
        <v>-6.0869565217391362E-2</v>
      </c>
      <c r="Z216" s="17">
        <v>0.19143211972819826</v>
      </c>
      <c r="AA216" s="63" t="s">
        <v>483</v>
      </c>
      <c r="AB216" s="64"/>
      <c r="AL216" s="65"/>
    </row>
    <row r="217" spans="1:38" hidden="1" outlineLevel="1" x14ac:dyDescent="0.25">
      <c r="A217" s="21" t="s">
        <v>22</v>
      </c>
      <c r="B217" s="21" t="s">
        <v>489</v>
      </c>
      <c r="C217" s="21" t="s">
        <v>363</v>
      </c>
      <c r="D217" s="15">
        <v>0</v>
      </c>
      <c r="E217" s="57" t="s">
        <v>364</v>
      </c>
      <c r="F217" s="15">
        <v>0</v>
      </c>
      <c r="G217" s="15">
        <v>45.555555555555557</v>
      </c>
      <c r="H217" s="57">
        <v>832.66707317073224</v>
      </c>
      <c r="I217" s="15">
        <v>37932.611111111139</v>
      </c>
      <c r="J217" s="15">
        <v>47</v>
      </c>
      <c r="K217" s="57">
        <v>915.29255319148956</v>
      </c>
      <c r="L217" s="15">
        <v>43018.750000000007</v>
      </c>
      <c r="M217" s="15" t="s">
        <v>364</v>
      </c>
      <c r="N217" s="15" t="s">
        <v>364</v>
      </c>
      <c r="O217" s="15" t="s">
        <v>364</v>
      </c>
      <c r="P217" s="15" t="s">
        <v>364</v>
      </c>
      <c r="Q217" s="15" t="s">
        <v>364</v>
      </c>
      <c r="R217" s="15" t="s">
        <v>364</v>
      </c>
      <c r="S217" s="15" t="s">
        <v>364</v>
      </c>
      <c r="T217" s="15" t="s">
        <v>364</v>
      </c>
      <c r="U217" s="17" t="s">
        <v>364</v>
      </c>
      <c r="V217" s="17" t="s">
        <v>364</v>
      </c>
      <c r="W217" s="17" t="s">
        <v>364</v>
      </c>
      <c r="X217" s="17" t="s">
        <v>364</v>
      </c>
      <c r="Y217" s="17">
        <v>3.1707317073170697E-2</v>
      </c>
      <c r="Z217" s="17">
        <v>0.13408354289112062</v>
      </c>
      <c r="AA217" s="63" t="s">
        <v>485</v>
      </c>
      <c r="AB217" s="64"/>
      <c r="AL217" s="65"/>
    </row>
    <row r="218" spans="1:38" collapsed="1" x14ac:dyDescent="0.25">
      <c r="A218" s="5" t="s">
        <v>22</v>
      </c>
      <c r="B218" s="5" t="s">
        <v>49</v>
      </c>
      <c r="C218" s="5" t="s">
        <v>96</v>
      </c>
      <c r="D218" s="6">
        <v>5</v>
      </c>
      <c r="E218" s="53">
        <v>689.4</v>
      </c>
      <c r="F218" s="6">
        <v>3447</v>
      </c>
      <c r="G218" s="6">
        <v>12.777777777777779</v>
      </c>
      <c r="H218" s="53">
        <v>642.27913043478259</v>
      </c>
      <c r="I218" s="6">
        <v>8206.9</v>
      </c>
      <c r="J218" s="6">
        <v>15</v>
      </c>
      <c r="K218" s="53">
        <v>595.83866666666665</v>
      </c>
      <c r="L218" s="6">
        <v>8937.58</v>
      </c>
      <c r="M218" s="6" t="s">
        <v>364</v>
      </c>
      <c r="N218" s="6" t="s">
        <v>364</v>
      </c>
      <c r="O218" s="6" t="s">
        <v>364</v>
      </c>
      <c r="P218" s="6" t="s">
        <v>364</v>
      </c>
      <c r="Q218" s="6" t="s">
        <v>364</v>
      </c>
      <c r="R218" s="6" t="s">
        <v>364</v>
      </c>
      <c r="S218" s="6" t="s">
        <v>364</v>
      </c>
      <c r="T218" s="6" t="s">
        <v>364</v>
      </c>
      <c r="U218" s="8" t="s">
        <v>364</v>
      </c>
      <c r="V218" s="8" t="s">
        <v>364</v>
      </c>
      <c r="W218" s="8">
        <v>2</v>
      </c>
      <c r="X218" s="8">
        <v>1.5928575572961996</v>
      </c>
      <c r="Y218" s="8">
        <v>0.17391304347826081</v>
      </c>
      <c r="Z218" s="8">
        <v>8.9032399566218709E-2</v>
      </c>
      <c r="AA218" s="63" t="s">
        <v>49</v>
      </c>
      <c r="AB218" s="64"/>
      <c r="AL218" s="65"/>
    </row>
    <row r="219" spans="1:38" hidden="1" outlineLevel="1" x14ac:dyDescent="0.25">
      <c r="A219" s="21" t="s">
        <v>22</v>
      </c>
      <c r="B219" s="21" t="s">
        <v>490</v>
      </c>
      <c r="C219" s="21" t="s">
        <v>362</v>
      </c>
      <c r="D219" s="15">
        <v>2</v>
      </c>
      <c r="E219" s="57">
        <v>981.5</v>
      </c>
      <c r="F219" s="15">
        <v>1963</v>
      </c>
      <c r="G219" s="15">
        <v>7.2222222222222223</v>
      </c>
      <c r="H219" s="57">
        <v>695.3192307692309</v>
      </c>
      <c r="I219" s="15">
        <v>5021.7500000000009</v>
      </c>
      <c r="J219" s="15">
        <v>9</v>
      </c>
      <c r="K219" s="57">
        <v>374.72444444444443</v>
      </c>
      <c r="L219" s="15">
        <v>3372.52</v>
      </c>
      <c r="M219" s="15" t="s">
        <v>364</v>
      </c>
      <c r="N219" s="15" t="s">
        <v>364</v>
      </c>
      <c r="O219" s="15" t="s">
        <v>364</v>
      </c>
      <c r="P219" s="15" t="s">
        <v>364</v>
      </c>
      <c r="Q219" s="15" t="s">
        <v>364</v>
      </c>
      <c r="R219" s="15" t="s">
        <v>364</v>
      </c>
      <c r="S219" s="15" t="s">
        <v>364</v>
      </c>
      <c r="T219" s="15" t="s">
        <v>364</v>
      </c>
      <c r="U219" s="17" t="s">
        <v>364</v>
      </c>
      <c r="V219" s="17" t="s">
        <v>364</v>
      </c>
      <c r="W219" s="17">
        <v>3.5</v>
      </c>
      <c r="X219" s="17">
        <v>0.71804381049414157</v>
      </c>
      <c r="Y219" s="17">
        <v>0.24615384615384614</v>
      </c>
      <c r="Z219" s="17">
        <v>-0.32841738437795603</v>
      </c>
      <c r="AA219" s="63" t="s">
        <v>483</v>
      </c>
      <c r="AB219" s="64"/>
      <c r="AL219" s="65"/>
    </row>
    <row r="220" spans="1:38" hidden="1" outlineLevel="1" x14ac:dyDescent="0.25">
      <c r="A220" s="21" t="s">
        <v>22</v>
      </c>
      <c r="B220" s="21" t="s">
        <v>491</v>
      </c>
      <c r="C220" s="21" t="s">
        <v>363</v>
      </c>
      <c r="D220" s="15">
        <v>3</v>
      </c>
      <c r="E220" s="57">
        <v>494.66666666666669</v>
      </c>
      <c r="F220" s="15">
        <v>1484</v>
      </c>
      <c r="G220" s="15">
        <v>5.5555555555555554</v>
      </c>
      <c r="H220" s="57">
        <v>573.32699999999988</v>
      </c>
      <c r="I220" s="15">
        <v>3185.1499999999992</v>
      </c>
      <c r="J220" s="15">
        <v>6</v>
      </c>
      <c r="K220" s="57">
        <v>927.5100000000001</v>
      </c>
      <c r="L220" s="15">
        <v>5565.06</v>
      </c>
      <c r="M220" s="15" t="s">
        <v>364</v>
      </c>
      <c r="N220" s="15" t="s">
        <v>364</v>
      </c>
      <c r="O220" s="15" t="s">
        <v>364</v>
      </c>
      <c r="P220" s="15" t="s">
        <v>364</v>
      </c>
      <c r="Q220" s="15" t="s">
        <v>364</v>
      </c>
      <c r="R220" s="15" t="s">
        <v>364</v>
      </c>
      <c r="S220" s="15" t="s">
        <v>364</v>
      </c>
      <c r="T220" s="15" t="s">
        <v>364</v>
      </c>
      <c r="U220" s="17" t="s">
        <v>364</v>
      </c>
      <c r="V220" s="17" t="s">
        <v>364</v>
      </c>
      <c r="W220" s="17">
        <v>1</v>
      </c>
      <c r="X220" s="17">
        <v>2.7500404312668465</v>
      </c>
      <c r="Y220" s="17">
        <v>8.0000000000000043E-2</v>
      </c>
      <c r="Z220" s="17">
        <v>0.74718930034692299</v>
      </c>
      <c r="AA220" s="63" t="s">
        <v>485</v>
      </c>
      <c r="AB220" s="64"/>
      <c r="AL220" s="65"/>
    </row>
    <row r="221" spans="1:38" collapsed="1" x14ac:dyDescent="0.25">
      <c r="A221" s="5" t="s">
        <v>22</v>
      </c>
      <c r="B221" s="5" t="s">
        <v>49</v>
      </c>
      <c r="C221" s="5" t="s">
        <v>97</v>
      </c>
      <c r="D221" s="6">
        <v>65</v>
      </c>
      <c r="E221" s="53">
        <v>560.70769230769235</v>
      </c>
      <c r="F221" s="6">
        <v>36446</v>
      </c>
      <c r="G221" s="6">
        <v>71.111111111111114</v>
      </c>
      <c r="H221" s="53">
        <v>492.44304687499988</v>
      </c>
      <c r="I221" s="6">
        <v>35018.172222222216</v>
      </c>
      <c r="J221" s="6">
        <v>48</v>
      </c>
      <c r="K221" s="53">
        <v>577.20749999999998</v>
      </c>
      <c r="L221" s="6">
        <v>27705.96</v>
      </c>
      <c r="M221" s="6" t="s">
        <v>364</v>
      </c>
      <c r="N221" s="6" t="s">
        <v>364</v>
      </c>
      <c r="O221" s="6" t="s">
        <v>364</v>
      </c>
      <c r="P221" s="6" t="s">
        <v>364</v>
      </c>
      <c r="Q221" s="6" t="s">
        <v>364</v>
      </c>
      <c r="R221" s="6" t="s">
        <v>364</v>
      </c>
      <c r="S221" s="6" t="s">
        <v>364</v>
      </c>
      <c r="T221" s="6" t="s">
        <v>364</v>
      </c>
      <c r="U221" s="8" t="s">
        <v>364</v>
      </c>
      <c r="V221" s="8" t="s">
        <v>364</v>
      </c>
      <c r="W221" s="8">
        <v>-0.26153846153846155</v>
      </c>
      <c r="X221" s="8">
        <v>-0.23980793502716349</v>
      </c>
      <c r="Y221" s="8">
        <v>-0.32500000000000001</v>
      </c>
      <c r="Z221" s="8">
        <v>-0.20881193272508819</v>
      </c>
      <c r="AA221" s="63" t="s">
        <v>49</v>
      </c>
      <c r="AB221" s="64"/>
      <c r="AL221" s="65"/>
    </row>
    <row r="222" spans="1:38" hidden="1" outlineLevel="1" x14ac:dyDescent="0.25">
      <c r="A222" s="21" t="s">
        <v>22</v>
      </c>
      <c r="B222" s="21" t="s">
        <v>492</v>
      </c>
      <c r="C222" s="21" t="s">
        <v>362</v>
      </c>
      <c r="D222" s="15">
        <v>38</v>
      </c>
      <c r="E222" s="57">
        <v>616.52631578947364</v>
      </c>
      <c r="F222" s="15">
        <v>23428</v>
      </c>
      <c r="G222" s="15">
        <v>41.666666666666671</v>
      </c>
      <c r="H222" s="57">
        <v>534.9670666666666</v>
      </c>
      <c r="I222" s="15">
        <v>22290.294444444444</v>
      </c>
      <c r="J222" s="15">
        <v>27</v>
      </c>
      <c r="K222" s="57">
        <v>406.96037037037036</v>
      </c>
      <c r="L222" s="15">
        <v>10987.93</v>
      </c>
      <c r="M222" s="15" t="s">
        <v>364</v>
      </c>
      <c r="N222" s="15" t="s">
        <v>364</v>
      </c>
      <c r="O222" s="15" t="s">
        <v>364</v>
      </c>
      <c r="P222" s="15" t="s">
        <v>364</v>
      </c>
      <c r="Q222" s="15" t="s">
        <v>364</v>
      </c>
      <c r="R222" s="15" t="s">
        <v>364</v>
      </c>
      <c r="S222" s="15" t="s">
        <v>364</v>
      </c>
      <c r="T222" s="15" t="s">
        <v>364</v>
      </c>
      <c r="U222" s="17" t="s">
        <v>364</v>
      </c>
      <c r="V222" s="17" t="s">
        <v>364</v>
      </c>
      <c r="W222" s="17">
        <v>-0.28947368421052633</v>
      </c>
      <c r="X222" s="17">
        <v>-0.53099154857435549</v>
      </c>
      <c r="Y222" s="17">
        <v>-0.35200000000000009</v>
      </c>
      <c r="Z222" s="17">
        <v>-0.5070531693789001</v>
      </c>
      <c r="AA222" s="63" t="s">
        <v>483</v>
      </c>
      <c r="AB222" s="64"/>
      <c r="AL222" s="65"/>
    </row>
    <row r="223" spans="1:38" hidden="1" outlineLevel="1" x14ac:dyDescent="0.25">
      <c r="A223" s="21" t="s">
        <v>22</v>
      </c>
      <c r="B223" s="21" t="s">
        <v>493</v>
      </c>
      <c r="C223" s="21" t="s">
        <v>363</v>
      </c>
      <c r="D223" s="15">
        <v>27</v>
      </c>
      <c r="E223" s="57">
        <v>482.14814814814815</v>
      </c>
      <c r="F223" s="15">
        <v>13018</v>
      </c>
      <c r="G223" s="15">
        <v>29.444444444444446</v>
      </c>
      <c r="H223" s="57">
        <v>432.26754716981122</v>
      </c>
      <c r="I223" s="15">
        <v>12727.877777777776</v>
      </c>
      <c r="J223" s="15">
        <v>21</v>
      </c>
      <c r="K223" s="57">
        <v>796.09666666666658</v>
      </c>
      <c r="L223" s="15">
        <v>16718.03</v>
      </c>
      <c r="M223" s="15" t="s">
        <v>364</v>
      </c>
      <c r="N223" s="15" t="s">
        <v>364</v>
      </c>
      <c r="O223" s="15" t="s">
        <v>364</v>
      </c>
      <c r="P223" s="15" t="s">
        <v>364</v>
      </c>
      <c r="Q223" s="15" t="s">
        <v>364</v>
      </c>
      <c r="R223" s="15" t="s">
        <v>364</v>
      </c>
      <c r="S223" s="15" t="s">
        <v>364</v>
      </c>
      <c r="T223" s="15" t="s">
        <v>364</v>
      </c>
      <c r="U223" s="17" t="s">
        <v>364</v>
      </c>
      <c r="V223" s="17" t="s">
        <v>364</v>
      </c>
      <c r="W223" s="17">
        <v>-0.22222222222222221</v>
      </c>
      <c r="X223" s="17">
        <v>0.28422415117529565</v>
      </c>
      <c r="Y223" s="17">
        <v>-0.28679245283018873</v>
      </c>
      <c r="Z223" s="17">
        <v>0.31349705676690459</v>
      </c>
      <c r="AA223" s="63" t="s">
        <v>485</v>
      </c>
      <c r="AB223" s="64"/>
      <c r="AL223" s="65"/>
    </row>
    <row r="224" spans="1:38" collapsed="1" x14ac:dyDescent="0.25">
      <c r="A224" s="5" t="s">
        <v>22</v>
      </c>
      <c r="B224" s="5" t="s">
        <v>49</v>
      </c>
      <c r="C224" s="5" t="s">
        <v>98</v>
      </c>
      <c r="D224" s="6">
        <v>0</v>
      </c>
      <c r="E224" s="53" t="s">
        <v>364</v>
      </c>
      <c r="F224" s="6">
        <v>0</v>
      </c>
      <c r="G224" s="6">
        <v>0</v>
      </c>
      <c r="H224" s="53" t="s">
        <v>364</v>
      </c>
      <c r="I224" s="6">
        <v>0</v>
      </c>
      <c r="J224" s="6">
        <v>4</v>
      </c>
      <c r="K224" s="53">
        <v>311.25</v>
      </c>
      <c r="L224" s="6">
        <v>1245</v>
      </c>
      <c r="M224" s="6" t="s">
        <v>364</v>
      </c>
      <c r="N224" s="6" t="s">
        <v>364</v>
      </c>
      <c r="O224" s="6" t="s">
        <v>364</v>
      </c>
      <c r="P224" s="6" t="s">
        <v>364</v>
      </c>
      <c r="Q224" s="6" t="s">
        <v>364</v>
      </c>
      <c r="R224" s="6" t="s">
        <v>364</v>
      </c>
      <c r="S224" s="6" t="s">
        <v>364</v>
      </c>
      <c r="T224" s="6" t="s">
        <v>364</v>
      </c>
      <c r="U224" s="8" t="s">
        <v>364</v>
      </c>
      <c r="V224" s="8" t="s">
        <v>364</v>
      </c>
      <c r="W224" s="8" t="s">
        <v>364</v>
      </c>
      <c r="X224" s="8" t="s">
        <v>364</v>
      </c>
      <c r="Y224" s="8" t="s">
        <v>364</v>
      </c>
      <c r="Z224" s="8" t="s">
        <v>364</v>
      </c>
      <c r="AA224" s="63" t="s">
        <v>49</v>
      </c>
      <c r="AB224" s="64"/>
      <c r="AL224" s="65"/>
    </row>
    <row r="225" spans="1:38" hidden="1" outlineLevel="1" x14ac:dyDescent="0.25">
      <c r="A225" s="21" t="s">
        <v>22</v>
      </c>
      <c r="B225" s="21" t="s">
        <v>494</v>
      </c>
      <c r="C225" s="21" t="s">
        <v>362</v>
      </c>
      <c r="D225" s="15">
        <v>0</v>
      </c>
      <c r="E225" s="57" t="s">
        <v>364</v>
      </c>
      <c r="F225" s="15">
        <v>0</v>
      </c>
      <c r="G225" s="15">
        <v>0</v>
      </c>
      <c r="H225" s="57" t="s">
        <v>364</v>
      </c>
      <c r="I225" s="15">
        <v>0</v>
      </c>
      <c r="J225" s="15">
        <v>3</v>
      </c>
      <c r="K225" s="57">
        <v>340</v>
      </c>
      <c r="L225" s="15">
        <v>1020</v>
      </c>
      <c r="M225" s="15" t="s">
        <v>364</v>
      </c>
      <c r="N225" s="15" t="s">
        <v>364</v>
      </c>
      <c r="O225" s="15" t="s">
        <v>364</v>
      </c>
      <c r="P225" s="15" t="s">
        <v>364</v>
      </c>
      <c r="Q225" s="15" t="s">
        <v>364</v>
      </c>
      <c r="R225" s="15" t="s">
        <v>364</v>
      </c>
      <c r="S225" s="15" t="s">
        <v>364</v>
      </c>
      <c r="T225" s="15" t="s">
        <v>364</v>
      </c>
      <c r="U225" s="17" t="s">
        <v>364</v>
      </c>
      <c r="V225" s="17" t="s">
        <v>364</v>
      </c>
      <c r="W225" s="17" t="s">
        <v>364</v>
      </c>
      <c r="X225" s="17" t="s">
        <v>364</v>
      </c>
      <c r="Y225" s="17" t="s">
        <v>364</v>
      </c>
      <c r="Z225" s="17" t="s">
        <v>364</v>
      </c>
      <c r="AA225" s="63" t="s">
        <v>483</v>
      </c>
      <c r="AB225" s="64"/>
      <c r="AL225" s="65"/>
    </row>
    <row r="226" spans="1:38" hidden="1" outlineLevel="1" x14ac:dyDescent="0.25">
      <c r="A226" s="21" t="s">
        <v>22</v>
      </c>
      <c r="B226" s="21" t="s">
        <v>495</v>
      </c>
      <c r="C226" s="21" t="s">
        <v>363</v>
      </c>
      <c r="D226" s="15">
        <v>0</v>
      </c>
      <c r="E226" s="57" t="s">
        <v>364</v>
      </c>
      <c r="F226" s="15">
        <v>0</v>
      </c>
      <c r="G226" s="15">
        <v>0</v>
      </c>
      <c r="H226" s="57" t="s">
        <v>364</v>
      </c>
      <c r="I226" s="15">
        <v>0</v>
      </c>
      <c r="J226" s="15">
        <v>1</v>
      </c>
      <c r="K226" s="57">
        <v>225</v>
      </c>
      <c r="L226" s="15">
        <v>225</v>
      </c>
      <c r="M226" s="15" t="s">
        <v>364</v>
      </c>
      <c r="N226" s="15" t="s">
        <v>364</v>
      </c>
      <c r="O226" s="15" t="s">
        <v>364</v>
      </c>
      <c r="P226" s="15" t="s">
        <v>364</v>
      </c>
      <c r="Q226" s="15" t="s">
        <v>364</v>
      </c>
      <c r="R226" s="15" t="s">
        <v>364</v>
      </c>
      <c r="S226" s="15" t="s">
        <v>364</v>
      </c>
      <c r="T226" s="15" t="s">
        <v>364</v>
      </c>
      <c r="U226" s="17" t="s">
        <v>364</v>
      </c>
      <c r="V226" s="17" t="s">
        <v>364</v>
      </c>
      <c r="W226" s="17" t="s">
        <v>364</v>
      </c>
      <c r="X226" s="17" t="s">
        <v>364</v>
      </c>
      <c r="Y226" s="17" t="s">
        <v>364</v>
      </c>
      <c r="Z226" s="17" t="s">
        <v>364</v>
      </c>
      <c r="AA226" s="63" t="s">
        <v>485</v>
      </c>
      <c r="AB226" s="64"/>
      <c r="AL226" s="65"/>
    </row>
    <row r="227" spans="1:38" collapsed="1" x14ac:dyDescent="0.25">
      <c r="A227" s="5" t="s">
        <v>22</v>
      </c>
      <c r="B227" s="5" t="s">
        <v>49</v>
      </c>
      <c r="C227" s="5" t="s">
        <v>99</v>
      </c>
      <c r="D227" s="6">
        <v>0</v>
      </c>
      <c r="E227" s="53" t="s">
        <v>364</v>
      </c>
      <c r="F227" s="6">
        <v>0</v>
      </c>
      <c r="G227" s="6">
        <v>5.5555555555555554</v>
      </c>
      <c r="H227" s="53">
        <v>288.61600000000004</v>
      </c>
      <c r="I227" s="6">
        <v>1603.4222222222224</v>
      </c>
      <c r="J227" s="6">
        <v>2</v>
      </c>
      <c r="K227" s="53">
        <v>0</v>
      </c>
      <c r="L227" s="6">
        <v>0</v>
      </c>
      <c r="M227" s="6" t="s">
        <v>364</v>
      </c>
      <c r="N227" s="6" t="s">
        <v>364</v>
      </c>
      <c r="O227" s="6" t="s">
        <v>364</v>
      </c>
      <c r="P227" s="6" t="s">
        <v>364</v>
      </c>
      <c r="Q227" s="6" t="s">
        <v>364</v>
      </c>
      <c r="R227" s="6" t="s">
        <v>364</v>
      </c>
      <c r="S227" s="6" t="s">
        <v>364</v>
      </c>
      <c r="T227" s="6" t="s">
        <v>364</v>
      </c>
      <c r="U227" s="8" t="s">
        <v>364</v>
      </c>
      <c r="V227" s="8" t="s">
        <v>364</v>
      </c>
      <c r="W227" s="8" t="s">
        <v>364</v>
      </c>
      <c r="X227" s="8" t="s">
        <v>364</v>
      </c>
      <c r="Y227" s="8">
        <v>-0.64</v>
      </c>
      <c r="Z227" s="8">
        <v>-1</v>
      </c>
      <c r="AA227" s="63" t="s">
        <v>49</v>
      </c>
      <c r="AB227" s="64"/>
      <c r="AL227" s="65"/>
    </row>
    <row r="228" spans="1:38" hidden="1" outlineLevel="1" x14ac:dyDescent="0.25">
      <c r="A228" s="21" t="s">
        <v>22</v>
      </c>
      <c r="B228" s="21" t="s">
        <v>496</v>
      </c>
      <c r="C228" s="21" t="s">
        <v>362</v>
      </c>
      <c r="D228" s="15">
        <v>0</v>
      </c>
      <c r="E228" s="57" t="s">
        <v>364</v>
      </c>
      <c r="F228" s="15">
        <v>0</v>
      </c>
      <c r="G228" s="15">
        <v>0</v>
      </c>
      <c r="H228" s="57" t="s">
        <v>364</v>
      </c>
      <c r="I228" s="15">
        <v>0</v>
      </c>
      <c r="J228" s="15">
        <v>0</v>
      </c>
      <c r="K228" s="57" t="s">
        <v>364</v>
      </c>
      <c r="L228" s="15">
        <v>0</v>
      </c>
      <c r="M228" s="15" t="s">
        <v>364</v>
      </c>
      <c r="N228" s="15" t="s">
        <v>364</v>
      </c>
      <c r="O228" s="15" t="s">
        <v>364</v>
      </c>
      <c r="P228" s="15" t="s">
        <v>364</v>
      </c>
      <c r="Q228" s="15" t="s">
        <v>364</v>
      </c>
      <c r="R228" s="15" t="s">
        <v>364</v>
      </c>
      <c r="S228" s="15" t="s">
        <v>364</v>
      </c>
      <c r="T228" s="15" t="s">
        <v>364</v>
      </c>
      <c r="U228" s="17" t="s">
        <v>364</v>
      </c>
      <c r="V228" s="17" t="s">
        <v>364</v>
      </c>
      <c r="W228" s="17" t="s">
        <v>364</v>
      </c>
      <c r="X228" s="17" t="s">
        <v>364</v>
      </c>
      <c r="Y228" s="17" t="s">
        <v>364</v>
      </c>
      <c r="Z228" s="17" t="s">
        <v>364</v>
      </c>
      <c r="AA228" s="63" t="s">
        <v>483</v>
      </c>
      <c r="AB228" s="64"/>
      <c r="AL228" s="65"/>
    </row>
    <row r="229" spans="1:38" hidden="1" outlineLevel="1" x14ac:dyDescent="0.25">
      <c r="A229" s="21" t="s">
        <v>22</v>
      </c>
      <c r="B229" s="21" t="s">
        <v>497</v>
      </c>
      <c r="C229" s="21" t="s">
        <v>363</v>
      </c>
      <c r="D229" s="15">
        <v>0</v>
      </c>
      <c r="E229" s="57" t="s">
        <v>364</v>
      </c>
      <c r="F229" s="15">
        <v>0</v>
      </c>
      <c r="G229" s="15">
        <v>5.5555555555555554</v>
      </c>
      <c r="H229" s="57">
        <v>288.61600000000004</v>
      </c>
      <c r="I229" s="15">
        <v>1603.4222222222224</v>
      </c>
      <c r="J229" s="15">
        <v>2</v>
      </c>
      <c r="K229" s="57">
        <v>0</v>
      </c>
      <c r="L229" s="15">
        <v>0</v>
      </c>
      <c r="M229" s="15" t="s">
        <v>364</v>
      </c>
      <c r="N229" s="15" t="s">
        <v>364</v>
      </c>
      <c r="O229" s="15" t="s">
        <v>364</v>
      </c>
      <c r="P229" s="15" t="s">
        <v>364</v>
      </c>
      <c r="Q229" s="15" t="s">
        <v>364</v>
      </c>
      <c r="R229" s="15" t="s">
        <v>364</v>
      </c>
      <c r="S229" s="15" t="s">
        <v>364</v>
      </c>
      <c r="T229" s="15" t="s">
        <v>364</v>
      </c>
      <c r="U229" s="17" t="s">
        <v>364</v>
      </c>
      <c r="V229" s="17" t="s">
        <v>364</v>
      </c>
      <c r="W229" s="17" t="s">
        <v>364</v>
      </c>
      <c r="X229" s="17" t="s">
        <v>364</v>
      </c>
      <c r="Y229" s="17">
        <v>-0.64</v>
      </c>
      <c r="Z229" s="17">
        <v>-1</v>
      </c>
      <c r="AA229" s="63" t="s">
        <v>485</v>
      </c>
      <c r="AB229" s="64"/>
      <c r="AL229" s="65"/>
    </row>
    <row r="230" spans="1:38" collapsed="1" x14ac:dyDescent="0.25">
      <c r="A230" s="5" t="s">
        <v>22</v>
      </c>
      <c r="B230" s="5" t="s">
        <v>49</v>
      </c>
      <c r="C230" s="5" t="s">
        <v>100</v>
      </c>
      <c r="D230" s="6">
        <v>96</v>
      </c>
      <c r="E230" s="53">
        <v>878.17708333333337</v>
      </c>
      <c r="F230" s="6">
        <v>84305</v>
      </c>
      <c r="G230" s="6">
        <v>91.666666666666671</v>
      </c>
      <c r="H230" s="53">
        <v>801.67951515151458</v>
      </c>
      <c r="I230" s="6">
        <v>73487.288888888841</v>
      </c>
      <c r="J230" s="6">
        <v>102</v>
      </c>
      <c r="K230" s="53">
        <v>942.33196078431342</v>
      </c>
      <c r="L230" s="6">
        <v>96117.859999999971</v>
      </c>
      <c r="M230" s="6" t="s">
        <v>364</v>
      </c>
      <c r="N230" s="6" t="s">
        <v>364</v>
      </c>
      <c r="O230" s="6" t="s">
        <v>364</v>
      </c>
      <c r="P230" s="6" t="s">
        <v>364</v>
      </c>
      <c r="Q230" s="6" t="s">
        <v>364</v>
      </c>
      <c r="R230" s="6" t="s">
        <v>364</v>
      </c>
      <c r="S230" s="6" t="s">
        <v>364</v>
      </c>
      <c r="T230" s="6" t="s">
        <v>364</v>
      </c>
      <c r="U230" s="8" t="s">
        <v>364</v>
      </c>
      <c r="V230" s="8" t="s">
        <v>364</v>
      </c>
      <c r="W230" s="8">
        <v>6.25E-2</v>
      </c>
      <c r="X230" s="8">
        <v>0.14012051479746127</v>
      </c>
      <c r="Y230" s="8">
        <v>0.11272727272727268</v>
      </c>
      <c r="Z230" s="8">
        <v>0.30795218402094077</v>
      </c>
      <c r="AA230" s="63" t="s">
        <v>49</v>
      </c>
      <c r="AB230" s="64"/>
      <c r="AL230" s="65"/>
    </row>
    <row r="231" spans="1:38" hidden="1" outlineLevel="1" x14ac:dyDescent="0.25">
      <c r="A231" s="21" t="s">
        <v>22</v>
      </c>
      <c r="B231" s="21" t="s">
        <v>498</v>
      </c>
      <c r="C231" s="21" t="s">
        <v>362</v>
      </c>
      <c r="D231" s="15">
        <v>36</v>
      </c>
      <c r="E231" s="57">
        <v>964.94444444444446</v>
      </c>
      <c r="F231" s="15">
        <v>34738</v>
      </c>
      <c r="G231" s="15">
        <v>39.444444444444443</v>
      </c>
      <c r="H231" s="57">
        <v>682.09309859154951</v>
      </c>
      <c r="I231" s="15">
        <v>26904.78333333334</v>
      </c>
      <c r="J231" s="15">
        <v>56</v>
      </c>
      <c r="K231" s="57">
        <v>750.72946428571413</v>
      </c>
      <c r="L231" s="15">
        <v>42040.849999999991</v>
      </c>
      <c r="M231" s="15" t="s">
        <v>364</v>
      </c>
      <c r="N231" s="15" t="s">
        <v>364</v>
      </c>
      <c r="O231" s="15" t="s">
        <v>364</v>
      </c>
      <c r="P231" s="15" t="s">
        <v>364</v>
      </c>
      <c r="Q231" s="15" t="s">
        <v>364</v>
      </c>
      <c r="R231" s="15" t="s">
        <v>364</v>
      </c>
      <c r="S231" s="15" t="s">
        <v>364</v>
      </c>
      <c r="T231" s="15" t="s">
        <v>364</v>
      </c>
      <c r="U231" s="17" t="s">
        <v>364</v>
      </c>
      <c r="V231" s="17" t="s">
        <v>364</v>
      </c>
      <c r="W231" s="17">
        <v>0.55555555555555558</v>
      </c>
      <c r="X231" s="17">
        <v>0.21022655305429189</v>
      </c>
      <c r="Y231" s="17">
        <v>0.41971830985915498</v>
      </c>
      <c r="Z231" s="17">
        <v>0.56257902095476131</v>
      </c>
      <c r="AA231" s="63" t="s">
        <v>483</v>
      </c>
      <c r="AB231" s="64"/>
      <c r="AL231" s="65"/>
    </row>
    <row r="232" spans="1:38" hidden="1" outlineLevel="1" x14ac:dyDescent="0.25">
      <c r="A232" s="21" t="s">
        <v>22</v>
      </c>
      <c r="B232" s="21" t="s">
        <v>499</v>
      </c>
      <c r="C232" s="21" t="s">
        <v>363</v>
      </c>
      <c r="D232" s="15">
        <v>60</v>
      </c>
      <c r="E232" s="57">
        <v>826.11666666666667</v>
      </c>
      <c r="F232" s="15">
        <v>49567</v>
      </c>
      <c r="G232" s="15">
        <v>52.222222222222221</v>
      </c>
      <c r="H232" s="57">
        <v>892.00542553191383</v>
      </c>
      <c r="I232" s="15">
        <v>46582.505555555501</v>
      </c>
      <c r="J232" s="15">
        <v>46</v>
      </c>
      <c r="K232" s="57">
        <v>1175.5871739130434</v>
      </c>
      <c r="L232" s="15">
        <v>54077.009999999995</v>
      </c>
      <c r="M232" s="15" t="s">
        <v>364</v>
      </c>
      <c r="N232" s="15" t="s">
        <v>364</v>
      </c>
      <c r="O232" s="15" t="s">
        <v>364</v>
      </c>
      <c r="P232" s="15" t="s">
        <v>364</v>
      </c>
      <c r="Q232" s="15" t="s">
        <v>364</v>
      </c>
      <c r="R232" s="15" t="s">
        <v>364</v>
      </c>
      <c r="S232" s="15" t="s">
        <v>364</v>
      </c>
      <c r="T232" s="15" t="s">
        <v>364</v>
      </c>
      <c r="U232" s="17" t="s">
        <v>364</v>
      </c>
      <c r="V232" s="17" t="s">
        <v>364</v>
      </c>
      <c r="W232" s="17">
        <v>-0.23333333333333334</v>
      </c>
      <c r="X232" s="17">
        <v>9.0988157443460255E-2</v>
      </c>
      <c r="Y232" s="17">
        <v>-0.11914893617021276</v>
      </c>
      <c r="Z232" s="17">
        <v>0.16088667526709902</v>
      </c>
      <c r="AA232" s="63" t="s">
        <v>485</v>
      </c>
      <c r="AB232" s="64"/>
      <c r="AL232" s="65"/>
    </row>
    <row r="233" spans="1:38" collapsed="1" x14ac:dyDescent="0.25">
      <c r="A233" s="5" t="s">
        <v>22</v>
      </c>
      <c r="B233" s="5" t="s">
        <v>49</v>
      </c>
      <c r="C233" s="5" t="s">
        <v>101</v>
      </c>
      <c r="D233" s="6">
        <v>8</v>
      </c>
      <c r="E233" s="53">
        <v>2244.75</v>
      </c>
      <c r="F233" s="6">
        <v>17958</v>
      </c>
      <c r="G233" s="6">
        <v>16.111111111111111</v>
      </c>
      <c r="H233" s="53">
        <v>1038.1693103448281</v>
      </c>
      <c r="I233" s="6">
        <v>16726.061111111117</v>
      </c>
      <c r="J233" s="6">
        <v>5</v>
      </c>
      <c r="K233" s="53">
        <v>546.048</v>
      </c>
      <c r="L233" s="6">
        <v>2730.24</v>
      </c>
      <c r="M233" s="6" t="s">
        <v>364</v>
      </c>
      <c r="N233" s="6" t="s">
        <v>364</v>
      </c>
      <c r="O233" s="6" t="s">
        <v>364</v>
      </c>
      <c r="P233" s="6" t="s">
        <v>364</v>
      </c>
      <c r="Q233" s="6" t="s">
        <v>364</v>
      </c>
      <c r="R233" s="6" t="s">
        <v>364</v>
      </c>
      <c r="S233" s="6" t="s">
        <v>364</v>
      </c>
      <c r="T233" s="6" t="s">
        <v>364</v>
      </c>
      <c r="U233" s="8" t="s">
        <v>364</v>
      </c>
      <c r="V233" s="8" t="s">
        <v>364</v>
      </c>
      <c r="W233" s="8">
        <v>-0.375</v>
      </c>
      <c r="X233" s="8">
        <v>-0.84796525225526231</v>
      </c>
      <c r="Y233" s="8">
        <v>-0.68965517241379315</v>
      </c>
      <c r="Z233" s="8">
        <v>-0.83676730690728485</v>
      </c>
      <c r="AA233" s="63" t="s">
        <v>49</v>
      </c>
      <c r="AB233" s="64"/>
      <c r="AL233" s="65"/>
    </row>
    <row r="234" spans="1:38" hidden="1" outlineLevel="1" x14ac:dyDescent="0.25">
      <c r="A234" s="21" t="s">
        <v>22</v>
      </c>
      <c r="B234" s="21" t="s">
        <v>500</v>
      </c>
      <c r="C234" s="21" t="s">
        <v>362</v>
      </c>
      <c r="D234" s="15">
        <v>5</v>
      </c>
      <c r="E234" s="57">
        <v>1149</v>
      </c>
      <c r="F234" s="15">
        <v>5745</v>
      </c>
      <c r="G234" s="15">
        <v>7.2222222222222223</v>
      </c>
      <c r="H234" s="57">
        <v>585.12230769230769</v>
      </c>
      <c r="I234" s="15">
        <v>4225.8833333333332</v>
      </c>
      <c r="J234" s="15">
        <v>3</v>
      </c>
      <c r="K234" s="57">
        <v>614.88</v>
      </c>
      <c r="L234" s="15">
        <v>1844.6399999999999</v>
      </c>
      <c r="M234" s="15" t="s">
        <v>364</v>
      </c>
      <c r="N234" s="15" t="s">
        <v>364</v>
      </c>
      <c r="O234" s="15" t="s">
        <v>364</v>
      </c>
      <c r="P234" s="15" t="s">
        <v>364</v>
      </c>
      <c r="Q234" s="15" t="s">
        <v>364</v>
      </c>
      <c r="R234" s="15" t="s">
        <v>364</v>
      </c>
      <c r="S234" s="15" t="s">
        <v>364</v>
      </c>
      <c r="T234" s="15" t="s">
        <v>364</v>
      </c>
      <c r="U234" s="17" t="s">
        <v>364</v>
      </c>
      <c r="V234" s="17" t="s">
        <v>364</v>
      </c>
      <c r="W234" s="17">
        <v>-0.4</v>
      </c>
      <c r="X234" s="17">
        <v>-0.67891383812010442</v>
      </c>
      <c r="Y234" s="17">
        <v>-0.58461538461538465</v>
      </c>
      <c r="Z234" s="17">
        <v>-0.56349007899729053</v>
      </c>
      <c r="AA234" s="63" t="s">
        <v>483</v>
      </c>
      <c r="AB234" s="64"/>
      <c r="AL234" s="65"/>
    </row>
    <row r="235" spans="1:38" hidden="1" outlineLevel="1" x14ac:dyDescent="0.25">
      <c r="A235" s="21" t="s">
        <v>22</v>
      </c>
      <c r="B235" s="21" t="s">
        <v>501</v>
      </c>
      <c r="C235" s="21" t="s">
        <v>363</v>
      </c>
      <c r="D235" s="15">
        <v>3</v>
      </c>
      <c r="E235" s="57">
        <v>4071</v>
      </c>
      <c r="F235" s="15">
        <v>12213</v>
      </c>
      <c r="G235" s="15">
        <v>8.8888888888888893</v>
      </c>
      <c r="H235" s="57">
        <v>1406.2700000000007</v>
      </c>
      <c r="I235" s="15">
        <v>12500.177777777784</v>
      </c>
      <c r="J235" s="15">
        <v>2</v>
      </c>
      <c r="K235" s="57">
        <v>442.8</v>
      </c>
      <c r="L235" s="15">
        <v>885.6</v>
      </c>
      <c r="M235" s="15" t="s">
        <v>364</v>
      </c>
      <c r="N235" s="15" t="s">
        <v>364</v>
      </c>
      <c r="O235" s="15" t="s">
        <v>364</v>
      </c>
      <c r="P235" s="15" t="s">
        <v>364</v>
      </c>
      <c r="Q235" s="15" t="s">
        <v>364</v>
      </c>
      <c r="R235" s="15" t="s">
        <v>364</v>
      </c>
      <c r="S235" s="15" t="s">
        <v>364</v>
      </c>
      <c r="T235" s="15" t="s">
        <v>364</v>
      </c>
      <c r="U235" s="17" t="s">
        <v>364</v>
      </c>
      <c r="V235" s="17" t="s">
        <v>364</v>
      </c>
      <c r="W235" s="17">
        <v>-0.33333333333333331</v>
      </c>
      <c r="X235" s="17">
        <v>-0.92748710390567424</v>
      </c>
      <c r="Y235" s="17">
        <v>-0.77500000000000002</v>
      </c>
      <c r="Z235" s="17">
        <v>-0.92915300760166963</v>
      </c>
      <c r="AA235" s="63" t="s">
        <v>485</v>
      </c>
      <c r="AB235" s="64"/>
      <c r="AL235" s="65"/>
    </row>
    <row r="236" spans="1:38" collapsed="1" x14ac:dyDescent="0.25">
      <c r="A236" s="5" t="s">
        <v>22</v>
      </c>
      <c r="B236" s="5" t="s">
        <v>49</v>
      </c>
      <c r="C236" s="5" t="s">
        <v>102</v>
      </c>
      <c r="D236" s="6">
        <v>0</v>
      </c>
      <c r="E236" s="53" t="s">
        <v>364</v>
      </c>
      <c r="F236" s="6">
        <v>63831</v>
      </c>
      <c r="G236" s="6">
        <v>0</v>
      </c>
      <c r="H236" s="53" t="s">
        <v>364</v>
      </c>
      <c r="I236" s="6">
        <v>118597.91666666664</v>
      </c>
      <c r="J236" s="6">
        <v>0</v>
      </c>
      <c r="K236" s="53" t="s">
        <v>364</v>
      </c>
      <c r="L236" s="6">
        <v>77485.899999999994</v>
      </c>
      <c r="M236" s="6" t="s">
        <v>364</v>
      </c>
      <c r="N236" s="6" t="s">
        <v>364</v>
      </c>
      <c r="O236" s="6" t="s">
        <v>364</v>
      </c>
      <c r="P236" s="6" t="s">
        <v>364</v>
      </c>
      <c r="Q236" s="6" t="s">
        <v>364</v>
      </c>
      <c r="R236" s="6" t="s">
        <v>364</v>
      </c>
      <c r="S236" s="6" t="s">
        <v>364</v>
      </c>
      <c r="T236" s="6" t="s">
        <v>364</v>
      </c>
      <c r="U236" s="8" t="s">
        <v>364</v>
      </c>
      <c r="V236" s="8" t="s">
        <v>364</v>
      </c>
      <c r="W236" s="8" t="s">
        <v>364</v>
      </c>
      <c r="X236" s="8">
        <v>0.21392270213532599</v>
      </c>
      <c r="Y236" s="8" t="s">
        <v>364</v>
      </c>
      <c r="Z236" s="8">
        <v>-0.34665041193106955</v>
      </c>
      <c r="AA236" s="63" t="s">
        <v>49</v>
      </c>
      <c r="AB236" s="64"/>
      <c r="AL236" s="65"/>
    </row>
    <row r="237" spans="1:38" hidden="1" outlineLevel="1" x14ac:dyDescent="0.25">
      <c r="A237" s="21" t="s">
        <v>22</v>
      </c>
      <c r="B237" s="21" t="s">
        <v>502</v>
      </c>
      <c r="C237" s="21" t="s">
        <v>362</v>
      </c>
      <c r="D237" s="15">
        <v>0</v>
      </c>
      <c r="E237" s="57" t="s">
        <v>364</v>
      </c>
      <c r="F237" s="15">
        <v>13165</v>
      </c>
      <c r="G237" s="15">
        <v>0</v>
      </c>
      <c r="H237" s="57" t="s">
        <v>364</v>
      </c>
      <c r="I237" s="15">
        <v>11808.75</v>
      </c>
      <c r="J237" s="15">
        <v>0</v>
      </c>
      <c r="K237" s="57" t="s">
        <v>364</v>
      </c>
      <c r="L237" s="15">
        <v>12925.75</v>
      </c>
      <c r="M237" s="15" t="s">
        <v>364</v>
      </c>
      <c r="N237" s="15" t="s">
        <v>364</v>
      </c>
      <c r="O237" s="15" t="s">
        <v>364</v>
      </c>
      <c r="P237" s="15" t="s">
        <v>364</v>
      </c>
      <c r="Q237" s="15" t="s">
        <v>364</v>
      </c>
      <c r="R237" s="15" t="s">
        <v>364</v>
      </c>
      <c r="S237" s="15" t="s">
        <v>364</v>
      </c>
      <c r="T237" s="15" t="s">
        <v>364</v>
      </c>
      <c r="U237" s="17" t="s">
        <v>364</v>
      </c>
      <c r="V237" s="17" t="s">
        <v>364</v>
      </c>
      <c r="W237" s="17" t="s">
        <v>364</v>
      </c>
      <c r="X237" s="17">
        <v>-1.8173186479301176E-2</v>
      </c>
      <c r="Y237" s="17" t="s">
        <v>364</v>
      </c>
      <c r="Z237" s="17">
        <v>9.4590875410183128E-2</v>
      </c>
      <c r="AA237" s="63" t="s">
        <v>483</v>
      </c>
      <c r="AB237" s="64"/>
      <c r="AL237" s="65"/>
    </row>
    <row r="238" spans="1:38" hidden="1" outlineLevel="1" x14ac:dyDescent="0.25">
      <c r="A238" s="21" t="s">
        <v>22</v>
      </c>
      <c r="B238" s="21" t="s">
        <v>503</v>
      </c>
      <c r="C238" s="21" t="s">
        <v>363</v>
      </c>
      <c r="D238" s="15">
        <v>0</v>
      </c>
      <c r="E238" s="57" t="s">
        <v>364</v>
      </c>
      <c r="F238" s="15">
        <v>50667</v>
      </c>
      <c r="G238" s="15">
        <v>0</v>
      </c>
      <c r="H238" s="57" t="s">
        <v>364</v>
      </c>
      <c r="I238" s="15">
        <v>106789.16666666664</v>
      </c>
      <c r="J238" s="15">
        <v>0</v>
      </c>
      <c r="K238" s="57" t="s">
        <v>364</v>
      </c>
      <c r="L238" s="15">
        <v>64560.15</v>
      </c>
      <c r="M238" s="15" t="s">
        <v>364</v>
      </c>
      <c r="N238" s="15" t="s">
        <v>364</v>
      </c>
      <c r="O238" s="15" t="s">
        <v>364</v>
      </c>
      <c r="P238" s="15" t="s">
        <v>364</v>
      </c>
      <c r="Q238" s="15" t="s">
        <v>364</v>
      </c>
      <c r="R238" s="15" t="s">
        <v>364</v>
      </c>
      <c r="S238" s="15" t="s">
        <v>364</v>
      </c>
      <c r="T238" s="15" t="s">
        <v>364</v>
      </c>
      <c r="U238" s="17" t="s">
        <v>364</v>
      </c>
      <c r="V238" s="17" t="s">
        <v>364</v>
      </c>
      <c r="W238" s="17" t="s">
        <v>364</v>
      </c>
      <c r="X238" s="17">
        <v>0.27420510391379005</v>
      </c>
      <c r="Y238" s="17" t="s">
        <v>364</v>
      </c>
      <c r="Z238" s="17">
        <v>-0.39544288980623798</v>
      </c>
      <c r="AA238" s="63" t="s">
        <v>485</v>
      </c>
      <c r="AB238" s="64"/>
      <c r="AL238" s="65"/>
    </row>
    <row r="239" spans="1:38" collapsed="1" x14ac:dyDescent="0.25">
      <c r="A239" s="5" t="s">
        <v>22</v>
      </c>
      <c r="B239" s="5" t="s">
        <v>49</v>
      </c>
      <c r="C239" s="5" t="s">
        <v>103</v>
      </c>
      <c r="D239" s="6">
        <v>0</v>
      </c>
      <c r="E239" s="53" t="s">
        <v>364</v>
      </c>
      <c r="F239" s="6">
        <v>0</v>
      </c>
      <c r="G239" s="6">
        <v>51.666666666666671</v>
      </c>
      <c r="H239" s="53">
        <v>623.93623655913984</v>
      </c>
      <c r="I239" s="6">
        <v>32236.70555555556</v>
      </c>
      <c r="J239" s="6">
        <v>12</v>
      </c>
      <c r="K239" s="53">
        <v>915.79666666666662</v>
      </c>
      <c r="L239" s="6">
        <v>10989.56</v>
      </c>
      <c r="M239" s="6" t="s">
        <v>364</v>
      </c>
      <c r="N239" s="6" t="s">
        <v>364</v>
      </c>
      <c r="O239" s="6" t="s">
        <v>364</v>
      </c>
      <c r="P239" s="6" t="s">
        <v>364</v>
      </c>
      <c r="Q239" s="6" t="s">
        <v>364</v>
      </c>
      <c r="R239" s="6" t="s">
        <v>364</v>
      </c>
      <c r="S239" s="6" t="s">
        <v>364</v>
      </c>
      <c r="T239" s="6" t="s">
        <v>364</v>
      </c>
      <c r="U239" s="8" t="s">
        <v>364</v>
      </c>
      <c r="V239" s="8" t="s">
        <v>364</v>
      </c>
      <c r="W239" s="8" t="s">
        <v>364</v>
      </c>
      <c r="X239" s="8" t="s">
        <v>364</v>
      </c>
      <c r="Y239" s="8">
        <v>-0.76774193548387104</v>
      </c>
      <c r="Z239" s="8">
        <v>-0.65909791926284167</v>
      </c>
      <c r="AA239" s="63" t="s">
        <v>49</v>
      </c>
      <c r="AB239" s="64"/>
      <c r="AL239" s="65"/>
    </row>
    <row r="240" spans="1:38" hidden="1" outlineLevel="1" x14ac:dyDescent="0.25">
      <c r="A240" s="21" t="s">
        <v>22</v>
      </c>
      <c r="B240" s="21" t="s">
        <v>504</v>
      </c>
      <c r="C240" s="21" t="s">
        <v>362</v>
      </c>
      <c r="D240" s="15">
        <v>0</v>
      </c>
      <c r="E240" s="57" t="s">
        <v>364</v>
      </c>
      <c r="F240" s="15">
        <v>0</v>
      </c>
      <c r="G240" s="15">
        <v>35.555555555555557</v>
      </c>
      <c r="H240" s="57">
        <v>624.20187500000009</v>
      </c>
      <c r="I240" s="15">
        <v>22193.844444444447</v>
      </c>
      <c r="J240" s="15">
        <v>6</v>
      </c>
      <c r="K240" s="57">
        <v>1220.6433333333332</v>
      </c>
      <c r="L240" s="15">
        <v>7323.86</v>
      </c>
      <c r="M240" s="15" t="s">
        <v>364</v>
      </c>
      <c r="N240" s="15" t="s">
        <v>364</v>
      </c>
      <c r="O240" s="15" t="s">
        <v>364</v>
      </c>
      <c r="P240" s="15" t="s">
        <v>364</v>
      </c>
      <c r="Q240" s="15" t="s">
        <v>364</v>
      </c>
      <c r="R240" s="15" t="s">
        <v>364</v>
      </c>
      <c r="S240" s="15" t="s">
        <v>364</v>
      </c>
      <c r="T240" s="15" t="s">
        <v>364</v>
      </c>
      <c r="U240" s="17" t="s">
        <v>364</v>
      </c>
      <c r="V240" s="17" t="s">
        <v>364</v>
      </c>
      <c r="W240" s="17" t="s">
        <v>364</v>
      </c>
      <c r="X240" s="17" t="s">
        <v>364</v>
      </c>
      <c r="Y240" s="17">
        <v>-0.83125000000000004</v>
      </c>
      <c r="Z240" s="17">
        <v>-0.67000489625251447</v>
      </c>
      <c r="AA240" s="63" t="s">
        <v>483</v>
      </c>
      <c r="AB240" s="64"/>
      <c r="AL240" s="65"/>
    </row>
    <row r="241" spans="1:38" hidden="1" outlineLevel="1" x14ac:dyDescent="0.25">
      <c r="A241" s="21" t="s">
        <v>22</v>
      </c>
      <c r="B241" s="21" t="s">
        <v>505</v>
      </c>
      <c r="C241" s="21" t="s">
        <v>363</v>
      </c>
      <c r="D241" s="15">
        <v>0</v>
      </c>
      <c r="E241" s="57" t="s">
        <v>364</v>
      </c>
      <c r="F241" s="15">
        <v>0</v>
      </c>
      <c r="G241" s="15">
        <v>16.111111111111111</v>
      </c>
      <c r="H241" s="57">
        <v>623.35000000000025</v>
      </c>
      <c r="I241" s="15">
        <v>10042.861111111115</v>
      </c>
      <c r="J241" s="15">
        <v>6</v>
      </c>
      <c r="K241" s="57">
        <v>610.94999999999993</v>
      </c>
      <c r="L241" s="15">
        <v>3665.7</v>
      </c>
      <c r="M241" s="15" t="s">
        <v>364</v>
      </c>
      <c r="N241" s="15" t="s">
        <v>364</v>
      </c>
      <c r="O241" s="15" t="s">
        <v>364</v>
      </c>
      <c r="P241" s="15" t="s">
        <v>364</v>
      </c>
      <c r="Q241" s="15" t="s">
        <v>364</v>
      </c>
      <c r="R241" s="15" t="s">
        <v>364</v>
      </c>
      <c r="S241" s="15" t="s">
        <v>364</v>
      </c>
      <c r="T241" s="15" t="s">
        <v>364</v>
      </c>
      <c r="U241" s="17" t="s">
        <v>364</v>
      </c>
      <c r="V241" s="17" t="s">
        <v>364</v>
      </c>
      <c r="W241" s="17" t="s">
        <v>364</v>
      </c>
      <c r="X241" s="17" t="s">
        <v>364</v>
      </c>
      <c r="Y241" s="17">
        <v>-0.62758620689655176</v>
      </c>
      <c r="Z241" s="17">
        <v>-0.63499445432493518</v>
      </c>
      <c r="AA241" s="63" t="s">
        <v>485</v>
      </c>
      <c r="AB241" s="64"/>
      <c r="AL241" s="65"/>
    </row>
    <row r="242" spans="1:38" collapsed="1" x14ac:dyDescent="0.25">
      <c r="A242" s="5" t="s">
        <v>22</v>
      </c>
      <c r="B242" s="5" t="s">
        <v>49</v>
      </c>
      <c r="C242" s="5" t="s">
        <v>104</v>
      </c>
      <c r="D242" s="6">
        <v>126</v>
      </c>
      <c r="E242" s="53">
        <v>632.8650793650794</v>
      </c>
      <c r="F242" s="6">
        <v>79741</v>
      </c>
      <c r="G242" s="6">
        <v>128.33333333333334</v>
      </c>
      <c r="H242" s="53">
        <v>613.07506493506469</v>
      </c>
      <c r="I242" s="6">
        <v>78677.966666666645</v>
      </c>
      <c r="J242" s="6">
        <v>71</v>
      </c>
      <c r="K242" s="53">
        <v>555.7152112676057</v>
      </c>
      <c r="L242" s="6">
        <v>39455.780000000006</v>
      </c>
      <c r="M242" s="6" t="s">
        <v>364</v>
      </c>
      <c r="N242" s="6" t="s">
        <v>364</v>
      </c>
      <c r="O242" s="6" t="s">
        <v>364</v>
      </c>
      <c r="P242" s="6" t="s">
        <v>364</v>
      </c>
      <c r="Q242" s="6" t="s">
        <v>364</v>
      </c>
      <c r="R242" s="6" t="s">
        <v>364</v>
      </c>
      <c r="S242" s="6" t="s">
        <v>364</v>
      </c>
      <c r="T242" s="6" t="s">
        <v>364</v>
      </c>
      <c r="U242" s="8" t="s">
        <v>364</v>
      </c>
      <c r="V242" s="8" t="s">
        <v>364</v>
      </c>
      <c r="W242" s="8">
        <v>-0.43650793650793651</v>
      </c>
      <c r="X242" s="8">
        <v>-0.50520083771209279</v>
      </c>
      <c r="Y242" s="8">
        <v>-0.44675324675324679</v>
      </c>
      <c r="Z242" s="8">
        <v>-0.49851550984837328</v>
      </c>
      <c r="AA242" s="63" t="s">
        <v>49</v>
      </c>
      <c r="AB242" s="64"/>
      <c r="AL242" s="65"/>
    </row>
    <row r="243" spans="1:38" hidden="1" outlineLevel="1" x14ac:dyDescent="0.25">
      <c r="A243" s="21" t="s">
        <v>22</v>
      </c>
      <c r="B243" s="21" t="s">
        <v>506</v>
      </c>
      <c r="C243" s="21" t="s">
        <v>362</v>
      </c>
      <c r="D243" s="15">
        <v>59</v>
      </c>
      <c r="E243" s="57">
        <v>743.54237288135596</v>
      </c>
      <c r="F243" s="15">
        <v>43869</v>
      </c>
      <c r="G243" s="15">
        <v>61.666666666666671</v>
      </c>
      <c r="H243" s="57">
        <v>696.90999999999974</v>
      </c>
      <c r="I243" s="15">
        <v>42976.116666666654</v>
      </c>
      <c r="J243" s="15">
        <v>25</v>
      </c>
      <c r="K243" s="57">
        <v>465.94959999999998</v>
      </c>
      <c r="L243" s="15">
        <v>11648.74</v>
      </c>
      <c r="M243" s="15" t="s">
        <v>364</v>
      </c>
      <c r="N243" s="15" t="s">
        <v>364</v>
      </c>
      <c r="O243" s="15" t="s">
        <v>364</v>
      </c>
      <c r="P243" s="15" t="s">
        <v>364</v>
      </c>
      <c r="Q243" s="15" t="s">
        <v>364</v>
      </c>
      <c r="R243" s="15" t="s">
        <v>364</v>
      </c>
      <c r="S243" s="15" t="s">
        <v>364</v>
      </c>
      <c r="T243" s="15" t="s">
        <v>364</v>
      </c>
      <c r="U243" s="17" t="s">
        <v>364</v>
      </c>
      <c r="V243" s="17" t="s">
        <v>364</v>
      </c>
      <c r="W243" s="17">
        <v>-0.57627118644067798</v>
      </c>
      <c r="X243" s="17">
        <v>-0.73446533998951424</v>
      </c>
      <c r="Y243" s="17">
        <v>-0.59459459459459463</v>
      </c>
      <c r="Z243" s="17">
        <v>-0.72894852063180826</v>
      </c>
      <c r="AA243" s="63" t="s">
        <v>483</v>
      </c>
      <c r="AB243" s="64"/>
      <c r="AL243" s="65"/>
    </row>
    <row r="244" spans="1:38" hidden="1" outlineLevel="1" x14ac:dyDescent="0.25">
      <c r="A244" s="21" t="s">
        <v>22</v>
      </c>
      <c r="B244" s="21" t="s">
        <v>507</v>
      </c>
      <c r="C244" s="21" t="s">
        <v>363</v>
      </c>
      <c r="D244" s="15">
        <v>66</v>
      </c>
      <c r="E244" s="57">
        <v>543.5151515151515</v>
      </c>
      <c r="F244" s="15">
        <v>35872</v>
      </c>
      <c r="G244" s="15">
        <v>66.666666666666671</v>
      </c>
      <c r="H244" s="57">
        <v>535.52774999999997</v>
      </c>
      <c r="I244" s="15">
        <v>35701.85</v>
      </c>
      <c r="J244" s="15">
        <v>46</v>
      </c>
      <c r="K244" s="57">
        <v>604.50086956521739</v>
      </c>
      <c r="L244" s="15">
        <v>27807.040000000001</v>
      </c>
      <c r="M244" s="15" t="s">
        <v>364</v>
      </c>
      <c r="N244" s="15" t="s">
        <v>364</v>
      </c>
      <c r="O244" s="15" t="s">
        <v>364</v>
      </c>
      <c r="P244" s="15" t="s">
        <v>364</v>
      </c>
      <c r="Q244" s="15" t="s">
        <v>364</v>
      </c>
      <c r="R244" s="15" t="s">
        <v>364</v>
      </c>
      <c r="S244" s="15" t="s">
        <v>364</v>
      </c>
      <c r="T244" s="15" t="s">
        <v>364</v>
      </c>
      <c r="U244" s="17" t="s">
        <v>364</v>
      </c>
      <c r="V244" s="17" t="s">
        <v>364</v>
      </c>
      <c r="W244" s="17">
        <v>-0.30303030303030304</v>
      </c>
      <c r="X244" s="17">
        <v>-0.22482604817127563</v>
      </c>
      <c r="Y244" s="17">
        <v>-0.31000000000000005</v>
      </c>
      <c r="Z244" s="17">
        <v>-0.22113167805029707</v>
      </c>
      <c r="AA244" s="63" t="s">
        <v>485</v>
      </c>
      <c r="AB244" s="64"/>
      <c r="AL244" s="65"/>
    </row>
    <row r="245" spans="1:38" collapsed="1" x14ac:dyDescent="0.25">
      <c r="A245" s="5" t="s">
        <v>22</v>
      </c>
      <c r="B245" s="5" t="s">
        <v>49</v>
      </c>
      <c r="C245" s="5" t="s">
        <v>105</v>
      </c>
      <c r="D245" s="6">
        <v>0</v>
      </c>
      <c r="E245" s="53" t="s">
        <v>364</v>
      </c>
      <c r="F245" s="6">
        <v>0</v>
      </c>
      <c r="G245" s="6">
        <v>124.44444444444446</v>
      </c>
      <c r="H245" s="53">
        <v>258.94642857142821</v>
      </c>
      <c r="I245" s="6">
        <v>32224.444444444405</v>
      </c>
      <c r="J245" s="6">
        <v>58</v>
      </c>
      <c r="K245" s="53">
        <v>262.06224137931031</v>
      </c>
      <c r="L245" s="6">
        <v>15199.609999999999</v>
      </c>
      <c r="M245" s="6" t="s">
        <v>364</v>
      </c>
      <c r="N245" s="6" t="s">
        <v>364</v>
      </c>
      <c r="O245" s="6" t="s">
        <v>364</v>
      </c>
      <c r="P245" s="6" t="s">
        <v>364</v>
      </c>
      <c r="Q245" s="6" t="s">
        <v>364</v>
      </c>
      <c r="R245" s="6" t="s">
        <v>364</v>
      </c>
      <c r="S245" s="6" t="s">
        <v>364</v>
      </c>
      <c r="T245" s="6" t="s">
        <v>364</v>
      </c>
      <c r="U245" s="8" t="s">
        <v>364</v>
      </c>
      <c r="V245" s="8" t="s">
        <v>364</v>
      </c>
      <c r="W245" s="8" t="s">
        <v>364</v>
      </c>
      <c r="X245" s="8" t="s">
        <v>364</v>
      </c>
      <c r="Y245" s="8">
        <v>-0.53392857142857153</v>
      </c>
      <c r="Z245" s="8">
        <v>-0.52832049513826584</v>
      </c>
      <c r="AA245" s="63" t="s">
        <v>49</v>
      </c>
      <c r="AB245" s="64"/>
      <c r="AL245" s="65"/>
    </row>
    <row r="246" spans="1:38" hidden="1" outlineLevel="1" x14ac:dyDescent="0.25">
      <c r="A246" s="21" t="s">
        <v>22</v>
      </c>
      <c r="B246" s="21" t="s">
        <v>508</v>
      </c>
      <c r="C246" s="21" t="s">
        <v>362</v>
      </c>
      <c r="D246" s="15">
        <v>0</v>
      </c>
      <c r="E246" s="57" t="s">
        <v>364</v>
      </c>
      <c r="F246" s="15">
        <v>0</v>
      </c>
      <c r="G246" s="15">
        <v>56.666666666666671</v>
      </c>
      <c r="H246" s="57">
        <v>162.80715686274513</v>
      </c>
      <c r="I246" s="15">
        <v>9225.7388888888909</v>
      </c>
      <c r="J246" s="15">
        <v>25</v>
      </c>
      <c r="K246" s="57">
        <v>315.13879999999995</v>
      </c>
      <c r="L246" s="15">
        <v>7878.4699999999993</v>
      </c>
      <c r="M246" s="15" t="s">
        <v>364</v>
      </c>
      <c r="N246" s="15" t="s">
        <v>364</v>
      </c>
      <c r="O246" s="15" t="s">
        <v>364</v>
      </c>
      <c r="P246" s="15" t="s">
        <v>364</v>
      </c>
      <c r="Q246" s="15" t="s">
        <v>364</v>
      </c>
      <c r="R246" s="15" t="s">
        <v>364</v>
      </c>
      <c r="S246" s="15" t="s">
        <v>364</v>
      </c>
      <c r="T246" s="15" t="s">
        <v>364</v>
      </c>
      <c r="U246" s="17" t="s">
        <v>364</v>
      </c>
      <c r="V246" s="17" t="s">
        <v>364</v>
      </c>
      <c r="W246" s="17" t="s">
        <v>364</v>
      </c>
      <c r="X246" s="17" t="s">
        <v>364</v>
      </c>
      <c r="Y246" s="17">
        <v>-0.55882352941176472</v>
      </c>
      <c r="Z246" s="17">
        <v>-0.14603371124143649</v>
      </c>
      <c r="AA246" s="63" t="s">
        <v>483</v>
      </c>
      <c r="AB246" s="64"/>
      <c r="AL246" s="65"/>
    </row>
    <row r="247" spans="1:38" hidden="1" outlineLevel="1" x14ac:dyDescent="0.25">
      <c r="A247" s="21" t="s">
        <v>22</v>
      </c>
      <c r="B247" s="21" t="s">
        <v>509</v>
      </c>
      <c r="C247" s="21" t="s">
        <v>363</v>
      </c>
      <c r="D247" s="15">
        <v>0</v>
      </c>
      <c r="E247" s="57" t="s">
        <v>364</v>
      </c>
      <c r="F247" s="15">
        <v>0</v>
      </c>
      <c r="G247" s="15">
        <v>67.777777777777786</v>
      </c>
      <c r="H247" s="57">
        <v>339.32516393442563</v>
      </c>
      <c r="I247" s="15">
        <v>22998.705555555516</v>
      </c>
      <c r="J247" s="15">
        <v>33</v>
      </c>
      <c r="K247" s="57">
        <v>221.85272727272726</v>
      </c>
      <c r="L247" s="15">
        <v>7321.1399999999994</v>
      </c>
      <c r="M247" s="15" t="s">
        <v>364</v>
      </c>
      <c r="N247" s="15" t="s">
        <v>364</v>
      </c>
      <c r="O247" s="15" t="s">
        <v>364</v>
      </c>
      <c r="P247" s="15" t="s">
        <v>364</v>
      </c>
      <c r="Q247" s="15" t="s">
        <v>364</v>
      </c>
      <c r="R247" s="15" t="s">
        <v>364</v>
      </c>
      <c r="S247" s="15" t="s">
        <v>364</v>
      </c>
      <c r="T247" s="15" t="s">
        <v>364</v>
      </c>
      <c r="U247" s="17" t="s">
        <v>364</v>
      </c>
      <c r="V247" s="17" t="s">
        <v>364</v>
      </c>
      <c r="W247" s="17" t="s">
        <v>364</v>
      </c>
      <c r="X247" s="17" t="s">
        <v>364</v>
      </c>
      <c r="Y247" s="17">
        <v>-0.51311475409836071</v>
      </c>
      <c r="Z247" s="17">
        <v>-0.68167164963631954</v>
      </c>
      <c r="AA247" s="63" t="s">
        <v>485</v>
      </c>
      <c r="AB247" s="64"/>
      <c r="AL247" s="65"/>
    </row>
    <row r="248" spans="1:38" collapsed="1" x14ac:dyDescent="0.25">
      <c r="A248" s="5" t="s">
        <v>22</v>
      </c>
      <c r="B248" s="5" t="s">
        <v>49</v>
      </c>
      <c r="C248" s="5" t="s">
        <v>106</v>
      </c>
      <c r="D248" s="6">
        <v>69</v>
      </c>
      <c r="E248" s="53">
        <v>469.66666666666669</v>
      </c>
      <c r="F248" s="6">
        <v>32407</v>
      </c>
      <c r="G248" s="6">
        <v>124.44444444444446</v>
      </c>
      <c r="H248" s="53">
        <v>512.40504464285721</v>
      </c>
      <c r="I248" s="6">
        <v>63765.961111111123</v>
      </c>
      <c r="J248" s="6">
        <v>125</v>
      </c>
      <c r="K248" s="53">
        <v>470.98079999999993</v>
      </c>
      <c r="L248" s="6">
        <v>58872.599999999991</v>
      </c>
      <c r="M248" s="6" t="s">
        <v>364</v>
      </c>
      <c r="N248" s="6" t="s">
        <v>364</v>
      </c>
      <c r="O248" s="6" t="s">
        <v>364</v>
      </c>
      <c r="P248" s="6" t="s">
        <v>364</v>
      </c>
      <c r="Q248" s="6" t="s">
        <v>364</v>
      </c>
      <c r="R248" s="6" t="s">
        <v>364</v>
      </c>
      <c r="S248" s="6" t="s">
        <v>364</v>
      </c>
      <c r="T248" s="6" t="s">
        <v>364</v>
      </c>
      <c r="U248" s="8" t="s">
        <v>364</v>
      </c>
      <c r="V248" s="8" t="s">
        <v>364</v>
      </c>
      <c r="W248" s="8">
        <v>0.81159420289855078</v>
      </c>
      <c r="X248" s="8">
        <v>0.81666306662140864</v>
      </c>
      <c r="Y248" s="8">
        <v>4.4642857142856126E-3</v>
      </c>
      <c r="Z248" s="8">
        <v>-7.6739392394392536E-2</v>
      </c>
      <c r="AA248" s="63" t="s">
        <v>49</v>
      </c>
      <c r="AB248" s="64"/>
      <c r="AL248" s="65"/>
    </row>
    <row r="249" spans="1:38" hidden="1" outlineLevel="1" x14ac:dyDescent="0.25">
      <c r="A249" s="21" t="s">
        <v>22</v>
      </c>
      <c r="B249" s="21" t="s">
        <v>510</v>
      </c>
      <c r="C249" s="21" t="s">
        <v>362</v>
      </c>
      <c r="D249" s="15">
        <v>15</v>
      </c>
      <c r="E249" s="57">
        <v>550.5333333333333</v>
      </c>
      <c r="F249" s="15">
        <v>8258</v>
      </c>
      <c r="G249" s="15">
        <v>29.444444444444446</v>
      </c>
      <c r="H249" s="57">
        <v>526.86075471698086</v>
      </c>
      <c r="I249" s="15">
        <v>15513.122222222217</v>
      </c>
      <c r="J249" s="15">
        <v>37</v>
      </c>
      <c r="K249" s="57">
        <v>465.11729729729723</v>
      </c>
      <c r="L249" s="15">
        <v>17209.339999999997</v>
      </c>
      <c r="M249" s="15" t="s">
        <v>364</v>
      </c>
      <c r="N249" s="15" t="s">
        <v>364</v>
      </c>
      <c r="O249" s="15" t="s">
        <v>364</v>
      </c>
      <c r="P249" s="15" t="s">
        <v>364</v>
      </c>
      <c r="Q249" s="15" t="s">
        <v>364</v>
      </c>
      <c r="R249" s="15" t="s">
        <v>364</v>
      </c>
      <c r="S249" s="15" t="s">
        <v>364</v>
      </c>
      <c r="T249" s="15" t="s">
        <v>364</v>
      </c>
      <c r="U249" s="17" t="s">
        <v>364</v>
      </c>
      <c r="V249" s="17" t="s">
        <v>364</v>
      </c>
      <c r="W249" s="17">
        <v>1.4666666666666666</v>
      </c>
      <c r="X249" s="17">
        <v>1.0839597965609102</v>
      </c>
      <c r="Y249" s="17">
        <v>0.2566037735849056</v>
      </c>
      <c r="Z249" s="17">
        <v>0.10934083761346146</v>
      </c>
      <c r="AA249" s="63" t="s">
        <v>483</v>
      </c>
      <c r="AB249" s="64"/>
      <c r="AL249" s="65"/>
    </row>
    <row r="250" spans="1:38" hidden="1" outlineLevel="1" x14ac:dyDescent="0.25">
      <c r="A250" s="21" t="s">
        <v>22</v>
      </c>
      <c r="B250" s="21" t="s">
        <v>511</v>
      </c>
      <c r="C250" s="21" t="s">
        <v>363</v>
      </c>
      <c r="D250" s="15">
        <v>54</v>
      </c>
      <c r="E250" s="57">
        <v>447.18518518518516</v>
      </c>
      <c r="F250" s="15">
        <v>24148</v>
      </c>
      <c r="G250" s="15">
        <v>95</v>
      </c>
      <c r="H250" s="57">
        <v>507.92461988304109</v>
      </c>
      <c r="I250" s="15">
        <v>48252.838888888902</v>
      </c>
      <c r="J250" s="15">
        <v>88</v>
      </c>
      <c r="K250" s="57">
        <v>473.44613636363641</v>
      </c>
      <c r="L250" s="15">
        <v>41663.26</v>
      </c>
      <c r="M250" s="15" t="s">
        <v>364</v>
      </c>
      <c r="N250" s="15" t="s">
        <v>364</v>
      </c>
      <c r="O250" s="15" t="s">
        <v>364</v>
      </c>
      <c r="P250" s="15" t="s">
        <v>364</v>
      </c>
      <c r="Q250" s="15" t="s">
        <v>364</v>
      </c>
      <c r="R250" s="15" t="s">
        <v>364</v>
      </c>
      <c r="S250" s="15" t="s">
        <v>364</v>
      </c>
      <c r="T250" s="15" t="s">
        <v>364</v>
      </c>
      <c r="U250" s="17" t="s">
        <v>364</v>
      </c>
      <c r="V250" s="17" t="s">
        <v>364</v>
      </c>
      <c r="W250" s="17">
        <v>0.62962962962962965</v>
      </c>
      <c r="X250" s="17">
        <v>0.72532963392413463</v>
      </c>
      <c r="Y250" s="17">
        <v>-7.3684210526315783E-2</v>
      </c>
      <c r="Z250" s="17">
        <v>-0.13656354818962313</v>
      </c>
      <c r="AA250" s="63" t="s">
        <v>485</v>
      </c>
      <c r="AB250" s="64"/>
      <c r="AL250" s="65"/>
    </row>
    <row r="251" spans="1:38" collapsed="1" x14ac:dyDescent="0.25">
      <c r="A251" s="5" t="s">
        <v>22</v>
      </c>
      <c r="B251" s="5" t="s">
        <v>49</v>
      </c>
      <c r="C251" s="5" t="s">
        <v>107</v>
      </c>
      <c r="D251" s="6">
        <v>0</v>
      </c>
      <c r="E251" s="53" t="s">
        <v>364</v>
      </c>
      <c r="F251" s="6">
        <v>0</v>
      </c>
      <c r="G251" s="6">
        <v>0</v>
      </c>
      <c r="H251" s="53" t="s">
        <v>364</v>
      </c>
      <c r="I251" s="6">
        <v>0</v>
      </c>
      <c r="J251" s="6">
        <v>11</v>
      </c>
      <c r="K251" s="53">
        <v>1473.3318181818183</v>
      </c>
      <c r="L251" s="6">
        <v>16206.650000000001</v>
      </c>
      <c r="M251" s="6" t="s">
        <v>364</v>
      </c>
      <c r="N251" s="6" t="s">
        <v>364</v>
      </c>
      <c r="O251" s="6" t="s">
        <v>364</v>
      </c>
      <c r="P251" s="6" t="s">
        <v>364</v>
      </c>
      <c r="Q251" s="6" t="s">
        <v>364</v>
      </c>
      <c r="R251" s="6" t="s">
        <v>364</v>
      </c>
      <c r="S251" s="6" t="s">
        <v>364</v>
      </c>
      <c r="T251" s="6" t="s">
        <v>364</v>
      </c>
      <c r="U251" s="8" t="s">
        <v>364</v>
      </c>
      <c r="V251" s="8" t="s">
        <v>364</v>
      </c>
      <c r="W251" s="8" t="s">
        <v>364</v>
      </c>
      <c r="X251" s="8" t="s">
        <v>364</v>
      </c>
      <c r="Y251" s="8" t="s">
        <v>364</v>
      </c>
      <c r="Z251" s="8" t="s">
        <v>364</v>
      </c>
      <c r="AA251" s="63" t="s">
        <v>49</v>
      </c>
      <c r="AB251" s="64"/>
      <c r="AL251" s="65"/>
    </row>
    <row r="252" spans="1:38" hidden="1" outlineLevel="1" x14ac:dyDescent="0.25">
      <c r="A252" s="21" t="s">
        <v>22</v>
      </c>
      <c r="B252" s="21" t="s">
        <v>512</v>
      </c>
      <c r="C252" s="21" t="s">
        <v>362</v>
      </c>
      <c r="D252" s="15">
        <v>0</v>
      </c>
      <c r="E252" s="57" t="s">
        <v>364</v>
      </c>
      <c r="F252" s="15">
        <v>0</v>
      </c>
      <c r="G252" s="15">
        <v>0</v>
      </c>
      <c r="H252" s="57" t="s">
        <v>364</v>
      </c>
      <c r="I252" s="15">
        <v>0</v>
      </c>
      <c r="J252" s="15">
        <v>2</v>
      </c>
      <c r="K252" s="57">
        <v>606.75</v>
      </c>
      <c r="L252" s="15">
        <v>1213.5</v>
      </c>
      <c r="M252" s="15" t="s">
        <v>364</v>
      </c>
      <c r="N252" s="15" t="s">
        <v>364</v>
      </c>
      <c r="O252" s="15" t="s">
        <v>364</v>
      </c>
      <c r="P252" s="15" t="s">
        <v>364</v>
      </c>
      <c r="Q252" s="15" t="s">
        <v>364</v>
      </c>
      <c r="R252" s="15" t="s">
        <v>364</v>
      </c>
      <c r="S252" s="15" t="s">
        <v>364</v>
      </c>
      <c r="T252" s="15" t="s">
        <v>364</v>
      </c>
      <c r="U252" s="17" t="s">
        <v>364</v>
      </c>
      <c r="V252" s="17" t="s">
        <v>364</v>
      </c>
      <c r="W252" s="17" t="s">
        <v>364</v>
      </c>
      <c r="X252" s="17" t="s">
        <v>364</v>
      </c>
      <c r="Y252" s="17" t="s">
        <v>364</v>
      </c>
      <c r="Z252" s="17" t="s">
        <v>364</v>
      </c>
      <c r="AA252" s="63" t="s">
        <v>483</v>
      </c>
      <c r="AB252" s="64"/>
      <c r="AL252" s="65"/>
    </row>
    <row r="253" spans="1:38" hidden="1" outlineLevel="1" x14ac:dyDescent="0.25">
      <c r="A253" s="21" t="s">
        <v>22</v>
      </c>
      <c r="B253" s="21" t="s">
        <v>513</v>
      </c>
      <c r="C253" s="21" t="s">
        <v>363</v>
      </c>
      <c r="D253" s="15">
        <v>0</v>
      </c>
      <c r="E253" s="57" t="s">
        <v>364</v>
      </c>
      <c r="F253" s="15">
        <v>0</v>
      </c>
      <c r="G253" s="15">
        <v>0</v>
      </c>
      <c r="H253" s="57" t="s">
        <v>364</v>
      </c>
      <c r="I253" s="15">
        <v>0</v>
      </c>
      <c r="J253" s="15">
        <v>9</v>
      </c>
      <c r="K253" s="57">
        <v>1665.9055555555558</v>
      </c>
      <c r="L253" s="15">
        <v>14993.150000000001</v>
      </c>
      <c r="M253" s="15" t="s">
        <v>364</v>
      </c>
      <c r="N253" s="15" t="s">
        <v>364</v>
      </c>
      <c r="O253" s="15" t="s">
        <v>364</v>
      </c>
      <c r="P253" s="15" t="s">
        <v>364</v>
      </c>
      <c r="Q253" s="15" t="s">
        <v>364</v>
      </c>
      <c r="R253" s="15" t="s">
        <v>364</v>
      </c>
      <c r="S253" s="15" t="s">
        <v>364</v>
      </c>
      <c r="T253" s="15" t="s">
        <v>364</v>
      </c>
      <c r="U253" s="17" t="s">
        <v>364</v>
      </c>
      <c r="V253" s="17" t="s">
        <v>364</v>
      </c>
      <c r="W253" s="17" t="s">
        <v>364</v>
      </c>
      <c r="X253" s="17" t="s">
        <v>364</v>
      </c>
      <c r="Y253" s="17" t="s">
        <v>364</v>
      </c>
      <c r="Z253" s="17" t="s">
        <v>364</v>
      </c>
      <c r="AA253" s="63" t="s">
        <v>485</v>
      </c>
      <c r="AB253" s="64"/>
      <c r="AL253" s="65"/>
    </row>
    <row r="254" spans="1:38" collapsed="1" x14ac:dyDescent="0.25">
      <c r="A254" s="5" t="s">
        <v>22</v>
      </c>
      <c r="B254" s="5" t="s">
        <v>49</v>
      </c>
      <c r="C254" s="5" t="s">
        <v>108</v>
      </c>
      <c r="D254" s="6">
        <v>0</v>
      </c>
      <c r="E254" s="53" t="s">
        <v>364</v>
      </c>
      <c r="F254" s="6">
        <v>32065</v>
      </c>
      <c r="G254" s="6">
        <v>0</v>
      </c>
      <c r="H254" s="53" t="s">
        <v>364</v>
      </c>
      <c r="I254" s="6">
        <v>55340.716666666667</v>
      </c>
      <c r="J254" s="6">
        <v>0</v>
      </c>
      <c r="K254" s="53" t="s">
        <v>364</v>
      </c>
      <c r="L254" s="6">
        <v>49728.500000000015</v>
      </c>
      <c r="M254" s="6" t="s">
        <v>364</v>
      </c>
      <c r="N254" s="6" t="s">
        <v>364</v>
      </c>
      <c r="O254" s="6" t="s">
        <v>364</v>
      </c>
      <c r="P254" s="6" t="s">
        <v>364</v>
      </c>
      <c r="Q254" s="6" t="s">
        <v>364</v>
      </c>
      <c r="R254" s="6" t="s">
        <v>364</v>
      </c>
      <c r="S254" s="6" t="s">
        <v>364</v>
      </c>
      <c r="T254" s="6" t="s">
        <v>364</v>
      </c>
      <c r="U254" s="8" t="s">
        <v>364</v>
      </c>
      <c r="V254" s="8" t="s">
        <v>364</v>
      </c>
      <c r="W254" s="8" t="s">
        <v>364</v>
      </c>
      <c r="X254" s="8">
        <v>0.55086542959613327</v>
      </c>
      <c r="Y254" s="8" t="s">
        <v>364</v>
      </c>
      <c r="Z254" s="8">
        <v>-0.10141207061828772</v>
      </c>
      <c r="AA254" s="63" t="s">
        <v>49</v>
      </c>
      <c r="AB254" s="64"/>
      <c r="AL254" s="65"/>
    </row>
    <row r="255" spans="1:38" hidden="1" outlineLevel="1" x14ac:dyDescent="0.25">
      <c r="A255" s="21" t="s">
        <v>22</v>
      </c>
      <c r="B255" s="21" t="s">
        <v>514</v>
      </c>
      <c r="C255" s="21" t="s">
        <v>362</v>
      </c>
      <c r="D255" s="15">
        <v>0</v>
      </c>
      <c r="E255" s="57" t="s">
        <v>364</v>
      </c>
      <c r="F255" s="15">
        <v>16061</v>
      </c>
      <c r="G255" s="15">
        <v>0</v>
      </c>
      <c r="H255" s="57" t="s">
        <v>364</v>
      </c>
      <c r="I255" s="15">
        <v>25329.194444444438</v>
      </c>
      <c r="J255" s="15">
        <v>0</v>
      </c>
      <c r="K255" s="57" t="s">
        <v>364</v>
      </c>
      <c r="L255" s="15">
        <v>24107.950000000004</v>
      </c>
      <c r="M255" s="15" t="s">
        <v>364</v>
      </c>
      <c r="N255" s="15" t="s">
        <v>364</v>
      </c>
      <c r="O255" s="15" t="s">
        <v>364</v>
      </c>
      <c r="P255" s="15" t="s">
        <v>364</v>
      </c>
      <c r="Q255" s="15" t="s">
        <v>364</v>
      </c>
      <c r="R255" s="15" t="s">
        <v>364</v>
      </c>
      <c r="S255" s="15" t="s">
        <v>364</v>
      </c>
      <c r="T255" s="15" t="s">
        <v>364</v>
      </c>
      <c r="U255" s="17" t="s">
        <v>364</v>
      </c>
      <c r="V255" s="17" t="s">
        <v>364</v>
      </c>
      <c r="W255" s="17" t="s">
        <v>364</v>
      </c>
      <c r="X255" s="17">
        <v>0.50102422016063786</v>
      </c>
      <c r="Y255" s="17" t="s">
        <v>364</v>
      </c>
      <c r="Z255" s="17">
        <v>-4.8214894758024741E-2</v>
      </c>
      <c r="AA255" s="63" t="s">
        <v>483</v>
      </c>
      <c r="AB255" s="64"/>
      <c r="AL255" s="65"/>
    </row>
    <row r="256" spans="1:38" hidden="1" outlineLevel="1" x14ac:dyDescent="0.25">
      <c r="A256" s="21" t="s">
        <v>22</v>
      </c>
      <c r="B256" s="21" t="s">
        <v>515</v>
      </c>
      <c r="C256" s="21" t="s">
        <v>363</v>
      </c>
      <c r="D256" s="15">
        <v>0</v>
      </c>
      <c r="E256" s="57" t="s">
        <v>364</v>
      </c>
      <c r="F256" s="15">
        <v>16004</v>
      </c>
      <c r="G256" s="15">
        <v>0</v>
      </c>
      <c r="H256" s="57" t="s">
        <v>364</v>
      </c>
      <c r="I256" s="15">
        <v>30011.522222222226</v>
      </c>
      <c r="J256" s="15">
        <v>0</v>
      </c>
      <c r="K256" s="57" t="s">
        <v>364</v>
      </c>
      <c r="L256" s="15">
        <v>25620.55</v>
      </c>
      <c r="M256" s="15" t="s">
        <v>364</v>
      </c>
      <c r="N256" s="15" t="s">
        <v>364</v>
      </c>
      <c r="O256" s="15" t="s">
        <v>364</v>
      </c>
      <c r="P256" s="15" t="s">
        <v>364</v>
      </c>
      <c r="Q256" s="15" t="s">
        <v>364</v>
      </c>
      <c r="R256" s="15" t="s">
        <v>364</v>
      </c>
      <c r="S256" s="15" t="s">
        <v>364</v>
      </c>
      <c r="T256" s="15" t="s">
        <v>364</v>
      </c>
      <c r="U256" s="17" t="s">
        <v>364</v>
      </c>
      <c r="V256" s="17" t="s">
        <v>364</v>
      </c>
      <c r="W256" s="17" t="s">
        <v>364</v>
      </c>
      <c r="X256" s="17">
        <v>0.60088415396150963</v>
      </c>
      <c r="Y256" s="17" t="s">
        <v>364</v>
      </c>
      <c r="Z256" s="17">
        <v>-0.14630954703693444</v>
      </c>
      <c r="AA256" s="63" t="s">
        <v>485</v>
      </c>
      <c r="AB256" s="64"/>
      <c r="AL256" s="65"/>
    </row>
    <row r="257" spans="1:38" collapsed="1" x14ac:dyDescent="0.25">
      <c r="A257" s="5" t="s">
        <v>22</v>
      </c>
      <c r="B257" s="5" t="s">
        <v>49</v>
      </c>
      <c r="C257" s="5" t="s">
        <v>109</v>
      </c>
      <c r="D257" s="6">
        <v>0</v>
      </c>
      <c r="E257" s="53" t="s">
        <v>364</v>
      </c>
      <c r="F257" s="6">
        <v>0</v>
      </c>
      <c r="G257" s="6">
        <v>66.666666666666671</v>
      </c>
      <c r="H257" s="53">
        <v>618.04750000000024</v>
      </c>
      <c r="I257" s="6">
        <v>41203.166666666686</v>
      </c>
      <c r="J257" s="6">
        <v>71</v>
      </c>
      <c r="K257" s="53">
        <v>576.86661971830995</v>
      </c>
      <c r="L257" s="6">
        <v>40957.530000000006</v>
      </c>
      <c r="M257" s="6" t="s">
        <v>364</v>
      </c>
      <c r="N257" s="6" t="s">
        <v>364</v>
      </c>
      <c r="O257" s="6" t="s">
        <v>364</v>
      </c>
      <c r="P257" s="6" t="s">
        <v>364</v>
      </c>
      <c r="Q257" s="6" t="s">
        <v>364</v>
      </c>
      <c r="R257" s="6" t="s">
        <v>364</v>
      </c>
      <c r="S257" s="6" t="s">
        <v>364</v>
      </c>
      <c r="T257" s="6" t="s">
        <v>364</v>
      </c>
      <c r="U257" s="8" t="s">
        <v>364</v>
      </c>
      <c r="V257" s="8" t="s">
        <v>364</v>
      </c>
      <c r="W257" s="8" t="s">
        <v>364</v>
      </c>
      <c r="X257" s="8" t="s">
        <v>364</v>
      </c>
      <c r="Y257" s="8">
        <v>6.4999999999999919E-2</v>
      </c>
      <c r="Z257" s="8">
        <v>-5.9615968028350532E-3</v>
      </c>
      <c r="AA257" s="63" t="s">
        <v>49</v>
      </c>
      <c r="AB257" s="64"/>
      <c r="AL257" s="65"/>
    </row>
    <row r="258" spans="1:38" hidden="1" outlineLevel="1" x14ac:dyDescent="0.25">
      <c r="A258" s="21" t="s">
        <v>22</v>
      </c>
      <c r="B258" s="21" t="s">
        <v>516</v>
      </c>
      <c r="C258" s="21" t="s">
        <v>362</v>
      </c>
      <c r="D258" s="15">
        <v>0</v>
      </c>
      <c r="E258" s="57" t="s">
        <v>364</v>
      </c>
      <c r="F258" s="15">
        <v>0</v>
      </c>
      <c r="G258" s="15">
        <v>43.333333333333336</v>
      </c>
      <c r="H258" s="57">
        <v>577.26897435897456</v>
      </c>
      <c r="I258" s="15">
        <v>25014.9888888889</v>
      </c>
      <c r="J258" s="15">
        <v>45</v>
      </c>
      <c r="K258" s="57">
        <v>433.96822222222232</v>
      </c>
      <c r="L258" s="15">
        <v>19528.570000000003</v>
      </c>
      <c r="M258" s="15" t="s">
        <v>364</v>
      </c>
      <c r="N258" s="15" t="s">
        <v>364</v>
      </c>
      <c r="O258" s="15" t="s">
        <v>364</v>
      </c>
      <c r="P258" s="15" t="s">
        <v>364</v>
      </c>
      <c r="Q258" s="15" t="s">
        <v>364</v>
      </c>
      <c r="R258" s="15" t="s">
        <v>364</v>
      </c>
      <c r="S258" s="15" t="s">
        <v>364</v>
      </c>
      <c r="T258" s="15" t="s">
        <v>364</v>
      </c>
      <c r="U258" s="17" t="s">
        <v>364</v>
      </c>
      <c r="V258" s="17" t="s">
        <v>364</v>
      </c>
      <c r="W258" s="17" t="s">
        <v>364</v>
      </c>
      <c r="X258" s="17" t="s">
        <v>364</v>
      </c>
      <c r="Y258" s="17">
        <v>3.8461538461538408E-2</v>
      </c>
      <c r="Z258" s="17">
        <v>-0.21932525787872093</v>
      </c>
      <c r="AA258" s="63" t="s">
        <v>483</v>
      </c>
      <c r="AB258" s="64"/>
      <c r="AL258" s="65"/>
    </row>
    <row r="259" spans="1:38" hidden="1" outlineLevel="1" x14ac:dyDescent="0.25">
      <c r="A259" s="21" t="s">
        <v>22</v>
      </c>
      <c r="B259" s="21" t="s">
        <v>517</v>
      </c>
      <c r="C259" s="21" t="s">
        <v>363</v>
      </c>
      <c r="D259" s="15">
        <v>0</v>
      </c>
      <c r="E259" s="57" t="s">
        <v>364</v>
      </c>
      <c r="F259" s="15">
        <v>0</v>
      </c>
      <c r="G259" s="15">
        <v>23.333333333333336</v>
      </c>
      <c r="H259" s="57">
        <v>693.77904761904767</v>
      </c>
      <c r="I259" s="15">
        <v>16188.177777777781</v>
      </c>
      <c r="J259" s="15">
        <v>26</v>
      </c>
      <c r="K259" s="57">
        <v>824.19076923076921</v>
      </c>
      <c r="L259" s="15">
        <v>21428.959999999999</v>
      </c>
      <c r="M259" s="15" t="s">
        <v>364</v>
      </c>
      <c r="N259" s="15" t="s">
        <v>364</v>
      </c>
      <c r="O259" s="15" t="s">
        <v>364</v>
      </c>
      <c r="P259" s="15" t="s">
        <v>364</v>
      </c>
      <c r="Q259" s="15" t="s">
        <v>364</v>
      </c>
      <c r="R259" s="15" t="s">
        <v>364</v>
      </c>
      <c r="S259" s="15" t="s">
        <v>364</v>
      </c>
      <c r="T259" s="15" t="s">
        <v>364</v>
      </c>
      <c r="U259" s="17" t="s">
        <v>364</v>
      </c>
      <c r="V259" s="17" t="s">
        <v>364</v>
      </c>
      <c r="W259" s="17" t="s">
        <v>364</v>
      </c>
      <c r="X259" s="17" t="s">
        <v>364</v>
      </c>
      <c r="Y259" s="17">
        <v>0.11428571428571417</v>
      </c>
      <c r="Z259" s="17">
        <v>0.32374133112230019</v>
      </c>
      <c r="AA259" s="63" t="s">
        <v>485</v>
      </c>
      <c r="AB259" s="64"/>
      <c r="AL259" s="65"/>
    </row>
    <row r="260" spans="1:38" collapsed="1" x14ac:dyDescent="0.25">
      <c r="A260" s="5" t="s">
        <v>22</v>
      </c>
      <c r="B260" s="5" t="s">
        <v>49</v>
      </c>
      <c r="C260" s="5" t="s">
        <v>110</v>
      </c>
      <c r="D260" s="6">
        <v>0</v>
      </c>
      <c r="E260" s="53" t="s">
        <v>364</v>
      </c>
      <c r="F260" s="6">
        <v>3901</v>
      </c>
      <c r="G260" s="6">
        <v>0</v>
      </c>
      <c r="H260" s="53" t="s">
        <v>364</v>
      </c>
      <c r="I260" s="6">
        <v>1576.4666666666667</v>
      </c>
      <c r="J260" s="6">
        <v>0</v>
      </c>
      <c r="K260" s="53" t="s">
        <v>364</v>
      </c>
      <c r="L260" s="6">
        <v>798.63</v>
      </c>
      <c r="M260" s="6" t="s">
        <v>364</v>
      </c>
      <c r="N260" s="6" t="s">
        <v>364</v>
      </c>
      <c r="O260" s="6" t="s">
        <v>364</v>
      </c>
      <c r="P260" s="6" t="s">
        <v>364</v>
      </c>
      <c r="Q260" s="6" t="s">
        <v>364</v>
      </c>
      <c r="R260" s="6" t="s">
        <v>364</v>
      </c>
      <c r="S260" s="6" t="s">
        <v>364</v>
      </c>
      <c r="T260" s="6" t="s">
        <v>364</v>
      </c>
      <c r="U260" s="8" t="s">
        <v>364</v>
      </c>
      <c r="V260" s="8" t="s">
        <v>364</v>
      </c>
      <c r="W260" s="8" t="s">
        <v>364</v>
      </c>
      <c r="X260" s="8">
        <v>-0.79527557036657259</v>
      </c>
      <c r="Y260" s="8" t="s">
        <v>364</v>
      </c>
      <c r="Z260" s="8">
        <v>-0.49340508309722164</v>
      </c>
      <c r="AA260" s="63" t="s">
        <v>49</v>
      </c>
      <c r="AB260" s="64"/>
      <c r="AL260" s="65"/>
    </row>
    <row r="261" spans="1:38" hidden="1" outlineLevel="1" x14ac:dyDescent="0.25">
      <c r="A261" s="21" t="s">
        <v>22</v>
      </c>
      <c r="B261" s="21" t="s">
        <v>518</v>
      </c>
      <c r="C261" s="21" t="s">
        <v>362</v>
      </c>
      <c r="D261" s="15">
        <v>0</v>
      </c>
      <c r="E261" s="57" t="s">
        <v>364</v>
      </c>
      <c r="F261" s="15">
        <v>1060</v>
      </c>
      <c r="G261" s="15">
        <v>0</v>
      </c>
      <c r="H261" s="57" t="s">
        <v>364</v>
      </c>
      <c r="I261" s="15">
        <v>402.72222222222229</v>
      </c>
      <c r="J261" s="15">
        <v>0</v>
      </c>
      <c r="K261" s="57" t="s">
        <v>364</v>
      </c>
      <c r="L261" s="15">
        <v>260.83</v>
      </c>
      <c r="M261" s="15" t="s">
        <v>364</v>
      </c>
      <c r="N261" s="15" t="s">
        <v>364</v>
      </c>
      <c r="O261" s="15" t="s">
        <v>364</v>
      </c>
      <c r="P261" s="15" t="s">
        <v>364</v>
      </c>
      <c r="Q261" s="15" t="s">
        <v>364</v>
      </c>
      <c r="R261" s="15" t="s">
        <v>364</v>
      </c>
      <c r="S261" s="15" t="s">
        <v>364</v>
      </c>
      <c r="T261" s="15" t="s">
        <v>364</v>
      </c>
      <c r="U261" s="17" t="s">
        <v>364</v>
      </c>
      <c r="V261" s="17" t="s">
        <v>364</v>
      </c>
      <c r="W261" s="17" t="s">
        <v>364</v>
      </c>
      <c r="X261" s="17">
        <v>-0.75393396226415099</v>
      </c>
      <c r="Y261" s="17" t="s">
        <v>364</v>
      </c>
      <c r="Z261" s="17">
        <v>-0.35233273554973116</v>
      </c>
      <c r="AA261" s="63" t="s">
        <v>483</v>
      </c>
      <c r="AB261" s="64"/>
      <c r="AL261" s="65"/>
    </row>
    <row r="262" spans="1:38" hidden="1" outlineLevel="1" x14ac:dyDescent="0.25">
      <c r="A262" s="21" t="s">
        <v>22</v>
      </c>
      <c r="B262" s="21" t="s">
        <v>519</v>
      </c>
      <c r="C262" s="21" t="s">
        <v>363</v>
      </c>
      <c r="D262" s="15">
        <v>0</v>
      </c>
      <c r="E262" s="57" t="s">
        <v>364</v>
      </c>
      <c r="F262" s="15">
        <v>2841</v>
      </c>
      <c r="G262" s="15">
        <v>0</v>
      </c>
      <c r="H262" s="57" t="s">
        <v>364</v>
      </c>
      <c r="I262" s="15">
        <v>1173.7444444444443</v>
      </c>
      <c r="J262" s="15">
        <v>0</v>
      </c>
      <c r="K262" s="57" t="s">
        <v>364</v>
      </c>
      <c r="L262" s="15">
        <v>537.79999999999995</v>
      </c>
      <c r="M262" s="15" t="s">
        <v>364</v>
      </c>
      <c r="N262" s="15" t="s">
        <v>364</v>
      </c>
      <c r="O262" s="15" t="s">
        <v>364</v>
      </c>
      <c r="P262" s="15" t="s">
        <v>364</v>
      </c>
      <c r="Q262" s="15" t="s">
        <v>364</v>
      </c>
      <c r="R262" s="15" t="s">
        <v>364</v>
      </c>
      <c r="S262" s="15" t="s">
        <v>364</v>
      </c>
      <c r="T262" s="15" t="s">
        <v>364</v>
      </c>
      <c r="U262" s="17" t="s">
        <v>364</v>
      </c>
      <c r="V262" s="17" t="s">
        <v>364</v>
      </c>
      <c r="W262" s="17" t="s">
        <v>364</v>
      </c>
      <c r="X262" s="17">
        <v>-0.81070045758535725</v>
      </c>
      <c r="Y262" s="17" t="s">
        <v>364</v>
      </c>
      <c r="Z262" s="17">
        <v>-0.54180826793642378</v>
      </c>
      <c r="AA262" s="63" t="s">
        <v>485</v>
      </c>
      <c r="AB262" s="64"/>
      <c r="AL262" s="65"/>
    </row>
    <row r="263" spans="1:38" collapsed="1" x14ac:dyDescent="0.25">
      <c r="A263" s="5" t="s">
        <v>22</v>
      </c>
      <c r="B263" s="5" t="s">
        <v>49</v>
      </c>
      <c r="C263" s="5" t="s">
        <v>111</v>
      </c>
      <c r="D263" s="6">
        <v>0</v>
      </c>
      <c r="E263" s="53" t="s">
        <v>364</v>
      </c>
      <c r="F263" s="6">
        <v>0</v>
      </c>
      <c r="G263" s="6">
        <v>39.444444444444443</v>
      </c>
      <c r="H263" s="53">
        <v>393.85732394366204</v>
      </c>
      <c r="I263" s="6">
        <v>15535.483333333335</v>
      </c>
      <c r="J263" s="6">
        <v>41</v>
      </c>
      <c r="K263" s="53">
        <v>308.30268292682928</v>
      </c>
      <c r="L263" s="6">
        <v>12640.41</v>
      </c>
      <c r="M263" s="6" t="s">
        <v>364</v>
      </c>
      <c r="N263" s="6" t="s">
        <v>364</v>
      </c>
      <c r="O263" s="6" t="s">
        <v>364</v>
      </c>
      <c r="P263" s="6" t="s">
        <v>364</v>
      </c>
      <c r="Q263" s="6" t="s">
        <v>364</v>
      </c>
      <c r="R263" s="6" t="s">
        <v>364</v>
      </c>
      <c r="S263" s="6" t="s">
        <v>364</v>
      </c>
      <c r="T263" s="6" t="s">
        <v>364</v>
      </c>
      <c r="U263" s="8" t="s">
        <v>364</v>
      </c>
      <c r="V263" s="8" t="s">
        <v>364</v>
      </c>
      <c r="W263" s="8" t="s">
        <v>364</v>
      </c>
      <c r="X263" s="8" t="s">
        <v>364</v>
      </c>
      <c r="Y263" s="8">
        <v>3.9436619718309904E-2</v>
      </c>
      <c r="Z263" s="8">
        <v>-0.18635231818771877</v>
      </c>
      <c r="AA263" s="63" t="s">
        <v>49</v>
      </c>
      <c r="AB263" s="64"/>
      <c r="AL263" s="65"/>
    </row>
    <row r="264" spans="1:38" hidden="1" outlineLevel="1" x14ac:dyDescent="0.25">
      <c r="A264" s="21" t="s">
        <v>22</v>
      </c>
      <c r="B264" s="21" t="s">
        <v>520</v>
      </c>
      <c r="C264" s="21" t="s">
        <v>362</v>
      </c>
      <c r="D264" s="15">
        <v>0</v>
      </c>
      <c r="E264" s="57" t="s">
        <v>364</v>
      </c>
      <c r="F264" s="15">
        <v>0</v>
      </c>
      <c r="G264" s="15">
        <v>11.111111111111111</v>
      </c>
      <c r="H264" s="57">
        <v>400.404</v>
      </c>
      <c r="I264" s="15">
        <v>4448.9333333333334</v>
      </c>
      <c r="J264" s="15">
        <v>17</v>
      </c>
      <c r="K264" s="57">
        <v>323.3817647058824</v>
      </c>
      <c r="L264" s="15">
        <v>5497.4900000000007</v>
      </c>
      <c r="M264" s="15" t="s">
        <v>364</v>
      </c>
      <c r="N264" s="15" t="s">
        <v>364</v>
      </c>
      <c r="O264" s="15" t="s">
        <v>364</v>
      </c>
      <c r="P264" s="15" t="s">
        <v>364</v>
      </c>
      <c r="Q264" s="15" t="s">
        <v>364</v>
      </c>
      <c r="R264" s="15" t="s">
        <v>364</v>
      </c>
      <c r="S264" s="15" t="s">
        <v>364</v>
      </c>
      <c r="T264" s="15" t="s">
        <v>364</v>
      </c>
      <c r="U264" s="17" t="s">
        <v>364</v>
      </c>
      <c r="V264" s="17" t="s">
        <v>364</v>
      </c>
      <c r="W264" s="17" t="s">
        <v>364</v>
      </c>
      <c r="X264" s="17" t="s">
        <v>364</v>
      </c>
      <c r="Y264" s="17">
        <v>0.53</v>
      </c>
      <c r="Z264" s="17">
        <v>0.23568720592201889</v>
      </c>
      <c r="AA264" s="63" t="s">
        <v>483</v>
      </c>
      <c r="AB264" s="64"/>
      <c r="AL264" s="65"/>
    </row>
    <row r="265" spans="1:38" hidden="1" outlineLevel="1" x14ac:dyDescent="0.25">
      <c r="A265" s="21" t="s">
        <v>22</v>
      </c>
      <c r="B265" s="21" t="s">
        <v>521</v>
      </c>
      <c r="C265" s="21" t="s">
        <v>363</v>
      </c>
      <c r="D265" s="15">
        <v>0</v>
      </c>
      <c r="E265" s="57" t="s">
        <v>364</v>
      </c>
      <c r="F265" s="15">
        <v>0</v>
      </c>
      <c r="G265" s="15">
        <v>28.333333333333336</v>
      </c>
      <c r="H265" s="57">
        <v>391.29</v>
      </c>
      <c r="I265" s="15">
        <v>11086.550000000001</v>
      </c>
      <c r="J265" s="15">
        <v>24</v>
      </c>
      <c r="K265" s="57">
        <v>297.62166666666667</v>
      </c>
      <c r="L265" s="15">
        <v>7142.92</v>
      </c>
      <c r="M265" s="15" t="s">
        <v>364</v>
      </c>
      <c r="N265" s="15" t="s">
        <v>364</v>
      </c>
      <c r="O265" s="15" t="s">
        <v>364</v>
      </c>
      <c r="P265" s="15" t="s">
        <v>364</v>
      </c>
      <c r="Q265" s="15" t="s">
        <v>364</v>
      </c>
      <c r="R265" s="15" t="s">
        <v>364</v>
      </c>
      <c r="S265" s="15" t="s">
        <v>364</v>
      </c>
      <c r="T265" s="15" t="s">
        <v>364</v>
      </c>
      <c r="U265" s="17" t="s">
        <v>364</v>
      </c>
      <c r="V265" s="17" t="s">
        <v>364</v>
      </c>
      <c r="W265" s="17" t="s">
        <v>364</v>
      </c>
      <c r="X265" s="17" t="s">
        <v>364</v>
      </c>
      <c r="Y265" s="17">
        <v>-0.1529411764705883</v>
      </c>
      <c r="Z265" s="17">
        <v>-0.35571300359444558</v>
      </c>
      <c r="AA265" s="63" t="s">
        <v>485</v>
      </c>
      <c r="AB265" s="64"/>
      <c r="AL265" s="65"/>
    </row>
    <row r="266" spans="1:38" collapsed="1" x14ac:dyDescent="0.25">
      <c r="A266" s="5" t="s">
        <v>22</v>
      </c>
      <c r="B266" s="5" t="s">
        <v>49</v>
      </c>
      <c r="C266" s="5" t="s">
        <v>112</v>
      </c>
      <c r="D266" s="6">
        <v>0</v>
      </c>
      <c r="E266" s="53" t="s">
        <v>364</v>
      </c>
      <c r="F266" s="6">
        <v>0</v>
      </c>
      <c r="G266" s="6">
        <v>3.8888888888888893</v>
      </c>
      <c r="H266" s="53">
        <v>385.59000000000003</v>
      </c>
      <c r="I266" s="6">
        <v>1499.5166666666669</v>
      </c>
      <c r="J266" s="6">
        <v>5</v>
      </c>
      <c r="K266" s="53">
        <v>96.783999999999992</v>
      </c>
      <c r="L266" s="6">
        <v>483.91999999999996</v>
      </c>
      <c r="M266" s="6" t="s">
        <v>364</v>
      </c>
      <c r="N266" s="6" t="s">
        <v>364</v>
      </c>
      <c r="O266" s="6" t="s">
        <v>364</v>
      </c>
      <c r="P266" s="6" t="s">
        <v>364</v>
      </c>
      <c r="Q266" s="6" t="s">
        <v>364</v>
      </c>
      <c r="R266" s="6" t="s">
        <v>364</v>
      </c>
      <c r="S266" s="6" t="s">
        <v>364</v>
      </c>
      <c r="T266" s="6" t="s">
        <v>364</v>
      </c>
      <c r="U266" s="8" t="s">
        <v>364</v>
      </c>
      <c r="V266" s="8" t="s">
        <v>364</v>
      </c>
      <c r="W266" s="8" t="s">
        <v>364</v>
      </c>
      <c r="X266" s="8" t="s">
        <v>364</v>
      </c>
      <c r="Y266" s="8">
        <v>0.28571428571428559</v>
      </c>
      <c r="Z266" s="8">
        <v>-0.67728267997465852</v>
      </c>
      <c r="AA266" s="63" t="s">
        <v>49</v>
      </c>
      <c r="AB266" s="64"/>
      <c r="AL266" s="65"/>
    </row>
    <row r="267" spans="1:38" hidden="1" outlineLevel="1" x14ac:dyDescent="0.25">
      <c r="A267" s="21" t="s">
        <v>22</v>
      </c>
      <c r="B267" s="21" t="s">
        <v>522</v>
      </c>
      <c r="C267" s="21" t="s">
        <v>362</v>
      </c>
      <c r="D267" s="15">
        <v>0</v>
      </c>
      <c r="E267" s="57" t="s">
        <v>364</v>
      </c>
      <c r="F267" s="15">
        <v>0</v>
      </c>
      <c r="G267" s="15">
        <v>1.1111111111111112</v>
      </c>
      <c r="H267" s="57">
        <v>1170</v>
      </c>
      <c r="I267" s="15">
        <v>1300</v>
      </c>
      <c r="J267" s="15">
        <v>0</v>
      </c>
      <c r="K267" s="57" t="s">
        <v>364</v>
      </c>
      <c r="L267" s="15">
        <v>0</v>
      </c>
      <c r="M267" s="15" t="s">
        <v>364</v>
      </c>
      <c r="N267" s="15" t="s">
        <v>364</v>
      </c>
      <c r="O267" s="15" t="s">
        <v>364</v>
      </c>
      <c r="P267" s="15" t="s">
        <v>364</v>
      </c>
      <c r="Q267" s="15" t="s">
        <v>364</v>
      </c>
      <c r="R267" s="15" t="s">
        <v>364</v>
      </c>
      <c r="S267" s="15" t="s">
        <v>364</v>
      </c>
      <c r="T267" s="15" t="s">
        <v>364</v>
      </c>
      <c r="U267" s="17" t="s">
        <v>364</v>
      </c>
      <c r="V267" s="17" t="s">
        <v>364</v>
      </c>
      <c r="W267" s="17" t="s">
        <v>364</v>
      </c>
      <c r="X267" s="17" t="s">
        <v>364</v>
      </c>
      <c r="Y267" s="17">
        <v>-1</v>
      </c>
      <c r="Z267" s="17">
        <v>-1</v>
      </c>
      <c r="AA267" s="63" t="s">
        <v>483</v>
      </c>
      <c r="AB267" s="64"/>
      <c r="AL267" s="65"/>
    </row>
    <row r="268" spans="1:38" hidden="1" outlineLevel="1" x14ac:dyDescent="0.25">
      <c r="A268" s="21" t="s">
        <v>22</v>
      </c>
      <c r="B268" s="21" t="s">
        <v>523</v>
      </c>
      <c r="C268" s="21" t="s">
        <v>363</v>
      </c>
      <c r="D268" s="15">
        <v>0</v>
      </c>
      <c r="E268" s="57" t="s">
        <v>364</v>
      </c>
      <c r="F268" s="15">
        <v>0</v>
      </c>
      <c r="G268" s="15">
        <v>2.7777777777777777</v>
      </c>
      <c r="H268" s="57">
        <v>71.826000000000008</v>
      </c>
      <c r="I268" s="15">
        <v>199.51666666666668</v>
      </c>
      <c r="J268" s="15">
        <v>5</v>
      </c>
      <c r="K268" s="57">
        <v>96.783999999999992</v>
      </c>
      <c r="L268" s="15">
        <v>483.91999999999996</v>
      </c>
      <c r="M268" s="15" t="s">
        <v>364</v>
      </c>
      <c r="N268" s="15" t="s">
        <v>364</v>
      </c>
      <c r="O268" s="15" t="s">
        <v>364</v>
      </c>
      <c r="P268" s="15" t="s">
        <v>364</v>
      </c>
      <c r="Q268" s="15" t="s">
        <v>364</v>
      </c>
      <c r="R268" s="15" t="s">
        <v>364</v>
      </c>
      <c r="S268" s="15" t="s">
        <v>364</v>
      </c>
      <c r="T268" s="15" t="s">
        <v>364</v>
      </c>
      <c r="U268" s="17" t="s">
        <v>364</v>
      </c>
      <c r="V268" s="17" t="s">
        <v>364</v>
      </c>
      <c r="W268" s="17" t="s">
        <v>364</v>
      </c>
      <c r="X268" s="17" t="s">
        <v>364</v>
      </c>
      <c r="Y268" s="17">
        <v>0.8</v>
      </c>
      <c r="Z268" s="17">
        <v>1.4254615320357529</v>
      </c>
      <c r="AA268" s="63" t="s">
        <v>485</v>
      </c>
      <c r="AB268" s="64"/>
      <c r="AL268" s="65"/>
    </row>
    <row r="269" spans="1:38" collapsed="1" x14ac:dyDescent="0.25">
      <c r="A269" s="5" t="s">
        <v>22</v>
      </c>
      <c r="B269" s="5" t="s">
        <v>49</v>
      </c>
      <c r="C269" s="5" t="s">
        <v>113</v>
      </c>
      <c r="D269" s="6">
        <v>39</v>
      </c>
      <c r="E269" s="53">
        <v>1164.7948717948718</v>
      </c>
      <c r="F269" s="6">
        <v>45427</v>
      </c>
      <c r="G269" s="6">
        <v>34.444444444444443</v>
      </c>
      <c r="H269" s="53">
        <v>796.28596774193534</v>
      </c>
      <c r="I269" s="6">
        <v>27427.627777777772</v>
      </c>
      <c r="J269" s="6">
        <v>16</v>
      </c>
      <c r="K269" s="53">
        <v>586.03437500000018</v>
      </c>
      <c r="L269" s="6">
        <v>9376.5500000000029</v>
      </c>
      <c r="M269" s="6" t="s">
        <v>364</v>
      </c>
      <c r="N269" s="6" t="s">
        <v>364</v>
      </c>
      <c r="O269" s="6" t="s">
        <v>364</v>
      </c>
      <c r="P269" s="6" t="s">
        <v>364</v>
      </c>
      <c r="Q269" s="6" t="s">
        <v>364</v>
      </c>
      <c r="R269" s="6" t="s">
        <v>364</v>
      </c>
      <c r="S269" s="6" t="s">
        <v>364</v>
      </c>
      <c r="T269" s="6" t="s">
        <v>364</v>
      </c>
      <c r="U269" s="8" t="s">
        <v>364</v>
      </c>
      <c r="V269" s="8" t="s">
        <v>364</v>
      </c>
      <c r="W269" s="8">
        <v>-0.58974358974358976</v>
      </c>
      <c r="X269" s="8">
        <v>-0.79359081603451687</v>
      </c>
      <c r="Y269" s="8">
        <v>-0.53548387096774186</v>
      </c>
      <c r="Z269" s="8">
        <v>-0.65813485307697639</v>
      </c>
      <c r="AA269" s="63" t="s">
        <v>49</v>
      </c>
      <c r="AB269" s="64"/>
      <c r="AL269" s="65"/>
    </row>
    <row r="270" spans="1:38" hidden="1" outlineLevel="1" x14ac:dyDescent="0.25">
      <c r="A270" s="21" t="s">
        <v>22</v>
      </c>
      <c r="B270" s="21" t="s">
        <v>524</v>
      </c>
      <c r="C270" s="21" t="s">
        <v>362</v>
      </c>
      <c r="D270" s="15">
        <v>17</v>
      </c>
      <c r="E270" s="57">
        <v>1310.9411764705883</v>
      </c>
      <c r="F270" s="15">
        <v>22286</v>
      </c>
      <c r="G270" s="15">
        <v>12.777777777777779</v>
      </c>
      <c r="H270" s="57">
        <v>769.38869565217362</v>
      </c>
      <c r="I270" s="15">
        <v>9831.0777777777748</v>
      </c>
      <c r="J270" s="15">
        <v>5</v>
      </c>
      <c r="K270" s="57">
        <v>157.64000000000001</v>
      </c>
      <c r="L270" s="15">
        <v>788.2</v>
      </c>
      <c r="M270" s="15" t="s">
        <v>364</v>
      </c>
      <c r="N270" s="15" t="s">
        <v>364</v>
      </c>
      <c r="O270" s="15" t="s">
        <v>364</v>
      </c>
      <c r="P270" s="15" t="s">
        <v>364</v>
      </c>
      <c r="Q270" s="15" t="s">
        <v>364</v>
      </c>
      <c r="R270" s="15" t="s">
        <v>364</v>
      </c>
      <c r="S270" s="15" t="s">
        <v>364</v>
      </c>
      <c r="T270" s="15" t="s">
        <v>364</v>
      </c>
      <c r="U270" s="17" t="s">
        <v>364</v>
      </c>
      <c r="V270" s="17" t="s">
        <v>364</v>
      </c>
      <c r="W270" s="17">
        <v>-0.70588235294117652</v>
      </c>
      <c r="X270" s="17">
        <v>-0.96463250471147799</v>
      </c>
      <c r="Y270" s="17">
        <v>-0.60869565217391308</v>
      </c>
      <c r="Z270" s="17">
        <v>-0.9198256775282917</v>
      </c>
      <c r="AA270" s="63" t="s">
        <v>483</v>
      </c>
      <c r="AB270" s="64"/>
      <c r="AL270" s="65"/>
    </row>
    <row r="271" spans="1:38" hidden="1" outlineLevel="1" x14ac:dyDescent="0.25">
      <c r="A271" s="21" t="s">
        <v>22</v>
      </c>
      <c r="B271" s="21" t="s">
        <v>525</v>
      </c>
      <c r="C271" s="21" t="s">
        <v>363</v>
      </c>
      <c r="D271" s="15">
        <v>22</v>
      </c>
      <c r="E271" s="57">
        <v>1051.8636363636363</v>
      </c>
      <c r="F271" s="15">
        <v>23141</v>
      </c>
      <c r="G271" s="15">
        <v>21.666666666666668</v>
      </c>
      <c r="H271" s="57">
        <v>812.14846153846133</v>
      </c>
      <c r="I271" s="15">
        <v>17596.549999999996</v>
      </c>
      <c r="J271" s="15">
        <v>11</v>
      </c>
      <c r="K271" s="57">
        <v>780.75909090909113</v>
      </c>
      <c r="L271" s="15">
        <v>8588.3500000000022</v>
      </c>
      <c r="M271" s="15" t="s">
        <v>364</v>
      </c>
      <c r="N271" s="15" t="s">
        <v>364</v>
      </c>
      <c r="O271" s="15" t="s">
        <v>364</v>
      </c>
      <c r="P271" s="15" t="s">
        <v>364</v>
      </c>
      <c r="Q271" s="15" t="s">
        <v>364</v>
      </c>
      <c r="R271" s="15" t="s">
        <v>364</v>
      </c>
      <c r="S271" s="15" t="s">
        <v>364</v>
      </c>
      <c r="T271" s="15" t="s">
        <v>364</v>
      </c>
      <c r="U271" s="17" t="s">
        <v>364</v>
      </c>
      <c r="V271" s="17" t="s">
        <v>364</v>
      </c>
      <c r="W271" s="17">
        <v>-0.5</v>
      </c>
      <c r="X271" s="17">
        <v>-0.6288686746467308</v>
      </c>
      <c r="Y271" s="17">
        <v>-0.49230769230769234</v>
      </c>
      <c r="Z271" s="17">
        <v>-0.51192989534880395</v>
      </c>
      <c r="AA271" s="63" t="s">
        <v>485</v>
      </c>
      <c r="AB271" s="64"/>
      <c r="AL271" s="65"/>
    </row>
    <row r="272" spans="1:38" collapsed="1" x14ac:dyDescent="0.25">
      <c r="A272" s="5" t="s">
        <v>22</v>
      </c>
      <c r="B272" s="5" t="s">
        <v>49</v>
      </c>
      <c r="C272" s="5" t="s">
        <v>114</v>
      </c>
      <c r="D272" s="6">
        <v>129</v>
      </c>
      <c r="E272" s="53">
        <v>239.59689922480621</v>
      </c>
      <c r="F272" s="6">
        <v>30908</v>
      </c>
      <c r="G272" s="6">
        <v>131.11111111111111</v>
      </c>
      <c r="H272" s="53">
        <v>229.48165254237279</v>
      </c>
      <c r="I272" s="6">
        <v>30087.594444444432</v>
      </c>
      <c r="J272" s="6">
        <v>119</v>
      </c>
      <c r="K272" s="53">
        <v>249.34134453781508</v>
      </c>
      <c r="L272" s="6">
        <v>29671.619999999995</v>
      </c>
      <c r="M272" s="6" t="s">
        <v>364</v>
      </c>
      <c r="N272" s="6" t="s">
        <v>364</v>
      </c>
      <c r="O272" s="6" t="s">
        <v>364</v>
      </c>
      <c r="P272" s="6" t="s">
        <v>364</v>
      </c>
      <c r="Q272" s="6" t="s">
        <v>364</v>
      </c>
      <c r="R272" s="6" t="s">
        <v>364</v>
      </c>
      <c r="S272" s="6" t="s">
        <v>364</v>
      </c>
      <c r="T272" s="6" t="s">
        <v>364</v>
      </c>
      <c r="U272" s="8" t="s">
        <v>364</v>
      </c>
      <c r="V272" s="8" t="s">
        <v>364</v>
      </c>
      <c r="W272" s="8">
        <v>-7.7519379844961239E-2</v>
      </c>
      <c r="X272" s="8">
        <v>-4.0001941244985267E-2</v>
      </c>
      <c r="Y272" s="8">
        <v>-9.2372881355932232E-2</v>
      </c>
      <c r="Z272" s="8">
        <v>-1.3825447069639195E-2</v>
      </c>
      <c r="AA272" s="63" t="s">
        <v>49</v>
      </c>
      <c r="AB272" s="64"/>
      <c r="AL272" s="65"/>
    </row>
    <row r="273" spans="1:38" hidden="1" outlineLevel="1" x14ac:dyDescent="0.25">
      <c r="A273" s="21" t="s">
        <v>22</v>
      </c>
      <c r="B273" s="21" t="s">
        <v>526</v>
      </c>
      <c r="C273" s="21" t="s">
        <v>362</v>
      </c>
      <c r="D273" s="15">
        <v>49</v>
      </c>
      <c r="E273" s="57">
        <v>157.18367346938774</v>
      </c>
      <c r="F273" s="15">
        <v>7702</v>
      </c>
      <c r="G273" s="15">
        <v>52.777777777777779</v>
      </c>
      <c r="H273" s="57">
        <v>163.87084210526319</v>
      </c>
      <c r="I273" s="15">
        <v>8648.7388888888909</v>
      </c>
      <c r="J273" s="15">
        <v>36</v>
      </c>
      <c r="K273" s="57">
        <v>177.6008333333333</v>
      </c>
      <c r="L273" s="15">
        <v>6393.6299999999992</v>
      </c>
      <c r="M273" s="15" t="s">
        <v>364</v>
      </c>
      <c r="N273" s="15" t="s">
        <v>364</v>
      </c>
      <c r="O273" s="15" t="s">
        <v>364</v>
      </c>
      <c r="P273" s="15" t="s">
        <v>364</v>
      </c>
      <c r="Q273" s="15" t="s">
        <v>364</v>
      </c>
      <c r="R273" s="15" t="s">
        <v>364</v>
      </c>
      <c r="S273" s="15" t="s">
        <v>364</v>
      </c>
      <c r="T273" s="15" t="s">
        <v>364</v>
      </c>
      <c r="U273" s="17" t="s">
        <v>364</v>
      </c>
      <c r="V273" s="17" t="s">
        <v>364</v>
      </c>
      <c r="W273" s="17">
        <v>-0.26530612244897961</v>
      </c>
      <c r="X273" s="17">
        <v>-0.16987405868605568</v>
      </c>
      <c r="Y273" s="17">
        <v>-0.31789473684210529</v>
      </c>
      <c r="Z273" s="17">
        <v>-0.26074424466508633</v>
      </c>
      <c r="AA273" s="63" t="s">
        <v>483</v>
      </c>
      <c r="AB273" s="64"/>
      <c r="AL273" s="65"/>
    </row>
    <row r="274" spans="1:38" hidden="1" outlineLevel="1" x14ac:dyDescent="0.25">
      <c r="A274" s="21" t="s">
        <v>22</v>
      </c>
      <c r="B274" s="21" t="s">
        <v>527</v>
      </c>
      <c r="C274" s="21" t="s">
        <v>363</v>
      </c>
      <c r="D274" s="15">
        <v>80</v>
      </c>
      <c r="E274" s="57">
        <v>290.0625</v>
      </c>
      <c r="F274" s="15">
        <v>23205</v>
      </c>
      <c r="G274" s="15">
        <v>78.333333333333343</v>
      </c>
      <c r="H274" s="57">
        <v>273.68751773049627</v>
      </c>
      <c r="I274" s="15">
        <v>21438.855555555543</v>
      </c>
      <c r="J274" s="15">
        <v>83</v>
      </c>
      <c r="K274" s="57">
        <v>280.45771084337349</v>
      </c>
      <c r="L274" s="15">
        <v>23277.989999999998</v>
      </c>
      <c r="M274" s="15" t="s">
        <v>364</v>
      </c>
      <c r="N274" s="15" t="s">
        <v>364</v>
      </c>
      <c r="O274" s="15" t="s">
        <v>364</v>
      </c>
      <c r="P274" s="15" t="s">
        <v>364</v>
      </c>
      <c r="Q274" s="15" t="s">
        <v>364</v>
      </c>
      <c r="R274" s="15" t="s">
        <v>364</v>
      </c>
      <c r="S274" s="15" t="s">
        <v>364</v>
      </c>
      <c r="T274" s="15" t="s">
        <v>364</v>
      </c>
      <c r="U274" s="17" t="s">
        <v>364</v>
      </c>
      <c r="V274" s="17" t="s">
        <v>364</v>
      </c>
      <c r="W274" s="17">
        <v>3.7499999999999999E-2</v>
      </c>
      <c r="X274" s="17">
        <v>3.1454427925015284E-3</v>
      </c>
      <c r="Y274" s="17">
        <v>5.9574468085106254E-2</v>
      </c>
      <c r="Z274" s="17">
        <v>8.5785103578808905E-2</v>
      </c>
      <c r="AA274" s="63" t="s">
        <v>485</v>
      </c>
      <c r="AB274" s="64"/>
      <c r="AL274" s="65"/>
    </row>
    <row r="275" spans="1:38" collapsed="1" x14ac:dyDescent="0.25">
      <c r="A275" s="5" t="s">
        <v>22</v>
      </c>
      <c r="B275" s="5" t="s">
        <v>49</v>
      </c>
      <c r="C275" s="5" t="s">
        <v>115</v>
      </c>
      <c r="D275" s="6">
        <v>77</v>
      </c>
      <c r="E275" s="53">
        <v>665.92207792207796</v>
      </c>
      <c r="F275" s="6">
        <v>51276</v>
      </c>
      <c r="G275" s="6">
        <v>108.8888888888889</v>
      </c>
      <c r="H275" s="53">
        <v>660.86836734693895</v>
      </c>
      <c r="I275" s="6">
        <v>71961.222222222248</v>
      </c>
      <c r="J275" s="6">
        <v>66</v>
      </c>
      <c r="K275" s="53">
        <v>775.95378787878781</v>
      </c>
      <c r="L275" s="6">
        <v>51212.95</v>
      </c>
      <c r="M275" s="6" t="s">
        <v>364</v>
      </c>
      <c r="N275" s="6" t="s">
        <v>364</v>
      </c>
      <c r="O275" s="6" t="s">
        <v>364</v>
      </c>
      <c r="P275" s="6" t="s">
        <v>364</v>
      </c>
      <c r="Q275" s="6" t="s">
        <v>364</v>
      </c>
      <c r="R275" s="6" t="s">
        <v>364</v>
      </c>
      <c r="S275" s="6" t="s">
        <v>364</v>
      </c>
      <c r="T275" s="6" t="s">
        <v>364</v>
      </c>
      <c r="U275" s="8" t="s">
        <v>364</v>
      </c>
      <c r="V275" s="8" t="s">
        <v>364</v>
      </c>
      <c r="W275" s="8">
        <v>-0.14285714285714285</v>
      </c>
      <c r="X275" s="8">
        <v>-1.2296200951712869E-3</v>
      </c>
      <c r="Y275" s="8">
        <v>-0.39387755102040822</v>
      </c>
      <c r="Z275" s="8">
        <v>-0.28832573407591466</v>
      </c>
      <c r="AA275" s="63" t="s">
        <v>49</v>
      </c>
      <c r="AB275" s="64"/>
      <c r="AL275" s="65"/>
    </row>
    <row r="276" spans="1:38" hidden="1" outlineLevel="1" x14ac:dyDescent="0.25">
      <c r="A276" s="21" t="s">
        <v>22</v>
      </c>
      <c r="B276" s="21" t="s">
        <v>528</v>
      </c>
      <c r="C276" s="21" t="s">
        <v>362</v>
      </c>
      <c r="D276" s="15">
        <v>27</v>
      </c>
      <c r="E276" s="57">
        <v>622.62962962962968</v>
      </c>
      <c r="F276" s="15">
        <v>16811</v>
      </c>
      <c r="G276" s="15">
        <v>41.666666666666671</v>
      </c>
      <c r="H276" s="57">
        <v>554.86946666666654</v>
      </c>
      <c r="I276" s="15">
        <v>23119.56111111111</v>
      </c>
      <c r="J276" s="15">
        <v>23</v>
      </c>
      <c r="K276" s="57">
        <v>720.49695652173932</v>
      </c>
      <c r="L276" s="15">
        <v>16571.430000000004</v>
      </c>
      <c r="M276" s="15" t="s">
        <v>364</v>
      </c>
      <c r="N276" s="15" t="s">
        <v>364</v>
      </c>
      <c r="O276" s="15" t="s">
        <v>364</v>
      </c>
      <c r="P276" s="15" t="s">
        <v>364</v>
      </c>
      <c r="Q276" s="15" t="s">
        <v>364</v>
      </c>
      <c r="R276" s="15" t="s">
        <v>364</v>
      </c>
      <c r="S276" s="15" t="s">
        <v>364</v>
      </c>
      <c r="T276" s="15" t="s">
        <v>364</v>
      </c>
      <c r="U276" s="17" t="s">
        <v>364</v>
      </c>
      <c r="V276" s="17" t="s">
        <v>364</v>
      </c>
      <c r="W276" s="17">
        <v>-0.14814814814814814</v>
      </c>
      <c r="X276" s="17">
        <v>-1.425078817440938E-2</v>
      </c>
      <c r="Y276" s="17">
        <v>-0.44800000000000006</v>
      </c>
      <c r="Z276" s="17">
        <v>-0.28322904053590003</v>
      </c>
      <c r="AA276" s="63" t="s">
        <v>483</v>
      </c>
      <c r="AB276" s="64"/>
      <c r="AL276" s="65"/>
    </row>
    <row r="277" spans="1:38" hidden="1" outlineLevel="1" x14ac:dyDescent="0.25">
      <c r="A277" s="21" t="s">
        <v>22</v>
      </c>
      <c r="B277" s="21" t="s">
        <v>529</v>
      </c>
      <c r="C277" s="21" t="s">
        <v>363</v>
      </c>
      <c r="D277" s="15">
        <v>50</v>
      </c>
      <c r="E277" s="57">
        <v>689.3</v>
      </c>
      <c r="F277" s="15">
        <v>34465</v>
      </c>
      <c r="G277" s="15">
        <v>67.222222222222229</v>
      </c>
      <c r="H277" s="57">
        <v>726.57016528925647</v>
      </c>
      <c r="I277" s="15">
        <v>48841.661111111134</v>
      </c>
      <c r="J277" s="15">
        <v>43</v>
      </c>
      <c r="K277" s="57">
        <v>805.61674418604662</v>
      </c>
      <c r="L277" s="15">
        <v>34641.520000000004</v>
      </c>
      <c r="M277" s="15" t="s">
        <v>364</v>
      </c>
      <c r="N277" s="15" t="s">
        <v>364</v>
      </c>
      <c r="O277" s="15" t="s">
        <v>364</v>
      </c>
      <c r="P277" s="15" t="s">
        <v>364</v>
      </c>
      <c r="Q277" s="15" t="s">
        <v>364</v>
      </c>
      <c r="R277" s="15" t="s">
        <v>364</v>
      </c>
      <c r="S277" s="15" t="s">
        <v>364</v>
      </c>
      <c r="T277" s="15" t="s">
        <v>364</v>
      </c>
      <c r="U277" s="17" t="s">
        <v>364</v>
      </c>
      <c r="V277" s="17" t="s">
        <v>364</v>
      </c>
      <c r="W277" s="17">
        <v>-0.14000000000000001</v>
      </c>
      <c r="X277" s="17">
        <v>5.1217176846076913E-3</v>
      </c>
      <c r="Y277" s="17">
        <v>-0.36033057851239675</v>
      </c>
      <c r="Z277" s="17">
        <v>-0.29073829161557113</v>
      </c>
      <c r="AA277" s="63" t="s">
        <v>485</v>
      </c>
      <c r="AB277" s="64"/>
      <c r="AL277" s="65"/>
    </row>
    <row r="278" spans="1:38" collapsed="1" x14ac:dyDescent="0.25">
      <c r="A278" s="5" t="s">
        <v>22</v>
      </c>
      <c r="B278" s="5" t="s">
        <v>49</v>
      </c>
      <c r="C278" s="5" t="s">
        <v>116</v>
      </c>
      <c r="D278" s="6">
        <v>79</v>
      </c>
      <c r="E278" s="53">
        <v>395.1012658227848</v>
      </c>
      <c r="F278" s="6">
        <v>31213</v>
      </c>
      <c r="G278" s="6">
        <v>110</v>
      </c>
      <c r="H278" s="53">
        <v>455.8660606060605</v>
      </c>
      <c r="I278" s="6">
        <v>50145.266666666656</v>
      </c>
      <c r="J278" s="6">
        <v>62</v>
      </c>
      <c r="K278" s="53">
        <v>286.78225806451616</v>
      </c>
      <c r="L278" s="6">
        <v>17780.5</v>
      </c>
      <c r="M278" s="6" t="s">
        <v>364</v>
      </c>
      <c r="N278" s="6" t="s">
        <v>364</v>
      </c>
      <c r="O278" s="6" t="s">
        <v>364</v>
      </c>
      <c r="P278" s="6" t="s">
        <v>364</v>
      </c>
      <c r="Q278" s="6" t="s">
        <v>364</v>
      </c>
      <c r="R278" s="6" t="s">
        <v>364</v>
      </c>
      <c r="S278" s="6" t="s">
        <v>364</v>
      </c>
      <c r="T278" s="6" t="s">
        <v>364</v>
      </c>
      <c r="U278" s="8" t="s">
        <v>364</v>
      </c>
      <c r="V278" s="8" t="s">
        <v>364</v>
      </c>
      <c r="W278" s="8">
        <v>-0.21518987341772153</v>
      </c>
      <c r="X278" s="8">
        <v>-0.43034953384807612</v>
      </c>
      <c r="Y278" s="8">
        <v>-0.43636363636363634</v>
      </c>
      <c r="Z278" s="8">
        <v>-0.64542017259189621</v>
      </c>
      <c r="AA278" s="63" t="s">
        <v>49</v>
      </c>
      <c r="AB278" s="64"/>
      <c r="AL278" s="65"/>
    </row>
    <row r="279" spans="1:38" hidden="1" outlineLevel="1" x14ac:dyDescent="0.25">
      <c r="A279" s="21" t="s">
        <v>22</v>
      </c>
      <c r="B279" s="21" t="s">
        <v>530</v>
      </c>
      <c r="C279" s="21" t="s">
        <v>362</v>
      </c>
      <c r="D279" s="15">
        <v>21</v>
      </c>
      <c r="E279" s="57">
        <v>296.14285714285717</v>
      </c>
      <c r="F279" s="15">
        <v>6219</v>
      </c>
      <c r="G279" s="15">
        <v>36.111111111111114</v>
      </c>
      <c r="H279" s="57">
        <v>336.18369230769235</v>
      </c>
      <c r="I279" s="15">
        <v>12139.966666666669</v>
      </c>
      <c r="J279" s="15">
        <v>9</v>
      </c>
      <c r="K279" s="57">
        <v>256.24444444444447</v>
      </c>
      <c r="L279" s="15">
        <v>2306.2000000000003</v>
      </c>
      <c r="M279" s="15" t="s">
        <v>364</v>
      </c>
      <c r="N279" s="15" t="s">
        <v>364</v>
      </c>
      <c r="O279" s="15" t="s">
        <v>364</v>
      </c>
      <c r="P279" s="15" t="s">
        <v>364</v>
      </c>
      <c r="Q279" s="15" t="s">
        <v>364</v>
      </c>
      <c r="R279" s="15" t="s">
        <v>364</v>
      </c>
      <c r="S279" s="15" t="s">
        <v>364</v>
      </c>
      <c r="T279" s="15" t="s">
        <v>364</v>
      </c>
      <c r="U279" s="17" t="s">
        <v>364</v>
      </c>
      <c r="V279" s="17" t="s">
        <v>364</v>
      </c>
      <c r="W279" s="17">
        <v>-0.5714285714285714</v>
      </c>
      <c r="X279" s="17">
        <v>-0.62916867663611509</v>
      </c>
      <c r="Y279" s="17">
        <v>-0.75076923076923074</v>
      </c>
      <c r="Z279" s="17">
        <v>-0.81003242732681857</v>
      </c>
      <c r="AA279" s="63" t="s">
        <v>483</v>
      </c>
      <c r="AB279" s="64"/>
      <c r="AL279" s="65"/>
    </row>
    <row r="280" spans="1:38" hidden="1" outlineLevel="1" x14ac:dyDescent="0.25">
      <c r="A280" s="21" t="s">
        <v>22</v>
      </c>
      <c r="B280" s="21" t="s">
        <v>531</v>
      </c>
      <c r="C280" s="21" t="s">
        <v>363</v>
      </c>
      <c r="D280" s="15">
        <v>58</v>
      </c>
      <c r="E280" s="57">
        <v>430.94827586206895</v>
      </c>
      <c r="F280" s="15">
        <v>24995</v>
      </c>
      <c r="G280" s="15">
        <v>73.888888888888886</v>
      </c>
      <c r="H280" s="57">
        <v>514.35744360902243</v>
      </c>
      <c r="I280" s="15">
        <v>38005.299999999988</v>
      </c>
      <c r="J280" s="15">
        <v>53</v>
      </c>
      <c r="K280" s="57">
        <v>291.96792452830192</v>
      </c>
      <c r="L280" s="15">
        <v>15474.300000000001</v>
      </c>
      <c r="M280" s="15" t="s">
        <v>364</v>
      </c>
      <c r="N280" s="15" t="s">
        <v>364</v>
      </c>
      <c r="O280" s="15" t="s">
        <v>364</v>
      </c>
      <c r="P280" s="15" t="s">
        <v>364</v>
      </c>
      <c r="Q280" s="15" t="s">
        <v>364</v>
      </c>
      <c r="R280" s="15" t="s">
        <v>364</v>
      </c>
      <c r="S280" s="15" t="s">
        <v>364</v>
      </c>
      <c r="T280" s="15" t="s">
        <v>364</v>
      </c>
      <c r="U280" s="17" t="s">
        <v>364</v>
      </c>
      <c r="V280" s="17" t="s">
        <v>364</v>
      </c>
      <c r="W280" s="17">
        <v>-8.6206896551724144E-2</v>
      </c>
      <c r="X280" s="17">
        <v>-0.38090418083616717</v>
      </c>
      <c r="Y280" s="17">
        <v>-0.28270676691729318</v>
      </c>
      <c r="Z280" s="17">
        <v>-0.59283836728035277</v>
      </c>
      <c r="AA280" s="63" t="s">
        <v>485</v>
      </c>
      <c r="AB280" s="64"/>
      <c r="AL280" s="65"/>
    </row>
    <row r="281" spans="1:38" collapsed="1" x14ac:dyDescent="0.25">
      <c r="A281" s="5" t="s">
        <v>22</v>
      </c>
      <c r="B281" s="5" t="s">
        <v>49</v>
      </c>
      <c r="C281" s="5" t="s">
        <v>117</v>
      </c>
      <c r="D281" s="6">
        <v>241</v>
      </c>
      <c r="E281" s="53">
        <v>430.90871369294604</v>
      </c>
      <c r="F281" s="6">
        <v>103849</v>
      </c>
      <c r="G281" s="6">
        <v>198.33333333333334</v>
      </c>
      <c r="H281" s="53">
        <v>336.38215686274515</v>
      </c>
      <c r="I281" s="6">
        <v>66715.794444444458</v>
      </c>
      <c r="J281" s="6">
        <v>195</v>
      </c>
      <c r="K281" s="53">
        <v>343.26789743589751</v>
      </c>
      <c r="L281" s="6">
        <v>66937.24000000002</v>
      </c>
      <c r="M281" s="6" t="s">
        <v>364</v>
      </c>
      <c r="N281" s="6" t="s">
        <v>364</v>
      </c>
      <c r="O281" s="6" t="s">
        <v>364</v>
      </c>
      <c r="P281" s="6" t="s">
        <v>364</v>
      </c>
      <c r="Q281" s="6" t="s">
        <v>364</v>
      </c>
      <c r="R281" s="6" t="s">
        <v>364</v>
      </c>
      <c r="S281" s="6" t="s">
        <v>364</v>
      </c>
      <c r="T281" s="6" t="s">
        <v>364</v>
      </c>
      <c r="U281" s="8" t="s">
        <v>364</v>
      </c>
      <c r="V281" s="8" t="s">
        <v>364</v>
      </c>
      <c r="W281" s="8">
        <v>-0.1908713692946058</v>
      </c>
      <c r="X281" s="8">
        <v>-0.3554368361756009</v>
      </c>
      <c r="Y281" s="8">
        <v>-1.6806722689075678E-2</v>
      </c>
      <c r="Z281" s="8">
        <v>3.3192373320228312E-3</v>
      </c>
      <c r="AA281" s="63" t="s">
        <v>49</v>
      </c>
      <c r="AB281" s="64"/>
      <c r="AL281" s="65"/>
    </row>
    <row r="282" spans="1:38" hidden="1" outlineLevel="1" x14ac:dyDescent="0.25">
      <c r="A282" s="21" t="s">
        <v>22</v>
      </c>
      <c r="B282" s="21" t="s">
        <v>532</v>
      </c>
      <c r="C282" s="21" t="s">
        <v>362</v>
      </c>
      <c r="D282" s="15">
        <v>161</v>
      </c>
      <c r="E282" s="57">
        <v>423.24223602484471</v>
      </c>
      <c r="F282" s="15">
        <v>68142</v>
      </c>
      <c r="G282" s="15">
        <v>148.88888888888889</v>
      </c>
      <c r="H282" s="57">
        <v>333.07541044776127</v>
      </c>
      <c r="I282" s="15">
        <v>49591.227777777785</v>
      </c>
      <c r="J282" s="15">
        <v>125</v>
      </c>
      <c r="K282" s="57">
        <v>340.91240000000005</v>
      </c>
      <c r="L282" s="15">
        <v>42614.05</v>
      </c>
      <c r="M282" s="15" t="s">
        <v>364</v>
      </c>
      <c r="N282" s="15" t="s">
        <v>364</v>
      </c>
      <c r="O282" s="15" t="s">
        <v>364</v>
      </c>
      <c r="P282" s="15" t="s">
        <v>364</v>
      </c>
      <c r="Q282" s="15" t="s">
        <v>364</v>
      </c>
      <c r="R282" s="15" t="s">
        <v>364</v>
      </c>
      <c r="S282" s="15" t="s">
        <v>364</v>
      </c>
      <c r="T282" s="15" t="s">
        <v>364</v>
      </c>
      <c r="U282" s="17" t="s">
        <v>364</v>
      </c>
      <c r="V282" s="17" t="s">
        <v>364</v>
      </c>
      <c r="W282" s="17">
        <v>-0.2236024844720497</v>
      </c>
      <c r="X282" s="17">
        <v>-0.3746287165037715</v>
      </c>
      <c r="Y282" s="17">
        <v>-0.16044776119402984</v>
      </c>
      <c r="Z282" s="17">
        <v>-0.14069378981789013</v>
      </c>
      <c r="AA282" s="63" t="s">
        <v>483</v>
      </c>
      <c r="AB282" s="64"/>
      <c r="AL282" s="65"/>
    </row>
    <row r="283" spans="1:38" hidden="1" outlineLevel="1" x14ac:dyDescent="0.25">
      <c r="A283" s="21" t="s">
        <v>22</v>
      </c>
      <c r="B283" s="21" t="s">
        <v>533</v>
      </c>
      <c r="C283" s="21" t="s">
        <v>363</v>
      </c>
      <c r="D283" s="15">
        <v>80</v>
      </c>
      <c r="E283" s="57">
        <v>446.33749999999998</v>
      </c>
      <c r="F283" s="15">
        <v>35707</v>
      </c>
      <c r="G283" s="15">
        <v>49.44444444444445</v>
      </c>
      <c r="H283" s="57">
        <v>346.33955056179786</v>
      </c>
      <c r="I283" s="15">
        <v>17124.566666666673</v>
      </c>
      <c r="J283" s="15">
        <v>70</v>
      </c>
      <c r="K283" s="57">
        <v>347.47414285714291</v>
      </c>
      <c r="L283" s="15">
        <v>24323.190000000002</v>
      </c>
      <c r="M283" s="15" t="s">
        <v>364</v>
      </c>
      <c r="N283" s="15" t="s">
        <v>364</v>
      </c>
      <c r="O283" s="15" t="s">
        <v>364</v>
      </c>
      <c r="P283" s="15" t="s">
        <v>364</v>
      </c>
      <c r="Q283" s="15" t="s">
        <v>364</v>
      </c>
      <c r="R283" s="15" t="s">
        <v>364</v>
      </c>
      <c r="S283" s="15" t="s">
        <v>364</v>
      </c>
      <c r="T283" s="15" t="s">
        <v>364</v>
      </c>
      <c r="U283" s="17" t="s">
        <v>364</v>
      </c>
      <c r="V283" s="17" t="s">
        <v>364</v>
      </c>
      <c r="W283" s="17">
        <v>-0.125</v>
      </c>
      <c r="X283" s="17">
        <v>-0.3188117175903884</v>
      </c>
      <c r="Y283" s="17">
        <v>0.41573033707865154</v>
      </c>
      <c r="Z283" s="17">
        <v>0.42036820396428481</v>
      </c>
      <c r="AA283" s="63" t="s">
        <v>485</v>
      </c>
      <c r="AB283" s="64"/>
      <c r="AL283" s="65"/>
    </row>
    <row r="284" spans="1:38" collapsed="1" x14ac:dyDescent="0.25">
      <c r="A284" s="5" t="s">
        <v>22</v>
      </c>
      <c r="B284" s="5" t="s">
        <v>49</v>
      </c>
      <c r="C284" s="5" t="s">
        <v>118</v>
      </c>
      <c r="D284" s="6">
        <v>177</v>
      </c>
      <c r="E284" s="53">
        <v>366.87005649717514</v>
      </c>
      <c r="F284" s="6">
        <v>64936</v>
      </c>
      <c r="G284" s="6">
        <v>263.88888888888891</v>
      </c>
      <c r="H284" s="53">
        <v>337.78873684210606</v>
      </c>
      <c r="I284" s="6">
        <v>89138.694444444656</v>
      </c>
      <c r="J284" s="6">
        <v>237</v>
      </c>
      <c r="K284" s="53">
        <v>328.80421940928267</v>
      </c>
      <c r="L284" s="6">
        <v>77926.599999999991</v>
      </c>
      <c r="M284" s="6" t="s">
        <v>364</v>
      </c>
      <c r="N284" s="6" t="s">
        <v>364</v>
      </c>
      <c r="O284" s="6" t="s">
        <v>364</v>
      </c>
      <c r="P284" s="6" t="s">
        <v>364</v>
      </c>
      <c r="Q284" s="6" t="s">
        <v>364</v>
      </c>
      <c r="R284" s="6" t="s">
        <v>364</v>
      </c>
      <c r="S284" s="6" t="s">
        <v>364</v>
      </c>
      <c r="T284" s="6" t="s">
        <v>364</v>
      </c>
      <c r="U284" s="8" t="s">
        <v>364</v>
      </c>
      <c r="V284" s="8" t="s">
        <v>364</v>
      </c>
      <c r="W284" s="8">
        <v>0.33898305084745761</v>
      </c>
      <c r="X284" s="8">
        <v>0.20005235924602671</v>
      </c>
      <c r="Y284" s="8">
        <v>-0.10189473684210534</v>
      </c>
      <c r="Z284" s="8">
        <v>-0.1257825741595594</v>
      </c>
      <c r="AA284" s="63" t="s">
        <v>49</v>
      </c>
      <c r="AB284" s="64"/>
      <c r="AL284" s="65"/>
    </row>
    <row r="285" spans="1:38" hidden="1" outlineLevel="1" x14ac:dyDescent="0.25">
      <c r="A285" s="21" t="s">
        <v>22</v>
      </c>
      <c r="B285" s="21" t="s">
        <v>534</v>
      </c>
      <c r="C285" s="21" t="s">
        <v>362</v>
      </c>
      <c r="D285" s="15">
        <v>87</v>
      </c>
      <c r="E285" s="57">
        <v>366.73563218390802</v>
      </c>
      <c r="F285" s="15">
        <v>31906</v>
      </c>
      <c r="G285" s="15">
        <v>124.44444444444446</v>
      </c>
      <c r="H285" s="57">
        <v>311.58553571428604</v>
      </c>
      <c r="I285" s="15">
        <v>38775.088888888931</v>
      </c>
      <c r="J285" s="15">
        <v>122</v>
      </c>
      <c r="K285" s="57">
        <v>327.24565573770479</v>
      </c>
      <c r="L285" s="15">
        <v>39923.969999999987</v>
      </c>
      <c r="M285" s="15" t="s">
        <v>364</v>
      </c>
      <c r="N285" s="15" t="s">
        <v>364</v>
      </c>
      <c r="O285" s="15" t="s">
        <v>364</v>
      </c>
      <c r="P285" s="15" t="s">
        <v>364</v>
      </c>
      <c r="Q285" s="15" t="s">
        <v>364</v>
      </c>
      <c r="R285" s="15" t="s">
        <v>364</v>
      </c>
      <c r="S285" s="15" t="s">
        <v>364</v>
      </c>
      <c r="T285" s="15" t="s">
        <v>364</v>
      </c>
      <c r="U285" s="17" t="s">
        <v>364</v>
      </c>
      <c r="V285" s="17" t="s">
        <v>364</v>
      </c>
      <c r="W285" s="17">
        <v>0.40229885057471265</v>
      </c>
      <c r="X285" s="17">
        <v>0.25129975553187445</v>
      </c>
      <c r="Y285" s="17">
        <v>-1.9642857142857243E-2</v>
      </c>
      <c r="Z285" s="17">
        <v>2.9629361119021681E-2</v>
      </c>
      <c r="AA285" s="63" t="s">
        <v>483</v>
      </c>
      <c r="AB285" s="64"/>
      <c r="AL285" s="65"/>
    </row>
    <row r="286" spans="1:38" hidden="1" outlineLevel="1" x14ac:dyDescent="0.25">
      <c r="A286" s="21" t="s">
        <v>22</v>
      </c>
      <c r="B286" s="21" t="s">
        <v>535</v>
      </c>
      <c r="C286" s="21" t="s">
        <v>363</v>
      </c>
      <c r="D286" s="15">
        <v>90</v>
      </c>
      <c r="E286" s="57">
        <v>366.98888888888888</v>
      </c>
      <c r="F286" s="15">
        <v>33029</v>
      </c>
      <c r="G286" s="15">
        <v>139.44444444444446</v>
      </c>
      <c r="H286" s="57">
        <v>361.17326693227204</v>
      </c>
      <c r="I286" s="15">
        <v>50363.605555555718</v>
      </c>
      <c r="J286" s="15">
        <v>115</v>
      </c>
      <c r="K286" s="57">
        <v>330.45765217391306</v>
      </c>
      <c r="L286" s="15">
        <v>38002.630000000005</v>
      </c>
      <c r="M286" s="15" t="s">
        <v>364</v>
      </c>
      <c r="N286" s="15" t="s">
        <v>364</v>
      </c>
      <c r="O286" s="15" t="s">
        <v>364</v>
      </c>
      <c r="P286" s="15" t="s">
        <v>364</v>
      </c>
      <c r="Q286" s="15" t="s">
        <v>364</v>
      </c>
      <c r="R286" s="15" t="s">
        <v>364</v>
      </c>
      <c r="S286" s="15" t="s">
        <v>364</v>
      </c>
      <c r="T286" s="15" t="s">
        <v>364</v>
      </c>
      <c r="U286" s="17" t="s">
        <v>364</v>
      </c>
      <c r="V286" s="17" t="s">
        <v>364</v>
      </c>
      <c r="W286" s="17">
        <v>0.27777777777777779</v>
      </c>
      <c r="X286" s="17">
        <v>0.15058372944987752</v>
      </c>
      <c r="Y286" s="17">
        <v>-0.17529880478087656</v>
      </c>
      <c r="Z286" s="17">
        <v>-0.24543468282707467</v>
      </c>
      <c r="AA286" s="63" t="s">
        <v>485</v>
      </c>
      <c r="AB286" s="64"/>
      <c r="AL286" s="65"/>
    </row>
    <row r="287" spans="1:38" collapsed="1" x14ac:dyDescent="0.25">
      <c r="A287" s="5" t="s">
        <v>22</v>
      </c>
      <c r="B287" s="5" t="s">
        <v>49</v>
      </c>
      <c r="C287" s="5" t="s">
        <v>119</v>
      </c>
      <c r="D287" s="6">
        <v>23</v>
      </c>
      <c r="E287" s="53">
        <v>1257.7391304347825</v>
      </c>
      <c r="F287" s="6">
        <v>28928</v>
      </c>
      <c r="G287" s="6">
        <v>40</v>
      </c>
      <c r="H287" s="53">
        <v>1400.8473611111112</v>
      </c>
      <c r="I287" s="6">
        <v>56033.89444444445</v>
      </c>
      <c r="J287" s="6">
        <v>29</v>
      </c>
      <c r="K287" s="53">
        <v>2294.5479310344826</v>
      </c>
      <c r="L287" s="6">
        <v>66541.89</v>
      </c>
      <c r="M287" s="6" t="s">
        <v>364</v>
      </c>
      <c r="N287" s="6" t="s">
        <v>364</v>
      </c>
      <c r="O287" s="6" t="s">
        <v>364</v>
      </c>
      <c r="P287" s="6" t="s">
        <v>364</v>
      </c>
      <c r="Q287" s="6" t="s">
        <v>364</v>
      </c>
      <c r="R287" s="6" t="s">
        <v>364</v>
      </c>
      <c r="S287" s="6" t="s">
        <v>364</v>
      </c>
      <c r="T287" s="6" t="s">
        <v>364</v>
      </c>
      <c r="U287" s="8" t="s">
        <v>364</v>
      </c>
      <c r="V287" s="8" t="s">
        <v>364</v>
      </c>
      <c r="W287" s="8">
        <v>0.2608695652173913</v>
      </c>
      <c r="X287" s="8">
        <v>1.3002589186946902</v>
      </c>
      <c r="Y287" s="8">
        <v>-0.27500000000000002</v>
      </c>
      <c r="Z287" s="8">
        <v>0.1875292741962428</v>
      </c>
      <c r="AA287" s="63" t="s">
        <v>49</v>
      </c>
      <c r="AB287" s="64"/>
      <c r="AL287" s="65"/>
    </row>
    <row r="288" spans="1:38" hidden="1" outlineLevel="1" x14ac:dyDescent="0.25">
      <c r="A288" s="21" t="s">
        <v>22</v>
      </c>
      <c r="B288" s="21" t="s">
        <v>536</v>
      </c>
      <c r="C288" s="21" t="s">
        <v>362</v>
      </c>
      <c r="D288" s="15">
        <v>9</v>
      </c>
      <c r="E288" s="57">
        <v>325.22222222222223</v>
      </c>
      <c r="F288" s="15">
        <v>2927</v>
      </c>
      <c r="G288" s="15">
        <v>12.222222222222223</v>
      </c>
      <c r="H288" s="57">
        <v>474.19499999999999</v>
      </c>
      <c r="I288" s="15">
        <v>5795.7166666666672</v>
      </c>
      <c r="J288" s="15">
        <v>6</v>
      </c>
      <c r="K288" s="57">
        <v>124.66666666666667</v>
      </c>
      <c r="L288" s="15">
        <v>748</v>
      </c>
      <c r="M288" s="15" t="s">
        <v>364</v>
      </c>
      <c r="N288" s="15" t="s">
        <v>364</v>
      </c>
      <c r="O288" s="15" t="s">
        <v>364</v>
      </c>
      <c r="P288" s="15" t="s">
        <v>364</v>
      </c>
      <c r="Q288" s="15" t="s">
        <v>364</v>
      </c>
      <c r="R288" s="15" t="s">
        <v>364</v>
      </c>
      <c r="S288" s="15" t="s">
        <v>364</v>
      </c>
      <c r="T288" s="15" t="s">
        <v>364</v>
      </c>
      <c r="U288" s="17" t="s">
        <v>364</v>
      </c>
      <c r="V288" s="17" t="s">
        <v>364</v>
      </c>
      <c r="W288" s="17">
        <v>-0.33333333333333331</v>
      </c>
      <c r="X288" s="17">
        <v>-0.74444824051930303</v>
      </c>
      <c r="Y288" s="17">
        <v>-0.50909090909090915</v>
      </c>
      <c r="Z288" s="17">
        <v>-0.87093917059437576</v>
      </c>
      <c r="AA288" s="63" t="s">
        <v>483</v>
      </c>
      <c r="AB288" s="64"/>
      <c r="AL288" s="65"/>
    </row>
    <row r="289" spans="1:38" hidden="1" outlineLevel="1" x14ac:dyDescent="0.25">
      <c r="A289" s="21" t="s">
        <v>22</v>
      </c>
      <c r="B289" s="21" t="s">
        <v>537</v>
      </c>
      <c r="C289" s="21" t="s">
        <v>363</v>
      </c>
      <c r="D289" s="15">
        <v>14</v>
      </c>
      <c r="E289" s="57">
        <v>1857.2142857142858</v>
      </c>
      <c r="F289" s="15">
        <v>26001</v>
      </c>
      <c r="G289" s="15">
        <v>27.777777777777779</v>
      </c>
      <c r="H289" s="57">
        <v>1808.5744000000004</v>
      </c>
      <c r="I289" s="15">
        <v>50238.17777777779</v>
      </c>
      <c r="J289" s="15">
        <v>23</v>
      </c>
      <c r="K289" s="57">
        <v>2860.6039130434783</v>
      </c>
      <c r="L289" s="15">
        <v>65793.89</v>
      </c>
      <c r="M289" s="15" t="s">
        <v>364</v>
      </c>
      <c r="N289" s="15" t="s">
        <v>364</v>
      </c>
      <c r="O289" s="15" t="s">
        <v>364</v>
      </c>
      <c r="P289" s="15" t="s">
        <v>364</v>
      </c>
      <c r="Q289" s="15" t="s">
        <v>364</v>
      </c>
      <c r="R289" s="15" t="s">
        <v>364</v>
      </c>
      <c r="S289" s="15" t="s">
        <v>364</v>
      </c>
      <c r="T289" s="15" t="s">
        <v>364</v>
      </c>
      <c r="U289" s="17" t="s">
        <v>364</v>
      </c>
      <c r="V289" s="17" t="s">
        <v>364</v>
      </c>
      <c r="W289" s="17">
        <v>0.6428571428571429</v>
      </c>
      <c r="X289" s="17">
        <v>1.5304369062728356</v>
      </c>
      <c r="Y289" s="17">
        <v>-0.17200000000000001</v>
      </c>
      <c r="Z289" s="17">
        <v>0.30963926062427921</v>
      </c>
      <c r="AA289" s="63" t="s">
        <v>485</v>
      </c>
      <c r="AB289" s="64"/>
      <c r="AL289" s="65"/>
    </row>
    <row r="290" spans="1:38" collapsed="1" x14ac:dyDescent="0.25">
      <c r="A290" s="5" t="s">
        <v>22</v>
      </c>
      <c r="B290" s="5" t="s">
        <v>49</v>
      </c>
      <c r="C290" s="5" t="s">
        <v>120</v>
      </c>
      <c r="D290" s="6">
        <v>0</v>
      </c>
      <c r="E290" s="53" t="s">
        <v>364</v>
      </c>
      <c r="F290" s="6">
        <v>0</v>
      </c>
      <c r="G290" s="6">
        <v>0</v>
      </c>
      <c r="H290" s="53" t="s">
        <v>364</v>
      </c>
      <c r="I290" s="6">
        <v>112.5</v>
      </c>
      <c r="J290" s="6">
        <v>0</v>
      </c>
      <c r="K290" s="53" t="s">
        <v>364</v>
      </c>
      <c r="L290" s="6">
        <v>955</v>
      </c>
      <c r="M290" s="6" t="s">
        <v>364</v>
      </c>
      <c r="N290" s="6" t="s">
        <v>364</v>
      </c>
      <c r="O290" s="6" t="s">
        <v>364</v>
      </c>
      <c r="P290" s="6" t="s">
        <v>364</v>
      </c>
      <c r="Q290" s="6" t="s">
        <v>364</v>
      </c>
      <c r="R290" s="6" t="s">
        <v>364</v>
      </c>
      <c r="S290" s="6" t="s">
        <v>364</v>
      </c>
      <c r="T290" s="6" t="s">
        <v>364</v>
      </c>
      <c r="U290" s="8" t="s">
        <v>364</v>
      </c>
      <c r="V290" s="8" t="s">
        <v>364</v>
      </c>
      <c r="W290" s="8" t="s">
        <v>364</v>
      </c>
      <c r="X290" s="8" t="s">
        <v>364</v>
      </c>
      <c r="Y290" s="8" t="s">
        <v>364</v>
      </c>
      <c r="Z290" s="8">
        <v>7.4888888888888889</v>
      </c>
      <c r="AA290" s="63" t="s">
        <v>49</v>
      </c>
      <c r="AB290" s="64"/>
      <c r="AL290" s="65"/>
    </row>
    <row r="291" spans="1:38" hidden="1" outlineLevel="1" x14ac:dyDescent="0.25">
      <c r="A291" s="21" t="s">
        <v>22</v>
      </c>
      <c r="B291" s="21" t="s">
        <v>538</v>
      </c>
      <c r="C291" s="21" t="s">
        <v>362</v>
      </c>
      <c r="D291" s="15">
        <v>0</v>
      </c>
      <c r="E291" s="57" t="s">
        <v>364</v>
      </c>
      <c r="F291" s="15">
        <v>0</v>
      </c>
      <c r="G291" s="15">
        <v>0</v>
      </c>
      <c r="H291" s="57" t="s">
        <v>364</v>
      </c>
      <c r="I291" s="15">
        <v>0</v>
      </c>
      <c r="J291" s="15">
        <v>0</v>
      </c>
      <c r="K291" s="57" t="s">
        <v>364</v>
      </c>
      <c r="L291" s="15">
        <v>0</v>
      </c>
      <c r="M291" s="15" t="s">
        <v>364</v>
      </c>
      <c r="N291" s="15" t="s">
        <v>364</v>
      </c>
      <c r="O291" s="15" t="s">
        <v>364</v>
      </c>
      <c r="P291" s="15" t="s">
        <v>364</v>
      </c>
      <c r="Q291" s="15" t="s">
        <v>364</v>
      </c>
      <c r="R291" s="15" t="s">
        <v>364</v>
      </c>
      <c r="S291" s="15" t="s">
        <v>364</v>
      </c>
      <c r="T291" s="15" t="s">
        <v>364</v>
      </c>
      <c r="U291" s="17" t="s">
        <v>364</v>
      </c>
      <c r="V291" s="17" t="s">
        <v>364</v>
      </c>
      <c r="W291" s="17" t="s">
        <v>364</v>
      </c>
      <c r="X291" s="17" t="s">
        <v>364</v>
      </c>
      <c r="Y291" s="17" t="s">
        <v>364</v>
      </c>
      <c r="Z291" s="17" t="s">
        <v>364</v>
      </c>
      <c r="AA291" s="63" t="s">
        <v>483</v>
      </c>
      <c r="AB291" s="64"/>
      <c r="AL291" s="65"/>
    </row>
    <row r="292" spans="1:38" hidden="1" outlineLevel="1" x14ac:dyDescent="0.25">
      <c r="A292" s="21" t="s">
        <v>22</v>
      </c>
      <c r="B292" s="21" t="s">
        <v>539</v>
      </c>
      <c r="C292" s="21" t="s">
        <v>363</v>
      </c>
      <c r="D292" s="15">
        <v>0</v>
      </c>
      <c r="E292" s="57" t="s">
        <v>364</v>
      </c>
      <c r="F292" s="15">
        <v>0</v>
      </c>
      <c r="G292" s="15">
        <v>0</v>
      </c>
      <c r="H292" s="57" t="s">
        <v>364</v>
      </c>
      <c r="I292" s="15">
        <v>112.5</v>
      </c>
      <c r="J292" s="15">
        <v>0</v>
      </c>
      <c r="K292" s="57" t="s">
        <v>364</v>
      </c>
      <c r="L292" s="15">
        <v>955</v>
      </c>
      <c r="M292" s="15" t="s">
        <v>364</v>
      </c>
      <c r="N292" s="15" t="s">
        <v>364</v>
      </c>
      <c r="O292" s="15" t="s">
        <v>364</v>
      </c>
      <c r="P292" s="15" t="s">
        <v>364</v>
      </c>
      <c r="Q292" s="15" t="s">
        <v>364</v>
      </c>
      <c r="R292" s="15" t="s">
        <v>364</v>
      </c>
      <c r="S292" s="15" t="s">
        <v>364</v>
      </c>
      <c r="T292" s="15" t="s">
        <v>364</v>
      </c>
      <c r="U292" s="17" t="s">
        <v>364</v>
      </c>
      <c r="V292" s="17" t="s">
        <v>364</v>
      </c>
      <c r="W292" s="17" t="s">
        <v>364</v>
      </c>
      <c r="X292" s="17" t="s">
        <v>364</v>
      </c>
      <c r="Y292" s="17" t="s">
        <v>364</v>
      </c>
      <c r="Z292" s="17">
        <v>7.4888888888888889</v>
      </c>
      <c r="AA292" s="63" t="s">
        <v>485</v>
      </c>
      <c r="AB292" s="64"/>
      <c r="AL292" s="65"/>
    </row>
    <row r="293" spans="1:38" collapsed="1" x14ac:dyDescent="0.25">
      <c r="A293" s="5" t="s">
        <v>22</v>
      </c>
      <c r="B293" s="5" t="s">
        <v>49</v>
      </c>
      <c r="C293" s="5" t="s">
        <v>121</v>
      </c>
      <c r="D293" s="6">
        <v>0</v>
      </c>
      <c r="E293" s="53" t="s">
        <v>364</v>
      </c>
      <c r="F293" s="6">
        <v>0</v>
      </c>
      <c r="G293" s="6">
        <v>1.1111111111111112</v>
      </c>
      <c r="H293" s="53">
        <v>3140.2299999999996</v>
      </c>
      <c r="I293" s="6">
        <v>3489.1444444444442</v>
      </c>
      <c r="J293" s="6">
        <v>2</v>
      </c>
      <c r="K293" s="53">
        <v>1488.2399999999998</v>
      </c>
      <c r="L293" s="6">
        <v>2976.4799999999996</v>
      </c>
      <c r="M293" s="6" t="s">
        <v>364</v>
      </c>
      <c r="N293" s="6" t="s">
        <v>364</v>
      </c>
      <c r="O293" s="6" t="s">
        <v>364</v>
      </c>
      <c r="P293" s="6" t="s">
        <v>364</v>
      </c>
      <c r="Q293" s="6" t="s">
        <v>364</v>
      </c>
      <c r="R293" s="6" t="s">
        <v>364</v>
      </c>
      <c r="S293" s="6" t="s">
        <v>364</v>
      </c>
      <c r="T293" s="6" t="s">
        <v>364</v>
      </c>
      <c r="U293" s="8" t="s">
        <v>364</v>
      </c>
      <c r="V293" s="8" t="s">
        <v>364</v>
      </c>
      <c r="W293" s="8" t="s">
        <v>364</v>
      </c>
      <c r="X293" s="8" t="s">
        <v>364</v>
      </c>
      <c r="Y293" s="8">
        <v>0.79999999999999993</v>
      </c>
      <c r="Z293" s="8">
        <v>-0.14693127573458001</v>
      </c>
      <c r="AA293" s="63" t="s">
        <v>49</v>
      </c>
      <c r="AB293" s="64"/>
      <c r="AL293" s="65"/>
    </row>
    <row r="294" spans="1:38" hidden="1" outlineLevel="1" x14ac:dyDescent="0.25">
      <c r="A294" s="21" t="s">
        <v>22</v>
      </c>
      <c r="B294" s="21" t="s">
        <v>540</v>
      </c>
      <c r="C294" s="21" t="s">
        <v>362</v>
      </c>
      <c r="D294" s="15">
        <v>0</v>
      </c>
      <c r="E294" s="57" t="s">
        <v>364</v>
      </c>
      <c r="F294" s="15">
        <v>0</v>
      </c>
      <c r="G294" s="15">
        <v>0.55555555555555558</v>
      </c>
      <c r="H294" s="57">
        <v>1727.8</v>
      </c>
      <c r="I294" s="15">
        <v>959.88888888888891</v>
      </c>
      <c r="J294" s="15">
        <v>1</v>
      </c>
      <c r="K294" s="57">
        <v>2295.15</v>
      </c>
      <c r="L294" s="15">
        <v>2295.15</v>
      </c>
      <c r="M294" s="15" t="s">
        <v>364</v>
      </c>
      <c r="N294" s="15" t="s">
        <v>364</v>
      </c>
      <c r="O294" s="15" t="s">
        <v>364</v>
      </c>
      <c r="P294" s="15" t="s">
        <v>364</v>
      </c>
      <c r="Q294" s="15" t="s">
        <v>364</v>
      </c>
      <c r="R294" s="15" t="s">
        <v>364</v>
      </c>
      <c r="S294" s="15" t="s">
        <v>364</v>
      </c>
      <c r="T294" s="15" t="s">
        <v>364</v>
      </c>
      <c r="U294" s="17" t="s">
        <v>364</v>
      </c>
      <c r="V294" s="17" t="s">
        <v>364</v>
      </c>
      <c r="W294" s="17" t="s">
        <v>364</v>
      </c>
      <c r="X294" s="17" t="s">
        <v>364</v>
      </c>
      <c r="Y294" s="17">
        <v>0.79999999999999993</v>
      </c>
      <c r="Z294" s="17">
        <v>1.3910579928232434</v>
      </c>
      <c r="AA294" s="63" t="s">
        <v>483</v>
      </c>
      <c r="AB294" s="64"/>
      <c r="AL294" s="65"/>
    </row>
    <row r="295" spans="1:38" hidden="1" outlineLevel="1" x14ac:dyDescent="0.25">
      <c r="A295" s="21" t="s">
        <v>22</v>
      </c>
      <c r="B295" s="21" t="s">
        <v>541</v>
      </c>
      <c r="C295" s="21" t="s">
        <v>363</v>
      </c>
      <c r="D295" s="15">
        <v>0</v>
      </c>
      <c r="E295" s="57" t="s">
        <v>364</v>
      </c>
      <c r="F295" s="15">
        <v>0</v>
      </c>
      <c r="G295" s="15">
        <v>0.55555555555555558</v>
      </c>
      <c r="H295" s="57">
        <v>4552.6599999999989</v>
      </c>
      <c r="I295" s="15">
        <v>2529.255555555555</v>
      </c>
      <c r="J295" s="15">
        <v>1</v>
      </c>
      <c r="K295" s="57">
        <v>681.33</v>
      </c>
      <c r="L295" s="15">
        <v>681.33</v>
      </c>
      <c r="M295" s="15" t="s">
        <v>364</v>
      </c>
      <c r="N295" s="15" t="s">
        <v>364</v>
      </c>
      <c r="O295" s="15" t="s">
        <v>364</v>
      </c>
      <c r="P295" s="15" t="s">
        <v>364</v>
      </c>
      <c r="Q295" s="15" t="s">
        <v>364</v>
      </c>
      <c r="R295" s="15" t="s">
        <v>364</v>
      </c>
      <c r="S295" s="15" t="s">
        <v>364</v>
      </c>
      <c r="T295" s="15" t="s">
        <v>364</v>
      </c>
      <c r="U295" s="17" t="s">
        <v>364</v>
      </c>
      <c r="V295" s="17" t="s">
        <v>364</v>
      </c>
      <c r="W295" s="17" t="s">
        <v>364</v>
      </c>
      <c r="X295" s="17" t="s">
        <v>364</v>
      </c>
      <c r="Y295" s="17">
        <v>0.79999999999999993</v>
      </c>
      <c r="Z295" s="17">
        <v>-0.73062034063602377</v>
      </c>
      <c r="AA295" s="63" t="s">
        <v>485</v>
      </c>
      <c r="AB295" s="64"/>
      <c r="AL295" s="65"/>
    </row>
    <row r="296" spans="1:38" collapsed="1" x14ac:dyDescent="0.25">
      <c r="A296" s="5" t="s">
        <v>22</v>
      </c>
      <c r="B296" s="5" t="s">
        <v>49</v>
      </c>
      <c r="C296" s="5" t="s">
        <v>122</v>
      </c>
      <c r="D296" s="6">
        <v>0</v>
      </c>
      <c r="E296" s="53" t="s">
        <v>364</v>
      </c>
      <c r="F296" s="6">
        <v>0</v>
      </c>
      <c r="G296" s="6">
        <v>0</v>
      </c>
      <c r="H296" s="53" t="s">
        <v>364</v>
      </c>
      <c r="I296" s="6">
        <v>0</v>
      </c>
      <c r="J296" s="6">
        <v>0</v>
      </c>
      <c r="K296" s="53" t="s">
        <v>364</v>
      </c>
      <c r="L296" s="6">
        <v>217.45</v>
      </c>
      <c r="M296" s="6" t="s">
        <v>364</v>
      </c>
      <c r="N296" s="6" t="s">
        <v>364</v>
      </c>
      <c r="O296" s="6" t="s">
        <v>364</v>
      </c>
      <c r="P296" s="6" t="s">
        <v>364</v>
      </c>
      <c r="Q296" s="6" t="s">
        <v>364</v>
      </c>
      <c r="R296" s="6" t="s">
        <v>364</v>
      </c>
      <c r="S296" s="6" t="s">
        <v>364</v>
      </c>
      <c r="T296" s="6" t="s">
        <v>364</v>
      </c>
      <c r="U296" s="8" t="s">
        <v>364</v>
      </c>
      <c r="V296" s="8" t="s">
        <v>364</v>
      </c>
      <c r="W296" s="8" t="s">
        <v>364</v>
      </c>
      <c r="X296" s="8" t="s">
        <v>364</v>
      </c>
      <c r="Y296" s="8" t="s">
        <v>364</v>
      </c>
      <c r="Z296" s="8" t="s">
        <v>364</v>
      </c>
      <c r="AA296" s="63" t="s">
        <v>49</v>
      </c>
      <c r="AB296" s="64"/>
      <c r="AL296" s="65"/>
    </row>
    <row r="297" spans="1:38" hidden="1" outlineLevel="1" x14ac:dyDescent="0.25">
      <c r="A297" s="21" t="s">
        <v>22</v>
      </c>
      <c r="B297" s="21" t="s">
        <v>542</v>
      </c>
      <c r="C297" s="21" t="s">
        <v>362</v>
      </c>
      <c r="D297" s="15">
        <v>0</v>
      </c>
      <c r="E297" s="57" t="s">
        <v>364</v>
      </c>
      <c r="F297" s="15">
        <v>0</v>
      </c>
      <c r="G297" s="15">
        <v>0</v>
      </c>
      <c r="H297" s="57" t="s">
        <v>364</v>
      </c>
      <c r="I297" s="15">
        <v>0</v>
      </c>
      <c r="J297" s="15">
        <v>0</v>
      </c>
      <c r="K297" s="57" t="s">
        <v>364</v>
      </c>
      <c r="L297" s="15">
        <v>0</v>
      </c>
      <c r="M297" s="15" t="s">
        <v>364</v>
      </c>
      <c r="N297" s="15" t="s">
        <v>364</v>
      </c>
      <c r="O297" s="15" t="s">
        <v>364</v>
      </c>
      <c r="P297" s="15" t="s">
        <v>364</v>
      </c>
      <c r="Q297" s="15" t="s">
        <v>364</v>
      </c>
      <c r="R297" s="15" t="s">
        <v>364</v>
      </c>
      <c r="S297" s="15" t="s">
        <v>364</v>
      </c>
      <c r="T297" s="15" t="s">
        <v>364</v>
      </c>
      <c r="U297" s="17" t="s">
        <v>364</v>
      </c>
      <c r="V297" s="17" t="s">
        <v>364</v>
      </c>
      <c r="W297" s="17" t="s">
        <v>364</v>
      </c>
      <c r="X297" s="17" t="s">
        <v>364</v>
      </c>
      <c r="Y297" s="17" t="s">
        <v>364</v>
      </c>
      <c r="Z297" s="17" t="s">
        <v>364</v>
      </c>
      <c r="AA297" s="63" t="s">
        <v>483</v>
      </c>
      <c r="AB297" s="64"/>
      <c r="AL297" s="65"/>
    </row>
    <row r="298" spans="1:38" hidden="1" outlineLevel="1" x14ac:dyDescent="0.25">
      <c r="A298" s="21" t="s">
        <v>22</v>
      </c>
      <c r="B298" s="21" t="s">
        <v>543</v>
      </c>
      <c r="C298" s="21" t="s">
        <v>363</v>
      </c>
      <c r="D298" s="15">
        <v>0</v>
      </c>
      <c r="E298" s="57" t="s">
        <v>364</v>
      </c>
      <c r="F298" s="15">
        <v>0</v>
      </c>
      <c r="G298" s="15">
        <v>0</v>
      </c>
      <c r="H298" s="57" t="s">
        <v>364</v>
      </c>
      <c r="I298" s="15">
        <v>0</v>
      </c>
      <c r="J298" s="15">
        <v>0</v>
      </c>
      <c r="K298" s="57" t="s">
        <v>364</v>
      </c>
      <c r="L298" s="15">
        <v>217.45</v>
      </c>
      <c r="M298" s="15" t="s">
        <v>364</v>
      </c>
      <c r="N298" s="15" t="s">
        <v>364</v>
      </c>
      <c r="O298" s="15" t="s">
        <v>364</v>
      </c>
      <c r="P298" s="15" t="s">
        <v>364</v>
      </c>
      <c r="Q298" s="15" t="s">
        <v>364</v>
      </c>
      <c r="R298" s="15" t="s">
        <v>364</v>
      </c>
      <c r="S298" s="15" t="s">
        <v>364</v>
      </c>
      <c r="T298" s="15" t="s">
        <v>364</v>
      </c>
      <c r="U298" s="17" t="s">
        <v>364</v>
      </c>
      <c r="V298" s="17" t="s">
        <v>364</v>
      </c>
      <c r="W298" s="17" t="s">
        <v>364</v>
      </c>
      <c r="X298" s="17" t="s">
        <v>364</v>
      </c>
      <c r="Y298" s="17" t="s">
        <v>364</v>
      </c>
      <c r="Z298" s="17" t="s">
        <v>364</v>
      </c>
      <c r="AA298" s="63" t="s">
        <v>485</v>
      </c>
      <c r="AB298" s="64"/>
      <c r="AL298" s="65"/>
    </row>
    <row r="299" spans="1:38" collapsed="1" x14ac:dyDescent="0.25">
      <c r="A299" s="5" t="s">
        <v>22</v>
      </c>
      <c r="B299" s="5" t="s">
        <v>49</v>
      </c>
      <c r="C299" s="5" t="s">
        <v>123</v>
      </c>
      <c r="D299" s="6">
        <v>3</v>
      </c>
      <c r="E299" s="53">
        <v>1656</v>
      </c>
      <c r="F299" s="6">
        <v>4968</v>
      </c>
      <c r="G299" s="6">
        <v>0.55555555555555558</v>
      </c>
      <c r="H299" s="53">
        <v>831.69999999999993</v>
      </c>
      <c r="I299" s="6">
        <v>462.05555555555554</v>
      </c>
      <c r="J299" s="6">
        <v>7</v>
      </c>
      <c r="K299" s="53">
        <v>865.04857142857145</v>
      </c>
      <c r="L299" s="6">
        <v>6055.34</v>
      </c>
      <c r="M299" s="6" t="s">
        <v>364</v>
      </c>
      <c r="N299" s="6" t="s">
        <v>364</v>
      </c>
      <c r="O299" s="6" t="s">
        <v>364</v>
      </c>
      <c r="P299" s="6" t="s">
        <v>364</v>
      </c>
      <c r="Q299" s="6" t="s">
        <v>364</v>
      </c>
      <c r="R299" s="6" t="s">
        <v>364</v>
      </c>
      <c r="S299" s="6" t="s">
        <v>364</v>
      </c>
      <c r="T299" s="6" t="s">
        <v>364</v>
      </c>
      <c r="U299" s="8" t="s">
        <v>364</v>
      </c>
      <c r="V299" s="8" t="s">
        <v>364</v>
      </c>
      <c r="W299" s="8">
        <v>1.3333333333333333</v>
      </c>
      <c r="X299" s="8">
        <v>0.21886876006441228</v>
      </c>
      <c r="Y299" s="8">
        <v>11.6</v>
      </c>
      <c r="Z299" s="8">
        <v>12.105220632439583</v>
      </c>
      <c r="AA299" s="63" t="s">
        <v>49</v>
      </c>
      <c r="AB299" s="64"/>
      <c r="AL299" s="65"/>
    </row>
    <row r="300" spans="1:38" hidden="1" outlineLevel="1" x14ac:dyDescent="0.25">
      <c r="A300" s="21" t="s">
        <v>22</v>
      </c>
      <c r="B300" s="21" t="s">
        <v>544</v>
      </c>
      <c r="C300" s="21" t="s">
        <v>362</v>
      </c>
      <c r="D300" s="15">
        <v>1</v>
      </c>
      <c r="E300" s="57">
        <v>1550</v>
      </c>
      <c r="F300" s="15">
        <v>1550</v>
      </c>
      <c r="G300" s="15">
        <v>0</v>
      </c>
      <c r="H300" s="57" t="s">
        <v>364</v>
      </c>
      <c r="I300" s="15">
        <v>0</v>
      </c>
      <c r="J300" s="15">
        <v>4</v>
      </c>
      <c r="K300" s="57">
        <v>658.245</v>
      </c>
      <c r="L300" s="15">
        <v>2632.98</v>
      </c>
      <c r="M300" s="15" t="s">
        <v>364</v>
      </c>
      <c r="N300" s="15" t="s">
        <v>364</v>
      </c>
      <c r="O300" s="15" t="s">
        <v>364</v>
      </c>
      <c r="P300" s="15" t="s">
        <v>364</v>
      </c>
      <c r="Q300" s="15" t="s">
        <v>364</v>
      </c>
      <c r="R300" s="15" t="s">
        <v>364</v>
      </c>
      <c r="S300" s="15" t="s">
        <v>364</v>
      </c>
      <c r="T300" s="15" t="s">
        <v>364</v>
      </c>
      <c r="U300" s="17" t="s">
        <v>364</v>
      </c>
      <c r="V300" s="17" t="s">
        <v>364</v>
      </c>
      <c r="W300" s="17">
        <v>3</v>
      </c>
      <c r="X300" s="17">
        <v>0.69869677419354836</v>
      </c>
      <c r="Y300" s="17" t="s">
        <v>364</v>
      </c>
      <c r="Z300" s="17" t="s">
        <v>364</v>
      </c>
      <c r="AA300" s="63" t="s">
        <v>483</v>
      </c>
      <c r="AB300" s="64"/>
      <c r="AL300" s="65"/>
    </row>
    <row r="301" spans="1:38" hidden="1" outlineLevel="1" x14ac:dyDescent="0.25">
      <c r="A301" s="21" t="s">
        <v>22</v>
      </c>
      <c r="B301" s="21" t="s">
        <v>545</v>
      </c>
      <c r="C301" s="21" t="s">
        <v>363</v>
      </c>
      <c r="D301" s="15">
        <v>2</v>
      </c>
      <c r="E301" s="57">
        <v>1709.5</v>
      </c>
      <c r="F301" s="15">
        <v>3419</v>
      </c>
      <c r="G301" s="15">
        <v>0.55555555555555558</v>
      </c>
      <c r="H301" s="57">
        <v>831.69999999999993</v>
      </c>
      <c r="I301" s="15">
        <v>462.05555555555554</v>
      </c>
      <c r="J301" s="15">
        <v>3</v>
      </c>
      <c r="K301" s="57">
        <v>1140.7866666666666</v>
      </c>
      <c r="L301" s="15">
        <v>3422.3599999999997</v>
      </c>
      <c r="M301" s="15" t="s">
        <v>364</v>
      </c>
      <c r="N301" s="15" t="s">
        <v>364</v>
      </c>
      <c r="O301" s="15" t="s">
        <v>364</v>
      </c>
      <c r="P301" s="15" t="s">
        <v>364</v>
      </c>
      <c r="Q301" s="15" t="s">
        <v>364</v>
      </c>
      <c r="R301" s="15" t="s">
        <v>364</v>
      </c>
      <c r="S301" s="15" t="s">
        <v>364</v>
      </c>
      <c r="T301" s="15" t="s">
        <v>364</v>
      </c>
      <c r="U301" s="17" t="s">
        <v>364</v>
      </c>
      <c r="V301" s="17" t="s">
        <v>364</v>
      </c>
      <c r="W301" s="17">
        <v>0.5</v>
      </c>
      <c r="X301" s="17">
        <v>9.8274349224909989E-4</v>
      </c>
      <c r="Y301" s="17">
        <v>4.4000000000000004</v>
      </c>
      <c r="Z301" s="17">
        <v>6.4068149573163389</v>
      </c>
      <c r="AA301" s="63" t="s">
        <v>485</v>
      </c>
      <c r="AB301" s="64"/>
      <c r="AL301" s="65"/>
    </row>
    <row r="302" spans="1:38" collapsed="1" x14ac:dyDescent="0.25">
      <c r="A302" s="5" t="s">
        <v>22</v>
      </c>
      <c r="B302" s="5" t="s">
        <v>49</v>
      </c>
      <c r="C302" s="5" t="s">
        <v>124</v>
      </c>
      <c r="D302" s="6">
        <v>26</v>
      </c>
      <c r="E302" s="53">
        <v>2760.8076923076924</v>
      </c>
      <c r="F302" s="6">
        <v>71781</v>
      </c>
      <c r="G302" s="6">
        <v>33.333333333333336</v>
      </c>
      <c r="H302" s="53">
        <v>2099.75</v>
      </c>
      <c r="I302" s="6">
        <v>69991.666666666672</v>
      </c>
      <c r="J302" s="6">
        <v>18</v>
      </c>
      <c r="K302" s="53">
        <v>846.66666666666663</v>
      </c>
      <c r="L302" s="6">
        <v>15240</v>
      </c>
      <c r="M302" s="6" t="s">
        <v>364</v>
      </c>
      <c r="N302" s="6" t="s">
        <v>364</v>
      </c>
      <c r="O302" s="6" t="s">
        <v>364</v>
      </c>
      <c r="P302" s="6" t="s">
        <v>364</v>
      </c>
      <c r="Q302" s="6" t="s">
        <v>364</v>
      </c>
      <c r="R302" s="6" t="s">
        <v>364</v>
      </c>
      <c r="S302" s="6" t="s">
        <v>364</v>
      </c>
      <c r="T302" s="6" t="s">
        <v>364</v>
      </c>
      <c r="U302" s="8" t="s">
        <v>364</v>
      </c>
      <c r="V302" s="8" t="s">
        <v>364</v>
      </c>
      <c r="W302" s="8">
        <v>-0.30769230769230771</v>
      </c>
      <c r="X302" s="8">
        <v>-0.78768754963012499</v>
      </c>
      <c r="Y302" s="8">
        <v>-0.46</v>
      </c>
      <c r="Z302" s="8">
        <v>-0.78225979283248004</v>
      </c>
      <c r="AA302" s="63" t="s">
        <v>49</v>
      </c>
      <c r="AB302" s="64"/>
      <c r="AL302" s="65"/>
    </row>
    <row r="303" spans="1:38" hidden="1" outlineLevel="1" x14ac:dyDescent="0.25">
      <c r="A303" s="21" t="s">
        <v>22</v>
      </c>
      <c r="B303" s="21" t="s">
        <v>546</v>
      </c>
      <c r="C303" s="21" t="s">
        <v>362</v>
      </c>
      <c r="D303" s="15">
        <v>0</v>
      </c>
      <c r="E303" s="57" t="s">
        <v>364</v>
      </c>
      <c r="F303" s="15">
        <v>0</v>
      </c>
      <c r="G303" s="15">
        <v>0</v>
      </c>
      <c r="H303" s="57" t="s">
        <v>364</v>
      </c>
      <c r="I303" s="15">
        <v>0</v>
      </c>
      <c r="J303" s="15">
        <v>0</v>
      </c>
      <c r="K303" s="57" t="s">
        <v>364</v>
      </c>
      <c r="L303" s="15">
        <v>0</v>
      </c>
      <c r="M303" s="15" t="s">
        <v>364</v>
      </c>
      <c r="N303" s="15" t="s">
        <v>364</v>
      </c>
      <c r="O303" s="15" t="s">
        <v>364</v>
      </c>
      <c r="P303" s="15" t="s">
        <v>364</v>
      </c>
      <c r="Q303" s="15" t="s">
        <v>364</v>
      </c>
      <c r="R303" s="15" t="s">
        <v>364</v>
      </c>
      <c r="S303" s="15" t="s">
        <v>364</v>
      </c>
      <c r="T303" s="15" t="s">
        <v>364</v>
      </c>
      <c r="U303" s="17" t="s">
        <v>364</v>
      </c>
      <c r="V303" s="17" t="s">
        <v>364</v>
      </c>
      <c r="W303" s="17" t="s">
        <v>364</v>
      </c>
      <c r="X303" s="17" t="s">
        <v>364</v>
      </c>
      <c r="Y303" s="17" t="s">
        <v>364</v>
      </c>
      <c r="Z303" s="17" t="s">
        <v>364</v>
      </c>
      <c r="AA303" s="63" t="s">
        <v>483</v>
      </c>
      <c r="AB303" s="64"/>
      <c r="AL303" s="65"/>
    </row>
    <row r="304" spans="1:38" hidden="1" outlineLevel="1" x14ac:dyDescent="0.25">
      <c r="A304" s="21" t="s">
        <v>22</v>
      </c>
      <c r="B304" s="21" t="s">
        <v>547</v>
      </c>
      <c r="C304" s="21" t="s">
        <v>363</v>
      </c>
      <c r="D304" s="15">
        <v>26</v>
      </c>
      <c r="E304" s="57">
        <v>2760.8076923076924</v>
      </c>
      <c r="F304" s="15">
        <v>71781</v>
      </c>
      <c r="G304" s="15">
        <v>33.333333333333336</v>
      </c>
      <c r="H304" s="57">
        <v>2099.75</v>
      </c>
      <c r="I304" s="15">
        <v>69991.666666666672</v>
      </c>
      <c r="J304" s="15">
        <v>18</v>
      </c>
      <c r="K304" s="57">
        <v>846.66666666666663</v>
      </c>
      <c r="L304" s="15">
        <v>15240</v>
      </c>
      <c r="M304" s="15" t="s">
        <v>364</v>
      </c>
      <c r="N304" s="15" t="s">
        <v>364</v>
      </c>
      <c r="O304" s="15" t="s">
        <v>364</v>
      </c>
      <c r="P304" s="15" t="s">
        <v>364</v>
      </c>
      <c r="Q304" s="15" t="s">
        <v>364</v>
      </c>
      <c r="R304" s="15" t="s">
        <v>364</v>
      </c>
      <c r="S304" s="15" t="s">
        <v>364</v>
      </c>
      <c r="T304" s="15" t="s">
        <v>364</v>
      </c>
      <c r="U304" s="17" t="s">
        <v>364</v>
      </c>
      <c r="V304" s="17" t="s">
        <v>364</v>
      </c>
      <c r="W304" s="17">
        <v>-0.30769230769230771</v>
      </c>
      <c r="X304" s="17">
        <v>-0.78768754963012499</v>
      </c>
      <c r="Y304" s="17">
        <v>-0.46</v>
      </c>
      <c r="Z304" s="17">
        <v>-0.78225979283248004</v>
      </c>
      <c r="AA304" s="63" t="s">
        <v>485</v>
      </c>
      <c r="AB304" s="64"/>
      <c r="AL304" s="65"/>
    </row>
    <row r="305" spans="1:38" collapsed="1" x14ac:dyDescent="0.25">
      <c r="A305" s="5" t="s">
        <v>22</v>
      </c>
      <c r="B305" s="5" t="s">
        <v>49</v>
      </c>
      <c r="C305" s="5" t="s">
        <v>125</v>
      </c>
      <c r="D305" s="6">
        <v>20</v>
      </c>
      <c r="E305" s="53">
        <v>563.65</v>
      </c>
      <c r="F305" s="6">
        <v>11273</v>
      </c>
      <c r="G305" s="6">
        <v>9.4444444444444446</v>
      </c>
      <c r="H305" s="53">
        <v>769.08764705882345</v>
      </c>
      <c r="I305" s="6">
        <v>7263.6055555555549</v>
      </c>
      <c r="J305" s="6">
        <v>23</v>
      </c>
      <c r="K305" s="53">
        <v>326.04043478260871</v>
      </c>
      <c r="L305" s="6">
        <v>7498.93</v>
      </c>
      <c r="M305" s="6" t="s">
        <v>364</v>
      </c>
      <c r="N305" s="6" t="s">
        <v>364</v>
      </c>
      <c r="O305" s="6" t="s">
        <v>364</v>
      </c>
      <c r="P305" s="6" t="s">
        <v>364</v>
      </c>
      <c r="Q305" s="6" t="s">
        <v>364</v>
      </c>
      <c r="R305" s="6" t="s">
        <v>364</v>
      </c>
      <c r="S305" s="6" t="s">
        <v>364</v>
      </c>
      <c r="T305" s="6" t="s">
        <v>364</v>
      </c>
      <c r="U305" s="8" t="s">
        <v>364</v>
      </c>
      <c r="V305" s="8" t="s">
        <v>364</v>
      </c>
      <c r="W305" s="8">
        <v>0.15</v>
      </c>
      <c r="X305" s="8">
        <v>-0.33478843253792245</v>
      </c>
      <c r="Y305" s="8">
        <v>1.4352941176470588</v>
      </c>
      <c r="Z305" s="8">
        <v>3.239774553347792E-2</v>
      </c>
      <c r="AA305" s="63" t="s">
        <v>49</v>
      </c>
      <c r="AB305" s="64"/>
      <c r="AL305" s="65"/>
    </row>
    <row r="306" spans="1:38" hidden="1" outlineLevel="1" x14ac:dyDescent="0.25">
      <c r="A306" s="21" t="s">
        <v>22</v>
      </c>
      <c r="B306" s="21" t="s">
        <v>548</v>
      </c>
      <c r="C306" s="21" t="s">
        <v>362</v>
      </c>
      <c r="D306" s="15">
        <v>8</v>
      </c>
      <c r="E306" s="57">
        <v>412.625</v>
      </c>
      <c r="F306" s="15">
        <v>3301</v>
      </c>
      <c r="G306" s="15">
        <v>3.3333333333333335</v>
      </c>
      <c r="H306" s="57">
        <v>411.91166666666663</v>
      </c>
      <c r="I306" s="15">
        <v>1373.0388888888888</v>
      </c>
      <c r="J306" s="15">
        <v>12</v>
      </c>
      <c r="K306" s="57">
        <v>262.87833333333333</v>
      </c>
      <c r="L306" s="15">
        <v>3154.54</v>
      </c>
      <c r="M306" s="15" t="s">
        <v>364</v>
      </c>
      <c r="N306" s="15" t="s">
        <v>364</v>
      </c>
      <c r="O306" s="15" t="s">
        <v>364</v>
      </c>
      <c r="P306" s="15" t="s">
        <v>364</v>
      </c>
      <c r="Q306" s="15" t="s">
        <v>364</v>
      </c>
      <c r="R306" s="15" t="s">
        <v>364</v>
      </c>
      <c r="S306" s="15" t="s">
        <v>364</v>
      </c>
      <c r="T306" s="15" t="s">
        <v>364</v>
      </c>
      <c r="U306" s="17" t="s">
        <v>364</v>
      </c>
      <c r="V306" s="17" t="s">
        <v>364</v>
      </c>
      <c r="W306" s="17">
        <v>0.5</v>
      </c>
      <c r="X306" s="17">
        <v>-4.4368373220236304E-2</v>
      </c>
      <c r="Y306" s="17">
        <v>2.5999999999999996</v>
      </c>
      <c r="Z306" s="17">
        <v>1.2974877299744687</v>
      </c>
      <c r="AA306" s="63" t="s">
        <v>483</v>
      </c>
      <c r="AB306" s="64"/>
      <c r="AL306" s="65"/>
    </row>
    <row r="307" spans="1:38" hidden="1" outlineLevel="1" x14ac:dyDescent="0.25">
      <c r="A307" s="21" t="s">
        <v>22</v>
      </c>
      <c r="B307" s="21" t="s">
        <v>549</v>
      </c>
      <c r="C307" s="21" t="s">
        <v>363</v>
      </c>
      <c r="D307" s="15">
        <v>12</v>
      </c>
      <c r="E307" s="57">
        <v>664.33333333333337</v>
      </c>
      <c r="F307" s="15">
        <v>7972</v>
      </c>
      <c r="G307" s="15">
        <v>6.1111111111111116</v>
      </c>
      <c r="H307" s="57">
        <v>963.91090909090906</v>
      </c>
      <c r="I307" s="15">
        <v>5890.5666666666666</v>
      </c>
      <c r="J307" s="15">
        <v>11</v>
      </c>
      <c r="K307" s="57">
        <v>394.9445454545455</v>
      </c>
      <c r="L307" s="15">
        <v>4344.3900000000003</v>
      </c>
      <c r="M307" s="15" t="s">
        <v>364</v>
      </c>
      <c r="N307" s="15" t="s">
        <v>364</v>
      </c>
      <c r="O307" s="15" t="s">
        <v>364</v>
      </c>
      <c r="P307" s="15" t="s">
        <v>364</v>
      </c>
      <c r="Q307" s="15" t="s">
        <v>364</v>
      </c>
      <c r="R307" s="15" t="s">
        <v>364</v>
      </c>
      <c r="S307" s="15" t="s">
        <v>364</v>
      </c>
      <c r="T307" s="15" t="s">
        <v>364</v>
      </c>
      <c r="U307" s="17" t="s">
        <v>364</v>
      </c>
      <c r="V307" s="17" t="s">
        <v>364</v>
      </c>
      <c r="W307" s="17">
        <v>-8.3333333333333329E-2</v>
      </c>
      <c r="X307" s="17">
        <v>-0.45504390366281983</v>
      </c>
      <c r="Y307" s="17">
        <v>0.79999999999999982</v>
      </c>
      <c r="Z307" s="17">
        <v>-0.26248351884651727</v>
      </c>
      <c r="AA307" s="63" t="s">
        <v>485</v>
      </c>
      <c r="AB307" s="64"/>
      <c r="AL307" s="65"/>
    </row>
    <row r="308" spans="1:38" collapsed="1" x14ac:dyDescent="0.25">
      <c r="A308" s="5" t="s">
        <v>22</v>
      </c>
      <c r="B308" s="5" t="s">
        <v>49</v>
      </c>
      <c r="C308" s="5" t="s">
        <v>126</v>
      </c>
      <c r="D308" s="6">
        <v>0</v>
      </c>
      <c r="E308" s="53" t="s">
        <v>364</v>
      </c>
      <c r="F308" s="6">
        <v>0</v>
      </c>
      <c r="G308" s="6">
        <v>25.555555555555557</v>
      </c>
      <c r="H308" s="53">
        <v>421.4204347826086</v>
      </c>
      <c r="I308" s="6">
        <v>10769.633333333331</v>
      </c>
      <c r="J308" s="6">
        <v>36</v>
      </c>
      <c r="K308" s="53">
        <v>373.61444444444453</v>
      </c>
      <c r="L308" s="6">
        <v>13450.120000000003</v>
      </c>
      <c r="M308" s="6" t="s">
        <v>364</v>
      </c>
      <c r="N308" s="6" t="s">
        <v>364</v>
      </c>
      <c r="O308" s="6" t="s">
        <v>364</v>
      </c>
      <c r="P308" s="6" t="s">
        <v>364</v>
      </c>
      <c r="Q308" s="6" t="s">
        <v>364</v>
      </c>
      <c r="R308" s="6" t="s">
        <v>364</v>
      </c>
      <c r="S308" s="6" t="s">
        <v>364</v>
      </c>
      <c r="T308" s="6" t="s">
        <v>364</v>
      </c>
      <c r="U308" s="8" t="s">
        <v>364</v>
      </c>
      <c r="V308" s="8" t="s">
        <v>364</v>
      </c>
      <c r="W308" s="8" t="s">
        <v>364</v>
      </c>
      <c r="X308" s="8" t="s">
        <v>364</v>
      </c>
      <c r="Y308" s="8">
        <v>0.40869565217391296</v>
      </c>
      <c r="Z308" s="8">
        <v>0.24889302947485106</v>
      </c>
      <c r="AA308" s="63" t="s">
        <v>49</v>
      </c>
      <c r="AB308" s="64"/>
      <c r="AL308" s="65"/>
    </row>
    <row r="309" spans="1:38" hidden="1" outlineLevel="1" x14ac:dyDescent="0.25">
      <c r="A309" s="21" t="s">
        <v>22</v>
      </c>
      <c r="B309" s="21" t="s">
        <v>550</v>
      </c>
      <c r="C309" s="21" t="s">
        <v>362</v>
      </c>
      <c r="D309" s="15">
        <v>0</v>
      </c>
      <c r="E309" s="57" t="s">
        <v>364</v>
      </c>
      <c r="F309" s="15">
        <v>0</v>
      </c>
      <c r="G309" s="15">
        <v>13.888888888888889</v>
      </c>
      <c r="H309" s="57">
        <v>436.786</v>
      </c>
      <c r="I309" s="15">
        <v>6066.4722222222226</v>
      </c>
      <c r="J309" s="15">
        <v>19</v>
      </c>
      <c r="K309" s="57">
        <v>441.03105263157897</v>
      </c>
      <c r="L309" s="15">
        <v>8379.59</v>
      </c>
      <c r="M309" s="15" t="s">
        <v>364</v>
      </c>
      <c r="N309" s="15" t="s">
        <v>364</v>
      </c>
      <c r="O309" s="15" t="s">
        <v>364</v>
      </c>
      <c r="P309" s="15" t="s">
        <v>364</v>
      </c>
      <c r="Q309" s="15" t="s">
        <v>364</v>
      </c>
      <c r="R309" s="15" t="s">
        <v>364</v>
      </c>
      <c r="S309" s="15" t="s">
        <v>364</v>
      </c>
      <c r="T309" s="15" t="s">
        <v>364</v>
      </c>
      <c r="U309" s="17" t="s">
        <v>364</v>
      </c>
      <c r="V309" s="17" t="s">
        <v>364</v>
      </c>
      <c r="W309" s="17" t="s">
        <v>364</v>
      </c>
      <c r="X309" s="17" t="s">
        <v>364</v>
      </c>
      <c r="Y309" s="17">
        <v>0.36799999999999994</v>
      </c>
      <c r="Z309" s="17">
        <v>0.38129537118863693</v>
      </c>
      <c r="AA309" s="63" t="s">
        <v>483</v>
      </c>
      <c r="AB309" s="64"/>
      <c r="AL309" s="65"/>
    </row>
    <row r="310" spans="1:38" hidden="1" outlineLevel="1" x14ac:dyDescent="0.25">
      <c r="A310" s="21" t="s">
        <v>22</v>
      </c>
      <c r="B310" s="21" t="s">
        <v>551</v>
      </c>
      <c r="C310" s="21" t="s">
        <v>363</v>
      </c>
      <c r="D310" s="15">
        <v>0</v>
      </c>
      <c r="E310" s="57" t="s">
        <v>364</v>
      </c>
      <c r="F310" s="15">
        <v>0</v>
      </c>
      <c r="G310" s="15">
        <v>11.666666666666668</v>
      </c>
      <c r="H310" s="57">
        <v>403.12809523809506</v>
      </c>
      <c r="I310" s="15">
        <v>4703.1611111111097</v>
      </c>
      <c r="J310" s="15">
        <v>17</v>
      </c>
      <c r="K310" s="57">
        <v>298.26647058823528</v>
      </c>
      <c r="L310" s="15">
        <v>5070.53</v>
      </c>
      <c r="M310" s="15" t="s">
        <v>364</v>
      </c>
      <c r="N310" s="15" t="s">
        <v>364</v>
      </c>
      <c r="O310" s="15" t="s">
        <v>364</v>
      </c>
      <c r="P310" s="15" t="s">
        <v>364</v>
      </c>
      <c r="Q310" s="15" t="s">
        <v>364</v>
      </c>
      <c r="R310" s="15" t="s">
        <v>364</v>
      </c>
      <c r="S310" s="15" t="s">
        <v>364</v>
      </c>
      <c r="T310" s="15" t="s">
        <v>364</v>
      </c>
      <c r="U310" s="17" t="s">
        <v>364</v>
      </c>
      <c r="V310" s="17" t="s">
        <v>364</v>
      </c>
      <c r="W310" s="17" t="s">
        <v>364</v>
      </c>
      <c r="X310" s="17" t="s">
        <v>364</v>
      </c>
      <c r="Y310" s="17">
        <v>0.45714285714285702</v>
      </c>
      <c r="Z310" s="17">
        <v>7.8111057692875865E-2</v>
      </c>
      <c r="AA310" s="63" t="s">
        <v>485</v>
      </c>
      <c r="AB310" s="64"/>
      <c r="AL310" s="65"/>
    </row>
    <row r="311" spans="1:38" collapsed="1" x14ac:dyDescent="0.25">
      <c r="A311" s="5" t="s">
        <v>22</v>
      </c>
      <c r="B311" s="5" t="s">
        <v>49</v>
      </c>
      <c r="C311" s="5" t="s">
        <v>127</v>
      </c>
      <c r="D311" s="6">
        <v>0</v>
      </c>
      <c r="E311" s="53" t="s">
        <v>364</v>
      </c>
      <c r="F311" s="6">
        <v>0</v>
      </c>
      <c r="G311" s="6">
        <v>27.777777777777779</v>
      </c>
      <c r="H311" s="53">
        <v>342.7808</v>
      </c>
      <c r="I311" s="6">
        <v>9521.6888888888898</v>
      </c>
      <c r="J311" s="6">
        <v>8</v>
      </c>
      <c r="K311" s="53">
        <v>681.68500000000017</v>
      </c>
      <c r="L311" s="6">
        <v>5453.4800000000014</v>
      </c>
      <c r="M311" s="6" t="s">
        <v>364</v>
      </c>
      <c r="N311" s="6" t="s">
        <v>364</v>
      </c>
      <c r="O311" s="6" t="s">
        <v>364</v>
      </c>
      <c r="P311" s="6" t="s">
        <v>364</v>
      </c>
      <c r="Q311" s="6" t="s">
        <v>364</v>
      </c>
      <c r="R311" s="6" t="s">
        <v>364</v>
      </c>
      <c r="S311" s="6" t="s">
        <v>364</v>
      </c>
      <c r="T311" s="6" t="s">
        <v>364</v>
      </c>
      <c r="U311" s="8" t="s">
        <v>364</v>
      </c>
      <c r="V311" s="8" t="s">
        <v>364</v>
      </c>
      <c r="W311" s="8" t="s">
        <v>364</v>
      </c>
      <c r="X311" s="8" t="s">
        <v>364</v>
      </c>
      <c r="Y311" s="8">
        <v>-0.71199999999999997</v>
      </c>
      <c r="Z311" s="8">
        <v>-0.42725706924075085</v>
      </c>
      <c r="AA311" s="63" t="s">
        <v>49</v>
      </c>
      <c r="AB311" s="64"/>
      <c r="AL311" s="65"/>
    </row>
    <row r="312" spans="1:38" hidden="1" outlineLevel="1" x14ac:dyDescent="0.25">
      <c r="A312" s="21" t="s">
        <v>22</v>
      </c>
      <c r="B312" s="21" t="s">
        <v>552</v>
      </c>
      <c r="C312" s="21" t="s">
        <v>362</v>
      </c>
      <c r="D312" s="15">
        <v>0</v>
      </c>
      <c r="E312" s="57" t="s">
        <v>364</v>
      </c>
      <c r="F312" s="15">
        <v>0</v>
      </c>
      <c r="G312" s="15">
        <v>16.666666666666668</v>
      </c>
      <c r="H312" s="57">
        <v>426.26133333333331</v>
      </c>
      <c r="I312" s="15">
        <v>7104.3555555555558</v>
      </c>
      <c r="J312" s="15">
        <v>4</v>
      </c>
      <c r="K312" s="57">
        <v>301.41250000000002</v>
      </c>
      <c r="L312" s="15">
        <v>1205.6500000000001</v>
      </c>
      <c r="M312" s="15" t="s">
        <v>364</v>
      </c>
      <c r="N312" s="15" t="s">
        <v>364</v>
      </c>
      <c r="O312" s="15" t="s">
        <v>364</v>
      </c>
      <c r="P312" s="15" t="s">
        <v>364</v>
      </c>
      <c r="Q312" s="15" t="s">
        <v>364</v>
      </c>
      <c r="R312" s="15" t="s">
        <v>364</v>
      </c>
      <c r="S312" s="15" t="s">
        <v>364</v>
      </c>
      <c r="T312" s="15" t="s">
        <v>364</v>
      </c>
      <c r="U312" s="17" t="s">
        <v>364</v>
      </c>
      <c r="V312" s="17" t="s">
        <v>364</v>
      </c>
      <c r="W312" s="17" t="s">
        <v>364</v>
      </c>
      <c r="X312" s="17" t="s">
        <v>364</v>
      </c>
      <c r="Y312" s="17">
        <v>-0.76</v>
      </c>
      <c r="Z312" s="17">
        <v>-0.83029424828587162</v>
      </c>
      <c r="AA312" s="63" t="s">
        <v>483</v>
      </c>
      <c r="AB312" s="64"/>
      <c r="AL312" s="65"/>
    </row>
    <row r="313" spans="1:38" hidden="1" outlineLevel="1" x14ac:dyDescent="0.25">
      <c r="A313" s="21" t="s">
        <v>22</v>
      </c>
      <c r="B313" s="21" t="s">
        <v>553</v>
      </c>
      <c r="C313" s="21" t="s">
        <v>363</v>
      </c>
      <c r="D313" s="15">
        <v>0</v>
      </c>
      <c r="E313" s="57" t="s">
        <v>364</v>
      </c>
      <c r="F313" s="15">
        <v>0</v>
      </c>
      <c r="G313" s="15">
        <v>11.111111111111111</v>
      </c>
      <c r="H313" s="57">
        <v>217.56000000000006</v>
      </c>
      <c r="I313" s="15">
        <v>2417.3333333333339</v>
      </c>
      <c r="J313" s="15">
        <v>4</v>
      </c>
      <c r="K313" s="57">
        <v>1061.9575000000004</v>
      </c>
      <c r="L313" s="15">
        <v>4247.8300000000017</v>
      </c>
      <c r="M313" s="15" t="s">
        <v>364</v>
      </c>
      <c r="N313" s="15" t="s">
        <v>364</v>
      </c>
      <c r="O313" s="15" t="s">
        <v>364</v>
      </c>
      <c r="P313" s="15" t="s">
        <v>364</v>
      </c>
      <c r="Q313" s="15" t="s">
        <v>364</v>
      </c>
      <c r="R313" s="15" t="s">
        <v>364</v>
      </c>
      <c r="S313" s="15" t="s">
        <v>364</v>
      </c>
      <c r="T313" s="15" t="s">
        <v>364</v>
      </c>
      <c r="U313" s="17" t="s">
        <v>364</v>
      </c>
      <c r="V313" s="17" t="s">
        <v>364</v>
      </c>
      <c r="W313" s="17" t="s">
        <v>364</v>
      </c>
      <c r="X313" s="17" t="s">
        <v>364</v>
      </c>
      <c r="Y313" s="17">
        <v>-0.64</v>
      </c>
      <c r="Z313" s="17">
        <v>0.75723800330943214</v>
      </c>
      <c r="AA313" s="63" t="s">
        <v>485</v>
      </c>
      <c r="AB313" s="64"/>
      <c r="AL313" s="65"/>
    </row>
    <row r="314" spans="1:38" collapsed="1" x14ac:dyDescent="0.25">
      <c r="A314" s="5" t="s">
        <v>22</v>
      </c>
      <c r="B314" s="5" t="s">
        <v>49</v>
      </c>
      <c r="C314" s="5" t="s">
        <v>128</v>
      </c>
      <c r="D314" s="6">
        <v>22</v>
      </c>
      <c r="E314" s="53">
        <v>366.59090909090907</v>
      </c>
      <c r="F314" s="6">
        <v>8065</v>
      </c>
      <c r="G314" s="6">
        <v>25</v>
      </c>
      <c r="H314" s="53">
        <v>372.83488888888894</v>
      </c>
      <c r="I314" s="6">
        <v>9320.8722222222241</v>
      </c>
      <c r="J314" s="6">
        <v>33</v>
      </c>
      <c r="K314" s="53">
        <v>470.64575757575767</v>
      </c>
      <c r="L314" s="6">
        <v>15531.310000000003</v>
      </c>
      <c r="M314" s="6" t="s">
        <v>364</v>
      </c>
      <c r="N314" s="6" t="s">
        <v>364</v>
      </c>
      <c r="O314" s="6" t="s">
        <v>364</v>
      </c>
      <c r="P314" s="6" t="s">
        <v>364</v>
      </c>
      <c r="Q314" s="6" t="s">
        <v>364</v>
      </c>
      <c r="R314" s="6" t="s">
        <v>364</v>
      </c>
      <c r="S314" s="6" t="s">
        <v>364</v>
      </c>
      <c r="T314" s="6" t="s">
        <v>364</v>
      </c>
      <c r="U314" s="8" t="s">
        <v>364</v>
      </c>
      <c r="V314" s="8" t="s">
        <v>364</v>
      </c>
      <c r="W314" s="8">
        <v>0.5</v>
      </c>
      <c r="X314" s="8">
        <v>0.92576689398636125</v>
      </c>
      <c r="Y314" s="8">
        <v>0.32</v>
      </c>
      <c r="Z314" s="8">
        <v>0.66629362893434507</v>
      </c>
      <c r="AA314" s="63" t="s">
        <v>49</v>
      </c>
      <c r="AB314" s="64"/>
      <c r="AL314" s="65"/>
    </row>
    <row r="315" spans="1:38" hidden="1" outlineLevel="1" x14ac:dyDescent="0.25">
      <c r="A315" s="21" t="s">
        <v>22</v>
      </c>
      <c r="B315" s="21" t="s">
        <v>554</v>
      </c>
      <c r="C315" s="21" t="s">
        <v>362</v>
      </c>
      <c r="D315" s="15">
        <v>11</v>
      </c>
      <c r="E315" s="57">
        <v>413.63636363636363</v>
      </c>
      <c r="F315" s="15">
        <v>4550</v>
      </c>
      <c r="G315" s="15">
        <v>8.3333333333333339</v>
      </c>
      <c r="H315" s="57">
        <v>505.88333333333338</v>
      </c>
      <c r="I315" s="15">
        <v>4215.6944444444453</v>
      </c>
      <c r="J315" s="15">
        <v>14</v>
      </c>
      <c r="K315" s="57">
        <v>393.56714285714287</v>
      </c>
      <c r="L315" s="15">
        <v>5509.9400000000005</v>
      </c>
      <c r="M315" s="15" t="s">
        <v>364</v>
      </c>
      <c r="N315" s="15" t="s">
        <v>364</v>
      </c>
      <c r="O315" s="15" t="s">
        <v>364</v>
      </c>
      <c r="P315" s="15" t="s">
        <v>364</v>
      </c>
      <c r="Q315" s="15" t="s">
        <v>364</v>
      </c>
      <c r="R315" s="15" t="s">
        <v>364</v>
      </c>
      <c r="S315" s="15" t="s">
        <v>364</v>
      </c>
      <c r="T315" s="15" t="s">
        <v>364</v>
      </c>
      <c r="U315" s="17" t="s">
        <v>364</v>
      </c>
      <c r="V315" s="17" t="s">
        <v>364</v>
      </c>
      <c r="W315" s="17">
        <v>0.27272727272727271</v>
      </c>
      <c r="X315" s="17">
        <v>0.21097582417582428</v>
      </c>
      <c r="Y315" s="17">
        <v>0.67999999999999983</v>
      </c>
      <c r="Z315" s="17">
        <v>0.30700649029749927</v>
      </c>
      <c r="AA315" s="63" t="s">
        <v>483</v>
      </c>
      <c r="AB315" s="64"/>
      <c r="AL315" s="65"/>
    </row>
    <row r="316" spans="1:38" hidden="1" outlineLevel="1" x14ac:dyDescent="0.25">
      <c r="A316" s="21" t="s">
        <v>22</v>
      </c>
      <c r="B316" s="21" t="s">
        <v>555</v>
      </c>
      <c r="C316" s="21" t="s">
        <v>363</v>
      </c>
      <c r="D316" s="15">
        <v>12</v>
      </c>
      <c r="E316" s="57">
        <v>292.91666666666669</v>
      </c>
      <c r="F316" s="15">
        <v>3515</v>
      </c>
      <c r="G316" s="15">
        <v>16.666666666666668</v>
      </c>
      <c r="H316" s="57">
        <v>306.31066666666669</v>
      </c>
      <c r="I316" s="15">
        <v>5105.1777777777788</v>
      </c>
      <c r="J316" s="15">
        <v>19</v>
      </c>
      <c r="K316" s="57">
        <v>527.4405263157895</v>
      </c>
      <c r="L316" s="15">
        <v>10021.370000000001</v>
      </c>
      <c r="M316" s="15" t="s">
        <v>364</v>
      </c>
      <c r="N316" s="15" t="s">
        <v>364</v>
      </c>
      <c r="O316" s="15" t="s">
        <v>364</v>
      </c>
      <c r="P316" s="15" t="s">
        <v>364</v>
      </c>
      <c r="Q316" s="15" t="s">
        <v>364</v>
      </c>
      <c r="R316" s="15" t="s">
        <v>364</v>
      </c>
      <c r="S316" s="15" t="s">
        <v>364</v>
      </c>
      <c r="T316" s="15" t="s">
        <v>364</v>
      </c>
      <c r="U316" s="17" t="s">
        <v>364</v>
      </c>
      <c r="V316" s="17" t="s">
        <v>364</v>
      </c>
      <c r="W316" s="17">
        <v>0.58333333333333337</v>
      </c>
      <c r="X316" s="17">
        <v>1.8510298719772407</v>
      </c>
      <c r="Y316" s="17">
        <v>0.13999999999999993</v>
      </c>
      <c r="Z316" s="17">
        <v>0.96298159167381236</v>
      </c>
      <c r="AA316" s="63" t="s">
        <v>485</v>
      </c>
      <c r="AB316" s="64"/>
      <c r="AL316" s="65"/>
    </row>
    <row r="317" spans="1:38" collapsed="1" x14ac:dyDescent="0.25">
      <c r="A317" s="5" t="s">
        <v>22</v>
      </c>
      <c r="B317" s="5" t="s">
        <v>49</v>
      </c>
      <c r="C317" s="5" t="s">
        <v>129</v>
      </c>
      <c r="D317" s="6">
        <v>0</v>
      </c>
      <c r="E317" s="53" t="s">
        <v>364</v>
      </c>
      <c r="F317" s="6">
        <v>0</v>
      </c>
      <c r="G317" s="6">
        <v>171.11111111111111</v>
      </c>
      <c r="H317" s="53">
        <v>74.428409090909042</v>
      </c>
      <c r="I317" s="6">
        <v>12735.52777777777</v>
      </c>
      <c r="J317" s="6">
        <v>94</v>
      </c>
      <c r="K317" s="53">
        <v>63.24414893617022</v>
      </c>
      <c r="L317" s="6">
        <v>5944.9500000000007</v>
      </c>
      <c r="M317" s="6" t="s">
        <v>364</v>
      </c>
      <c r="N317" s="6" t="s">
        <v>364</v>
      </c>
      <c r="O317" s="6" t="s">
        <v>364</v>
      </c>
      <c r="P317" s="6" t="s">
        <v>364</v>
      </c>
      <c r="Q317" s="6" t="s">
        <v>364</v>
      </c>
      <c r="R317" s="6" t="s">
        <v>364</v>
      </c>
      <c r="S317" s="6" t="s">
        <v>364</v>
      </c>
      <c r="T317" s="6" t="s">
        <v>364</v>
      </c>
      <c r="U317" s="8" t="s">
        <v>364</v>
      </c>
      <c r="V317" s="8" t="s">
        <v>364</v>
      </c>
      <c r="W317" s="8" t="s">
        <v>364</v>
      </c>
      <c r="X317" s="8" t="s">
        <v>364</v>
      </c>
      <c r="Y317" s="8">
        <v>-0.45064935064935063</v>
      </c>
      <c r="Z317" s="8">
        <v>-0.53319955766785354</v>
      </c>
      <c r="AA317" s="63" t="s">
        <v>49</v>
      </c>
      <c r="AB317" s="64"/>
      <c r="AL317" s="65"/>
    </row>
    <row r="318" spans="1:38" hidden="1" outlineLevel="1" x14ac:dyDescent="0.25">
      <c r="A318" s="21" t="s">
        <v>22</v>
      </c>
      <c r="B318" s="21" t="s">
        <v>556</v>
      </c>
      <c r="C318" s="21" t="s">
        <v>362</v>
      </c>
      <c r="D318" s="15">
        <v>0</v>
      </c>
      <c r="E318" s="57" t="s">
        <v>364</v>
      </c>
      <c r="F318" s="15">
        <v>0</v>
      </c>
      <c r="G318" s="15">
        <v>166.66666666666669</v>
      </c>
      <c r="H318" s="57">
        <v>76.29526666666662</v>
      </c>
      <c r="I318" s="15">
        <v>12715.87777777777</v>
      </c>
      <c r="J318" s="15">
        <v>93</v>
      </c>
      <c r="K318" s="57">
        <v>63.924193548387102</v>
      </c>
      <c r="L318" s="15">
        <v>5944.9500000000007</v>
      </c>
      <c r="M318" s="15" t="s">
        <v>364</v>
      </c>
      <c r="N318" s="15" t="s">
        <v>364</v>
      </c>
      <c r="O318" s="15" t="s">
        <v>364</v>
      </c>
      <c r="P318" s="15" t="s">
        <v>364</v>
      </c>
      <c r="Q318" s="15" t="s">
        <v>364</v>
      </c>
      <c r="R318" s="15" t="s">
        <v>364</v>
      </c>
      <c r="S318" s="15" t="s">
        <v>364</v>
      </c>
      <c r="T318" s="15" t="s">
        <v>364</v>
      </c>
      <c r="U318" s="17" t="s">
        <v>364</v>
      </c>
      <c r="V318" s="17" t="s">
        <v>364</v>
      </c>
      <c r="W318" s="17" t="s">
        <v>364</v>
      </c>
      <c r="X318" s="17" t="s">
        <v>364</v>
      </c>
      <c r="Y318" s="17">
        <v>-0.44200000000000006</v>
      </c>
      <c r="Z318" s="17">
        <v>-0.53247820528840117</v>
      </c>
      <c r="AA318" s="63" t="s">
        <v>483</v>
      </c>
      <c r="AB318" s="64"/>
      <c r="AL318" s="65"/>
    </row>
    <row r="319" spans="1:38" hidden="1" outlineLevel="1" x14ac:dyDescent="0.25">
      <c r="A319" s="21" t="s">
        <v>22</v>
      </c>
      <c r="B319" s="21" t="s">
        <v>557</v>
      </c>
      <c r="C319" s="21" t="s">
        <v>363</v>
      </c>
      <c r="D319" s="15">
        <v>0</v>
      </c>
      <c r="E319" s="57" t="s">
        <v>364</v>
      </c>
      <c r="F319" s="15">
        <v>0</v>
      </c>
      <c r="G319" s="15">
        <v>4.4444444444444446</v>
      </c>
      <c r="H319" s="57">
        <v>4.4212500000000006</v>
      </c>
      <c r="I319" s="15">
        <v>19.650000000000002</v>
      </c>
      <c r="J319" s="15">
        <v>1</v>
      </c>
      <c r="K319" s="57">
        <v>0</v>
      </c>
      <c r="L319" s="15">
        <v>0</v>
      </c>
      <c r="M319" s="15" t="s">
        <v>364</v>
      </c>
      <c r="N319" s="15" t="s">
        <v>364</v>
      </c>
      <c r="O319" s="15" t="s">
        <v>364</v>
      </c>
      <c r="P319" s="15" t="s">
        <v>364</v>
      </c>
      <c r="Q319" s="15" t="s">
        <v>364</v>
      </c>
      <c r="R319" s="15" t="s">
        <v>364</v>
      </c>
      <c r="S319" s="15" t="s">
        <v>364</v>
      </c>
      <c r="T319" s="15" t="s">
        <v>364</v>
      </c>
      <c r="U319" s="17" t="s">
        <v>364</v>
      </c>
      <c r="V319" s="17" t="s">
        <v>364</v>
      </c>
      <c r="W319" s="17" t="s">
        <v>364</v>
      </c>
      <c r="X319" s="17" t="s">
        <v>364</v>
      </c>
      <c r="Y319" s="17">
        <v>-0.77500000000000002</v>
      </c>
      <c r="Z319" s="17">
        <v>-1</v>
      </c>
      <c r="AA319" s="63" t="s">
        <v>485</v>
      </c>
      <c r="AB319" s="64"/>
      <c r="AL319" s="65"/>
    </row>
    <row r="320" spans="1:38" collapsed="1" x14ac:dyDescent="0.25">
      <c r="A320" s="5" t="s">
        <v>22</v>
      </c>
      <c r="B320" s="5" t="s">
        <v>49</v>
      </c>
      <c r="C320" s="5" t="s">
        <v>130</v>
      </c>
      <c r="D320" s="6">
        <v>10</v>
      </c>
      <c r="E320" s="53">
        <v>558.6</v>
      </c>
      <c r="F320" s="6">
        <v>5586</v>
      </c>
      <c r="G320" s="6">
        <v>65.555555555555557</v>
      </c>
      <c r="H320" s="53">
        <v>558.55338983050865</v>
      </c>
      <c r="I320" s="6">
        <v>36616.277777777788</v>
      </c>
      <c r="J320" s="6">
        <v>33</v>
      </c>
      <c r="K320" s="53">
        <v>355.49303030303031</v>
      </c>
      <c r="L320" s="6">
        <v>11731.27</v>
      </c>
      <c r="M320" s="6" t="s">
        <v>364</v>
      </c>
      <c r="N320" s="6" t="s">
        <v>364</v>
      </c>
      <c r="O320" s="6" t="s">
        <v>364</v>
      </c>
      <c r="P320" s="6" t="s">
        <v>364</v>
      </c>
      <c r="Q320" s="6" t="s">
        <v>364</v>
      </c>
      <c r="R320" s="6" t="s">
        <v>364</v>
      </c>
      <c r="S320" s="6" t="s">
        <v>364</v>
      </c>
      <c r="T320" s="6" t="s">
        <v>364</v>
      </c>
      <c r="U320" s="8" t="s">
        <v>364</v>
      </c>
      <c r="V320" s="8" t="s">
        <v>364</v>
      </c>
      <c r="W320" s="8">
        <v>2.2999999999999998</v>
      </c>
      <c r="X320" s="8">
        <v>1.1001199427139277</v>
      </c>
      <c r="Y320" s="8">
        <v>-0.49661016949152542</v>
      </c>
      <c r="Z320" s="8">
        <v>-0.6796159874251434</v>
      </c>
      <c r="AA320" s="63" t="s">
        <v>49</v>
      </c>
      <c r="AB320" s="64"/>
      <c r="AL320" s="65"/>
    </row>
    <row r="321" spans="1:38" hidden="1" outlineLevel="1" x14ac:dyDescent="0.25">
      <c r="A321" s="21" t="s">
        <v>22</v>
      </c>
      <c r="B321" s="21" t="s">
        <v>558</v>
      </c>
      <c r="C321" s="21" t="s">
        <v>362</v>
      </c>
      <c r="D321" s="15">
        <v>10</v>
      </c>
      <c r="E321" s="57">
        <v>558.6</v>
      </c>
      <c r="F321" s="15">
        <v>5586</v>
      </c>
      <c r="G321" s="15">
        <v>65.555555555555557</v>
      </c>
      <c r="H321" s="57">
        <v>557.29067796610195</v>
      </c>
      <c r="I321" s="15">
        <v>36533.500000000015</v>
      </c>
      <c r="J321" s="15">
        <v>33</v>
      </c>
      <c r="K321" s="57">
        <v>355.49303030303031</v>
      </c>
      <c r="L321" s="15">
        <v>11731.27</v>
      </c>
      <c r="M321" s="15" t="s">
        <v>364</v>
      </c>
      <c r="N321" s="15" t="s">
        <v>364</v>
      </c>
      <c r="O321" s="15" t="s">
        <v>364</v>
      </c>
      <c r="P321" s="15" t="s">
        <v>364</v>
      </c>
      <c r="Q321" s="15" t="s">
        <v>364</v>
      </c>
      <c r="R321" s="15" t="s">
        <v>364</v>
      </c>
      <c r="S321" s="15" t="s">
        <v>364</v>
      </c>
      <c r="T321" s="15" t="s">
        <v>364</v>
      </c>
      <c r="U321" s="17" t="s">
        <v>364</v>
      </c>
      <c r="V321" s="17" t="s">
        <v>364</v>
      </c>
      <c r="W321" s="17">
        <v>2.2999999999999998</v>
      </c>
      <c r="X321" s="17">
        <v>1.1001199427139277</v>
      </c>
      <c r="Y321" s="17">
        <v>-0.49661016949152542</v>
      </c>
      <c r="Z321" s="17">
        <v>-0.67889005980812145</v>
      </c>
      <c r="AA321" s="63" t="s">
        <v>483</v>
      </c>
      <c r="AB321" s="64"/>
      <c r="AL321" s="65"/>
    </row>
    <row r="322" spans="1:38" hidden="1" outlineLevel="1" x14ac:dyDescent="0.25">
      <c r="A322" s="21" t="s">
        <v>22</v>
      </c>
      <c r="B322" s="21" t="s">
        <v>559</v>
      </c>
      <c r="C322" s="21" t="s">
        <v>363</v>
      </c>
      <c r="D322" s="15">
        <v>0</v>
      </c>
      <c r="E322" s="57" t="s">
        <v>364</v>
      </c>
      <c r="F322" s="15">
        <v>0</v>
      </c>
      <c r="G322" s="15">
        <v>0</v>
      </c>
      <c r="H322" s="57" t="s">
        <v>364</v>
      </c>
      <c r="I322" s="15">
        <v>82.777777777777786</v>
      </c>
      <c r="J322" s="15">
        <v>0</v>
      </c>
      <c r="K322" s="57" t="s">
        <v>364</v>
      </c>
      <c r="L322" s="15">
        <v>0</v>
      </c>
      <c r="M322" s="15" t="s">
        <v>364</v>
      </c>
      <c r="N322" s="15" t="s">
        <v>364</v>
      </c>
      <c r="O322" s="15" t="s">
        <v>364</v>
      </c>
      <c r="P322" s="15" t="s">
        <v>364</v>
      </c>
      <c r="Q322" s="15" t="s">
        <v>364</v>
      </c>
      <c r="R322" s="15" t="s">
        <v>364</v>
      </c>
      <c r="S322" s="15" t="s">
        <v>364</v>
      </c>
      <c r="T322" s="15" t="s">
        <v>364</v>
      </c>
      <c r="U322" s="17" t="s">
        <v>364</v>
      </c>
      <c r="V322" s="17" t="s">
        <v>364</v>
      </c>
      <c r="W322" s="17" t="s">
        <v>364</v>
      </c>
      <c r="X322" s="17" t="s">
        <v>364</v>
      </c>
      <c r="Y322" s="17" t="s">
        <v>364</v>
      </c>
      <c r="Z322" s="17">
        <v>-1</v>
      </c>
      <c r="AA322" s="63" t="s">
        <v>485</v>
      </c>
      <c r="AB322" s="64"/>
      <c r="AL322" s="65"/>
    </row>
    <row r="323" spans="1:38" collapsed="1" x14ac:dyDescent="0.25">
      <c r="A323" s="5" t="s">
        <v>22</v>
      </c>
      <c r="B323" s="5" t="s">
        <v>49</v>
      </c>
      <c r="C323" s="5" t="s">
        <v>131</v>
      </c>
      <c r="D323" s="6">
        <v>3</v>
      </c>
      <c r="E323" s="53">
        <v>311.66666666666669</v>
      </c>
      <c r="F323" s="6">
        <v>935</v>
      </c>
      <c r="G323" s="6">
        <v>2.7777777777777777</v>
      </c>
      <c r="H323" s="53">
        <v>449.92</v>
      </c>
      <c r="I323" s="6">
        <v>1249.7777777777778</v>
      </c>
      <c r="J323" s="6">
        <v>8</v>
      </c>
      <c r="K323" s="53">
        <v>280.69875000000002</v>
      </c>
      <c r="L323" s="6">
        <v>2245.59</v>
      </c>
      <c r="M323" s="6" t="s">
        <v>364</v>
      </c>
      <c r="N323" s="6" t="s">
        <v>364</v>
      </c>
      <c r="O323" s="6" t="s">
        <v>364</v>
      </c>
      <c r="P323" s="6" t="s">
        <v>364</v>
      </c>
      <c r="Q323" s="6" t="s">
        <v>364</v>
      </c>
      <c r="R323" s="6" t="s">
        <v>364</v>
      </c>
      <c r="S323" s="6" t="s">
        <v>364</v>
      </c>
      <c r="T323" s="6" t="s">
        <v>364</v>
      </c>
      <c r="U323" s="8" t="s">
        <v>364</v>
      </c>
      <c r="V323" s="8" t="s">
        <v>364</v>
      </c>
      <c r="W323" s="8">
        <v>1.6666666666666667</v>
      </c>
      <c r="X323" s="8">
        <v>1.4017005347593585</v>
      </c>
      <c r="Y323" s="8">
        <v>1.8800000000000001</v>
      </c>
      <c r="Z323" s="8">
        <v>0.79679142958748228</v>
      </c>
      <c r="AA323" s="63" t="s">
        <v>49</v>
      </c>
      <c r="AB323" s="64"/>
      <c r="AL323" s="65"/>
    </row>
    <row r="324" spans="1:38" hidden="1" outlineLevel="1" x14ac:dyDescent="0.25">
      <c r="A324" s="21" t="s">
        <v>22</v>
      </c>
      <c r="B324" s="21" t="s">
        <v>560</v>
      </c>
      <c r="C324" s="21" t="s">
        <v>362</v>
      </c>
      <c r="D324" s="15">
        <v>1</v>
      </c>
      <c r="E324" s="57">
        <v>189</v>
      </c>
      <c r="F324" s="15">
        <v>189</v>
      </c>
      <c r="G324" s="15">
        <v>1.1111111111111112</v>
      </c>
      <c r="H324" s="57">
        <v>563.4</v>
      </c>
      <c r="I324" s="15">
        <v>626</v>
      </c>
      <c r="J324" s="15">
        <v>4</v>
      </c>
      <c r="K324" s="57">
        <v>329.16250000000002</v>
      </c>
      <c r="L324" s="15">
        <v>1316.65</v>
      </c>
      <c r="M324" s="15" t="s">
        <v>364</v>
      </c>
      <c r="N324" s="15" t="s">
        <v>364</v>
      </c>
      <c r="O324" s="15" t="s">
        <v>364</v>
      </c>
      <c r="P324" s="15" t="s">
        <v>364</v>
      </c>
      <c r="Q324" s="15" t="s">
        <v>364</v>
      </c>
      <c r="R324" s="15" t="s">
        <v>364</v>
      </c>
      <c r="S324" s="15" t="s">
        <v>364</v>
      </c>
      <c r="T324" s="15" t="s">
        <v>364</v>
      </c>
      <c r="U324" s="17" t="s">
        <v>364</v>
      </c>
      <c r="V324" s="17" t="s">
        <v>364</v>
      </c>
      <c r="W324" s="17">
        <v>3</v>
      </c>
      <c r="X324" s="17">
        <v>5.9664021164021168</v>
      </c>
      <c r="Y324" s="17">
        <v>2.5999999999999996</v>
      </c>
      <c r="Z324" s="17">
        <v>1.1032747603833868</v>
      </c>
      <c r="AA324" s="63" t="s">
        <v>483</v>
      </c>
      <c r="AB324" s="64"/>
      <c r="AL324" s="65"/>
    </row>
    <row r="325" spans="1:38" hidden="1" outlineLevel="1" x14ac:dyDescent="0.25">
      <c r="A325" s="21" t="s">
        <v>22</v>
      </c>
      <c r="B325" s="21" t="s">
        <v>561</v>
      </c>
      <c r="C325" s="21" t="s">
        <v>363</v>
      </c>
      <c r="D325" s="15">
        <v>2</v>
      </c>
      <c r="E325" s="57">
        <v>373</v>
      </c>
      <c r="F325" s="15">
        <v>746</v>
      </c>
      <c r="G325" s="15">
        <v>1.6666666666666667</v>
      </c>
      <c r="H325" s="57">
        <v>374.26666666666671</v>
      </c>
      <c r="I325" s="15">
        <v>623.77777777777783</v>
      </c>
      <c r="J325" s="15">
        <v>4</v>
      </c>
      <c r="K325" s="57">
        <v>232.23499999999999</v>
      </c>
      <c r="L325" s="15">
        <v>928.93999999999994</v>
      </c>
      <c r="M325" s="15" t="s">
        <v>364</v>
      </c>
      <c r="N325" s="15" t="s">
        <v>364</v>
      </c>
      <c r="O325" s="15" t="s">
        <v>364</v>
      </c>
      <c r="P325" s="15" t="s">
        <v>364</v>
      </c>
      <c r="Q325" s="15" t="s">
        <v>364</v>
      </c>
      <c r="R325" s="15" t="s">
        <v>364</v>
      </c>
      <c r="S325" s="15" t="s">
        <v>364</v>
      </c>
      <c r="T325" s="15" t="s">
        <v>364</v>
      </c>
      <c r="U325" s="17" t="s">
        <v>364</v>
      </c>
      <c r="V325" s="17" t="s">
        <v>364</v>
      </c>
      <c r="W325" s="17">
        <v>1</v>
      </c>
      <c r="X325" s="17">
        <v>0.24522788203753343</v>
      </c>
      <c r="Y325" s="17">
        <v>1.3999999999999997</v>
      </c>
      <c r="Z325" s="17">
        <v>0.48921624510153167</v>
      </c>
      <c r="AA325" s="63" t="s">
        <v>485</v>
      </c>
      <c r="AB325" s="64"/>
      <c r="AL325" s="65"/>
    </row>
    <row r="326" spans="1:38" collapsed="1" x14ac:dyDescent="0.25">
      <c r="A326" s="5" t="s">
        <v>22</v>
      </c>
      <c r="B326" s="5" t="s">
        <v>49</v>
      </c>
      <c r="C326" s="5" t="s">
        <v>132</v>
      </c>
      <c r="D326" s="6">
        <v>5</v>
      </c>
      <c r="E326" s="53">
        <v>458.6</v>
      </c>
      <c r="F326" s="6">
        <v>2293</v>
      </c>
      <c r="G326" s="6">
        <v>3.3333333333333335</v>
      </c>
      <c r="H326" s="53">
        <v>478.98166666666674</v>
      </c>
      <c r="I326" s="6">
        <v>1596.6055555555558</v>
      </c>
      <c r="J326" s="6">
        <v>8</v>
      </c>
      <c r="K326" s="53">
        <v>447.33875</v>
      </c>
      <c r="L326" s="6">
        <v>3578.71</v>
      </c>
      <c r="M326" s="6" t="s">
        <v>364</v>
      </c>
      <c r="N326" s="6" t="s">
        <v>364</v>
      </c>
      <c r="O326" s="6" t="s">
        <v>364</v>
      </c>
      <c r="P326" s="6" t="s">
        <v>364</v>
      </c>
      <c r="Q326" s="6" t="s">
        <v>364</v>
      </c>
      <c r="R326" s="6" t="s">
        <v>364</v>
      </c>
      <c r="S326" s="6" t="s">
        <v>364</v>
      </c>
      <c r="T326" s="6" t="s">
        <v>364</v>
      </c>
      <c r="U326" s="8" t="s">
        <v>364</v>
      </c>
      <c r="V326" s="8" t="s">
        <v>364</v>
      </c>
      <c r="W326" s="8">
        <v>0.6</v>
      </c>
      <c r="X326" s="8">
        <v>0.56071085913650243</v>
      </c>
      <c r="Y326" s="8">
        <v>1.3999999999999997</v>
      </c>
      <c r="Z326" s="8">
        <v>1.2414490464144414</v>
      </c>
      <c r="AA326" s="63" t="s">
        <v>49</v>
      </c>
      <c r="AB326" s="64"/>
      <c r="AL326" s="65"/>
    </row>
    <row r="327" spans="1:38" hidden="1" outlineLevel="1" x14ac:dyDescent="0.25">
      <c r="A327" s="21" t="s">
        <v>22</v>
      </c>
      <c r="B327" s="21" t="s">
        <v>562</v>
      </c>
      <c r="C327" s="21" t="s">
        <v>362</v>
      </c>
      <c r="D327" s="15">
        <v>3</v>
      </c>
      <c r="E327" s="57">
        <v>588.66666666666663</v>
      </c>
      <c r="F327" s="15">
        <v>1766</v>
      </c>
      <c r="G327" s="15">
        <v>2.2222222222222223</v>
      </c>
      <c r="H327" s="57">
        <v>540.72500000000002</v>
      </c>
      <c r="I327" s="15">
        <v>1201.6111111111113</v>
      </c>
      <c r="J327" s="15">
        <v>6</v>
      </c>
      <c r="K327" s="57">
        <v>474.54500000000002</v>
      </c>
      <c r="L327" s="15">
        <v>2847.27</v>
      </c>
      <c r="M327" s="15" t="s">
        <v>364</v>
      </c>
      <c r="N327" s="15" t="s">
        <v>364</v>
      </c>
      <c r="O327" s="15" t="s">
        <v>364</v>
      </c>
      <c r="P327" s="15" t="s">
        <v>364</v>
      </c>
      <c r="Q327" s="15" t="s">
        <v>364</v>
      </c>
      <c r="R327" s="15" t="s">
        <v>364</v>
      </c>
      <c r="S327" s="15" t="s">
        <v>364</v>
      </c>
      <c r="T327" s="15" t="s">
        <v>364</v>
      </c>
      <c r="U327" s="17" t="s">
        <v>364</v>
      </c>
      <c r="V327" s="17" t="s">
        <v>364</v>
      </c>
      <c r="W327" s="17">
        <v>1</v>
      </c>
      <c r="X327" s="17">
        <v>0.61227066817667042</v>
      </c>
      <c r="Y327" s="17">
        <v>1.7</v>
      </c>
      <c r="Z327" s="17">
        <v>1.3695436682232185</v>
      </c>
      <c r="AA327" s="63" t="s">
        <v>483</v>
      </c>
      <c r="AB327" s="64"/>
      <c r="AL327" s="65"/>
    </row>
    <row r="328" spans="1:38" hidden="1" outlineLevel="1" x14ac:dyDescent="0.25">
      <c r="A328" s="21" t="s">
        <v>22</v>
      </c>
      <c r="B328" s="21" t="s">
        <v>563</v>
      </c>
      <c r="C328" s="21" t="s">
        <v>363</v>
      </c>
      <c r="D328" s="15">
        <v>2</v>
      </c>
      <c r="E328" s="57">
        <v>263.5</v>
      </c>
      <c r="F328" s="15">
        <v>527</v>
      </c>
      <c r="G328" s="15">
        <v>1.1111111111111112</v>
      </c>
      <c r="H328" s="57">
        <v>355.495</v>
      </c>
      <c r="I328" s="15">
        <v>394.99444444444447</v>
      </c>
      <c r="J328" s="15">
        <v>2</v>
      </c>
      <c r="K328" s="57">
        <v>365.72</v>
      </c>
      <c r="L328" s="15">
        <v>731.44</v>
      </c>
      <c r="M328" s="15" t="s">
        <v>364</v>
      </c>
      <c r="N328" s="15" t="s">
        <v>364</v>
      </c>
      <c r="O328" s="15" t="s">
        <v>364</v>
      </c>
      <c r="P328" s="15" t="s">
        <v>364</v>
      </c>
      <c r="Q328" s="15" t="s">
        <v>364</v>
      </c>
      <c r="R328" s="15" t="s">
        <v>364</v>
      </c>
      <c r="S328" s="15" t="s">
        <v>364</v>
      </c>
      <c r="T328" s="15" t="s">
        <v>364</v>
      </c>
      <c r="U328" s="17" t="s">
        <v>364</v>
      </c>
      <c r="V328" s="17" t="s">
        <v>364</v>
      </c>
      <c r="W328" s="17">
        <v>0</v>
      </c>
      <c r="X328" s="17">
        <v>0.3879316888045542</v>
      </c>
      <c r="Y328" s="17">
        <v>0.79999999999999993</v>
      </c>
      <c r="Z328" s="17">
        <v>0.85177288006863672</v>
      </c>
      <c r="AA328" s="63" t="s">
        <v>485</v>
      </c>
      <c r="AB328" s="64"/>
      <c r="AL328" s="65"/>
    </row>
    <row r="329" spans="1:38" collapsed="1" x14ac:dyDescent="0.25">
      <c r="A329" s="5" t="s">
        <v>22</v>
      </c>
      <c r="B329" s="5" t="s">
        <v>49</v>
      </c>
      <c r="C329" s="5" t="s">
        <v>133</v>
      </c>
      <c r="D329" s="6">
        <v>6</v>
      </c>
      <c r="E329" s="53">
        <v>346.16666666666669</v>
      </c>
      <c r="F329" s="6">
        <v>2077</v>
      </c>
      <c r="G329" s="6">
        <v>8.3333333333333339</v>
      </c>
      <c r="H329" s="53">
        <v>461.81200000000001</v>
      </c>
      <c r="I329" s="6">
        <v>3848.4333333333338</v>
      </c>
      <c r="J329" s="6">
        <v>13</v>
      </c>
      <c r="K329" s="53">
        <v>288.88538461538462</v>
      </c>
      <c r="L329" s="6">
        <v>3755.5099999999998</v>
      </c>
      <c r="M329" s="6" t="s">
        <v>364</v>
      </c>
      <c r="N329" s="6" t="s">
        <v>364</v>
      </c>
      <c r="O329" s="6" t="s">
        <v>364</v>
      </c>
      <c r="P329" s="6" t="s">
        <v>364</v>
      </c>
      <c r="Q329" s="6" t="s">
        <v>364</v>
      </c>
      <c r="R329" s="6" t="s">
        <v>364</v>
      </c>
      <c r="S329" s="6" t="s">
        <v>364</v>
      </c>
      <c r="T329" s="6" t="s">
        <v>364</v>
      </c>
      <c r="U329" s="8" t="s">
        <v>364</v>
      </c>
      <c r="V329" s="8" t="s">
        <v>364</v>
      </c>
      <c r="W329" s="8">
        <v>1.1666666666666667</v>
      </c>
      <c r="X329" s="8">
        <v>0.80814155031295121</v>
      </c>
      <c r="Y329" s="8">
        <v>0.55999999999999994</v>
      </c>
      <c r="Z329" s="8">
        <v>-2.4145756281777193E-2</v>
      </c>
      <c r="AA329" s="63" t="s">
        <v>49</v>
      </c>
      <c r="AB329" s="64"/>
      <c r="AL329" s="65"/>
    </row>
    <row r="330" spans="1:38" hidden="1" outlineLevel="1" x14ac:dyDescent="0.25">
      <c r="A330" s="21" t="s">
        <v>22</v>
      </c>
      <c r="B330" s="21" t="s">
        <v>564</v>
      </c>
      <c r="C330" s="21" t="s">
        <v>362</v>
      </c>
      <c r="D330" s="15">
        <v>6</v>
      </c>
      <c r="E330" s="57">
        <v>270.66666666666669</v>
      </c>
      <c r="F330" s="15">
        <v>1624</v>
      </c>
      <c r="G330" s="15">
        <v>5.5555555555555554</v>
      </c>
      <c r="H330" s="57">
        <v>479.52500000000003</v>
      </c>
      <c r="I330" s="15">
        <v>2664.0277777777778</v>
      </c>
      <c r="J330" s="15">
        <v>5</v>
      </c>
      <c r="K330" s="57">
        <v>180.60999999999999</v>
      </c>
      <c r="L330" s="15">
        <v>903.05</v>
      </c>
      <c r="M330" s="15" t="s">
        <v>364</v>
      </c>
      <c r="N330" s="15" t="s">
        <v>364</v>
      </c>
      <c r="O330" s="15" t="s">
        <v>364</v>
      </c>
      <c r="P330" s="15" t="s">
        <v>364</v>
      </c>
      <c r="Q330" s="15" t="s">
        <v>364</v>
      </c>
      <c r="R330" s="15" t="s">
        <v>364</v>
      </c>
      <c r="S330" s="15" t="s">
        <v>364</v>
      </c>
      <c r="T330" s="15" t="s">
        <v>364</v>
      </c>
      <c r="U330" s="17" t="s">
        <v>364</v>
      </c>
      <c r="V330" s="17" t="s">
        <v>364</v>
      </c>
      <c r="W330" s="17">
        <v>-0.16666666666666666</v>
      </c>
      <c r="X330" s="17">
        <v>-0.44393472906403941</v>
      </c>
      <c r="Y330" s="17">
        <v>-9.9999999999999964E-2</v>
      </c>
      <c r="Z330" s="17">
        <v>-0.66102080183514944</v>
      </c>
      <c r="AA330" s="63" t="s">
        <v>483</v>
      </c>
      <c r="AB330" s="64"/>
      <c r="AL330" s="65"/>
    </row>
    <row r="331" spans="1:38" hidden="1" outlineLevel="1" x14ac:dyDescent="0.25">
      <c r="A331" s="21" t="s">
        <v>22</v>
      </c>
      <c r="B331" s="21" t="s">
        <v>565</v>
      </c>
      <c r="C331" s="21" t="s">
        <v>363</v>
      </c>
      <c r="D331" s="15">
        <v>1</v>
      </c>
      <c r="E331" s="57">
        <v>453</v>
      </c>
      <c r="F331" s="15">
        <v>453</v>
      </c>
      <c r="G331" s="15">
        <v>2.7777777777777777</v>
      </c>
      <c r="H331" s="57">
        <v>426.38600000000002</v>
      </c>
      <c r="I331" s="15">
        <v>1184.4055555555556</v>
      </c>
      <c r="J331" s="15">
        <v>8</v>
      </c>
      <c r="K331" s="57">
        <v>356.5575</v>
      </c>
      <c r="L331" s="15">
        <v>2852.46</v>
      </c>
      <c r="M331" s="15" t="s">
        <v>364</v>
      </c>
      <c r="N331" s="15" t="s">
        <v>364</v>
      </c>
      <c r="O331" s="15" t="s">
        <v>364</v>
      </c>
      <c r="P331" s="15" t="s">
        <v>364</v>
      </c>
      <c r="Q331" s="15" t="s">
        <v>364</v>
      </c>
      <c r="R331" s="15" t="s">
        <v>364</v>
      </c>
      <c r="S331" s="15" t="s">
        <v>364</v>
      </c>
      <c r="T331" s="15" t="s">
        <v>364</v>
      </c>
      <c r="U331" s="17" t="s">
        <v>364</v>
      </c>
      <c r="V331" s="17" t="s">
        <v>364</v>
      </c>
      <c r="W331" s="17">
        <v>7</v>
      </c>
      <c r="X331" s="17">
        <v>5.2968211920529802</v>
      </c>
      <c r="Y331" s="17">
        <v>1.8800000000000001</v>
      </c>
      <c r="Z331" s="17">
        <v>1.4083473660016981</v>
      </c>
      <c r="AA331" s="63" t="s">
        <v>485</v>
      </c>
      <c r="AB331" s="64"/>
      <c r="AL331" s="65"/>
    </row>
    <row r="332" spans="1:38" collapsed="1" x14ac:dyDescent="0.25">
      <c r="A332" s="5" t="s">
        <v>22</v>
      </c>
      <c r="B332" s="5" t="s">
        <v>49</v>
      </c>
      <c r="C332" s="5" t="s">
        <v>134</v>
      </c>
      <c r="D332" s="6">
        <v>16</v>
      </c>
      <c r="E332" s="53">
        <v>677.75</v>
      </c>
      <c r="F332" s="6">
        <v>10844</v>
      </c>
      <c r="G332" s="6">
        <v>15</v>
      </c>
      <c r="H332" s="53">
        <v>787.04814814814813</v>
      </c>
      <c r="I332" s="6">
        <v>11805.722222222223</v>
      </c>
      <c r="J332" s="6">
        <v>10</v>
      </c>
      <c r="K332" s="53">
        <v>507.97500000000002</v>
      </c>
      <c r="L332" s="6">
        <v>5079.75</v>
      </c>
      <c r="M332" s="6" t="s">
        <v>364</v>
      </c>
      <c r="N332" s="6" t="s">
        <v>364</v>
      </c>
      <c r="O332" s="6" t="s">
        <v>364</v>
      </c>
      <c r="P332" s="6" t="s">
        <v>364</v>
      </c>
      <c r="Q332" s="6" t="s">
        <v>364</v>
      </c>
      <c r="R332" s="6" t="s">
        <v>364</v>
      </c>
      <c r="S332" s="6" t="s">
        <v>364</v>
      </c>
      <c r="T332" s="6" t="s">
        <v>364</v>
      </c>
      <c r="U332" s="8" t="s">
        <v>364</v>
      </c>
      <c r="V332" s="8" t="s">
        <v>364</v>
      </c>
      <c r="W332" s="8">
        <v>-0.375</v>
      </c>
      <c r="X332" s="8">
        <v>-0.53156123201770566</v>
      </c>
      <c r="Y332" s="8">
        <v>-0.33333333333333331</v>
      </c>
      <c r="Z332" s="8">
        <v>-0.56972136863950162</v>
      </c>
      <c r="AA332" s="63" t="s">
        <v>49</v>
      </c>
      <c r="AB332" s="64"/>
      <c r="AL332" s="65"/>
    </row>
    <row r="333" spans="1:38" hidden="1" outlineLevel="1" x14ac:dyDescent="0.25">
      <c r="A333" s="21" t="s">
        <v>22</v>
      </c>
      <c r="B333" s="21" t="s">
        <v>566</v>
      </c>
      <c r="C333" s="21" t="s">
        <v>362</v>
      </c>
      <c r="D333" s="15">
        <v>7</v>
      </c>
      <c r="E333" s="57">
        <v>620</v>
      </c>
      <c r="F333" s="15">
        <v>4340</v>
      </c>
      <c r="G333" s="15">
        <v>7.2222222222222223</v>
      </c>
      <c r="H333" s="57">
        <v>854.25</v>
      </c>
      <c r="I333" s="15">
        <v>6169.583333333333</v>
      </c>
      <c r="J333" s="15">
        <v>2</v>
      </c>
      <c r="K333" s="57">
        <v>979.875</v>
      </c>
      <c r="L333" s="15">
        <v>1959.75</v>
      </c>
      <c r="M333" s="15" t="s">
        <v>364</v>
      </c>
      <c r="N333" s="15" t="s">
        <v>364</v>
      </c>
      <c r="O333" s="15" t="s">
        <v>364</v>
      </c>
      <c r="P333" s="15" t="s">
        <v>364</v>
      </c>
      <c r="Q333" s="15" t="s">
        <v>364</v>
      </c>
      <c r="R333" s="15" t="s">
        <v>364</v>
      </c>
      <c r="S333" s="15" t="s">
        <v>364</v>
      </c>
      <c r="T333" s="15" t="s">
        <v>364</v>
      </c>
      <c r="U333" s="17" t="s">
        <v>364</v>
      </c>
      <c r="V333" s="17" t="s">
        <v>364</v>
      </c>
      <c r="W333" s="17">
        <v>-0.7142857142857143</v>
      </c>
      <c r="X333" s="17">
        <v>-0.54844470046082949</v>
      </c>
      <c r="Y333" s="17">
        <v>-0.72307692307692306</v>
      </c>
      <c r="Z333" s="17">
        <v>-0.68235294117647061</v>
      </c>
      <c r="AA333" s="63" t="s">
        <v>483</v>
      </c>
      <c r="AB333" s="64"/>
      <c r="AL333" s="65"/>
    </row>
    <row r="334" spans="1:38" hidden="1" outlineLevel="1" x14ac:dyDescent="0.25">
      <c r="A334" s="21" t="s">
        <v>22</v>
      </c>
      <c r="B334" s="21" t="s">
        <v>567</v>
      </c>
      <c r="C334" s="21" t="s">
        <v>363</v>
      </c>
      <c r="D334" s="15">
        <v>9</v>
      </c>
      <c r="E334" s="57">
        <v>722.66666666666663</v>
      </c>
      <c r="F334" s="15">
        <v>6504</v>
      </c>
      <c r="G334" s="15">
        <v>7.7777777777777786</v>
      </c>
      <c r="H334" s="57">
        <v>724.6464285714286</v>
      </c>
      <c r="I334" s="15">
        <v>5636.1388888888896</v>
      </c>
      <c r="J334" s="15">
        <v>8</v>
      </c>
      <c r="K334" s="57">
        <v>390</v>
      </c>
      <c r="L334" s="15">
        <v>3120</v>
      </c>
      <c r="M334" s="15" t="s">
        <v>364</v>
      </c>
      <c r="N334" s="15" t="s">
        <v>364</v>
      </c>
      <c r="O334" s="15" t="s">
        <v>364</v>
      </c>
      <c r="P334" s="15" t="s">
        <v>364</v>
      </c>
      <c r="Q334" s="15" t="s">
        <v>364</v>
      </c>
      <c r="R334" s="15" t="s">
        <v>364</v>
      </c>
      <c r="S334" s="15" t="s">
        <v>364</v>
      </c>
      <c r="T334" s="15" t="s">
        <v>364</v>
      </c>
      <c r="U334" s="17" t="s">
        <v>364</v>
      </c>
      <c r="V334" s="17" t="s">
        <v>364</v>
      </c>
      <c r="W334" s="17">
        <v>-0.1111111111111111</v>
      </c>
      <c r="X334" s="17">
        <v>-0.52029520295202947</v>
      </c>
      <c r="Y334" s="17">
        <v>2.8571428571428466E-2</v>
      </c>
      <c r="Z334" s="17">
        <v>-0.44642953952913006</v>
      </c>
      <c r="AA334" s="63" t="s">
        <v>485</v>
      </c>
      <c r="AB334" s="64"/>
      <c r="AL334" s="65"/>
    </row>
    <row r="335" spans="1:38" collapsed="1" x14ac:dyDescent="0.25">
      <c r="A335" s="5" t="s">
        <v>22</v>
      </c>
      <c r="B335" s="5" t="s">
        <v>49</v>
      </c>
      <c r="C335" s="5" t="s">
        <v>135</v>
      </c>
      <c r="D335" s="6">
        <v>43</v>
      </c>
      <c r="E335" s="53">
        <v>281.25581395348837</v>
      </c>
      <c r="F335" s="6">
        <v>12094</v>
      </c>
      <c r="G335" s="6">
        <v>2.2222222222222223</v>
      </c>
      <c r="H335" s="53">
        <v>213.745</v>
      </c>
      <c r="I335" s="6">
        <v>474.98888888888894</v>
      </c>
      <c r="J335" s="6">
        <v>80</v>
      </c>
      <c r="K335" s="53">
        <v>377.93962499999998</v>
      </c>
      <c r="L335" s="6">
        <v>30235.17</v>
      </c>
      <c r="M335" s="6" t="s">
        <v>364</v>
      </c>
      <c r="N335" s="6" t="s">
        <v>364</v>
      </c>
      <c r="O335" s="6" t="s">
        <v>364</v>
      </c>
      <c r="P335" s="6" t="s">
        <v>364</v>
      </c>
      <c r="Q335" s="6" t="s">
        <v>364</v>
      </c>
      <c r="R335" s="6" t="s">
        <v>364</v>
      </c>
      <c r="S335" s="6" t="s">
        <v>364</v>
      </c>
      <c r="T335" s="6" t="s">
        <v>364</v>
      </c>
      <c r="U335" s="8" t="s">
        <v>364</v>
      </c>
      <c r="V335" s="8" t="s">
        <v>364</v>
      </c>
      <c r="W335" s="8">
        <v>0.86046511627906974</v>
      </c>
      <c r="X335" s="8">
        <v>1.5000140565569702</v>
      </c>
      <c r="Y335" s="8">
        <v>34.999999999999993</v>
      </c>
      <c r="Z335" s="8">
        <v>62.654478467332559</v>
      </c>
      <c r="AA335" s="63" t="s">
        <v>49</v>
      </c>
      <c r="AB335" s="64"/>
      <c r="AL335" s="65"/>
    </row>
    <row r="336" spans="1:38" hidden="1" outlineLevel="1" x14ac:dyDescent="0.25">
      <c r="A336" s="21" t="s">
        <v>22</v>
      </c>
      <c r="B336" s="21" t="s">
        <v>568</v>
      </c>
      <c r="C336" s="21" t="s">
        <v>362</v>
      </c>
      <c r="D336" s="15">
        <v>18</v>
      </c>
      <c r="E336" s="57">
        <v>310.88888888888891</v>
      </c>
      <c r="F336" s="15">
        <v>5596</v>
      </c>
      <c r="G336" s="15">
        <v>1.6666666666666667</v>
      </c>
      <c r="H336" s="57">
        <v>215.67333333333335</v>
      </c>
      <c r="I336" s="15">
        <v>359.45555555555558</v>
      </c>
      <c r="J336" s="15">
        <v>38</v>
      </c>
      <c r="K336" s="57">
        <v>385.41447368421052</v>
      </c>
      <c r="L336" s="15">
        <v>14645.75</v>
      </c>
      <c r="M336" s="15" t="s">
        <v>364</v>
      </c>
      <c r="N336" s="15" t="s">
        <v>364</v>
      </c>
      <c r="O336" s="15" t="s">
        <v>364</v>
      </c>
      <c r="P336" s="15" t="s">
        <v>364</v>
      </c>
      <c r="Q336" s="15" t="s">
        <v>364</v>
      </c>
      <c r="R336" s="15" t="s">
        <v>364</v>
      </c>
      <c r="S336" s="15" t="s">
        <v>364</v>
      </c>
      <c r="T336" s="15" t="s">
        <v>364</v>
      </c>
      <c r="U336" s="17" t="s">
        <v>364</v>
      </c>
      <c r="V336" s="17" t="s">
        <v>364</v>
      </c>
      <c r="W336" s="17">
        <v>1.1111111111111112</v>
      </c>
      <c r="X336" s="17">
        <v>1.6171819156540386</v>
      </c>
      <c r="Y336" s="17">
        <v>21.8</v>
      </c>
      <c r="Z336" s="17">
        <v>39.744258291861144</v>
      </c>
      <c r="AA336" s="63" t="s">
        <v>483</v>
      </c>
      <c r="AB336" s="65"/>
      <c r="AL336" s="65"/>
    </row>
    <row r="337" spans="1:38" hidden="1" outlineLevel="1" x14ac:dyDescent="0.25">
      <c r="A337" s="21" t="s">
        <v>22</v>
      </c>
      <c r="B337" s="21" t="s">
        <v>569</v>
      </c>
      <c r="C337" s="21" t="s">
        <v>363</v>
      </c>
      <c r="D337" s="15">
        <v>25</v>
      </c>
      <c r="E337" s="57">
        <v>259.92</v>
      </c>
      <c r="F337" s="15">
        <v>6498</v>
      </c>
      <c r="G337" s="15">
        <v>0.55555555555555558</v>
      </c>
      <c r="H337" s="57">
        <v>207.96</v>
      </c>
      <c r="I337" s="15">
        <v>115.53333333333335</v>
      </c>
      <c r="J337" s="15">
        <v>42</v>
      </c>
      <c r="K337" s="57">
        <v>371.17666666666679</v>
      </c>
      <c r="L337" s="15">
        <v>15589.420000000006</v>
      </c>
      <c r="M337" s="15" t="s">
        <v>364</v>
      </c>
      <c r="N337" s="15" t="s">
        <v>364</v>
      </c>
      <c r="O337" s="15" t="s">
        <v>364</v>
      </c>
      <c r="P337" s="15" t="s">
        <v>364</v>
      </c>
      <c r="Q337" s="15" t="s">
        <v>364</v>
      </c>
      <c r="R337" s="15" t="s">
        <v>364</v>
      </c>
      <c r="S337" s="15" t="s">
        <v>364</v>
      </c>
      <c r="T337" s="15" t="s">
        <v>364</v>
      </c>
      <c r="U337" s="17" t="s">
        <v>364</v>
      </c>
      <c r="V337" s="17" t="s">
        <v>364</v>
      </c>
      <c r="W337" s="17">
        <v>0.68</v>
      </c>
      <c r="X337" s="17">
        <v>1.3991104955370892</v>
      </c>
      <c r="Y337" s="17">
        <v>74.599999999999994</v>
      </c>
      <c r="Z337" s="17">
        <v>133.93439122908256</v>
      </c>
      <c r="AA337" s="63" t="s">
        <v>485</v>
      </c>
      <c r="AB337" s="65"/>
      <c r="AL337" s="65"/>
    </row>
    <row r="338" spans="1:38" collapsed="1" x14ac:dyDescent="0.25">
      <c r="A338" s="5" t="s">
        <v>22</v>
      </c>
      <c r="B338" s="5" t="s">
        <v>49</v>
      </c>
      <c r="C338" s="5" t="s">
        <v>136</v>
      </c>
      <c r="D338" s="6">
        <v>0</v>
      </c>
      <c r="E338" s="53" t="s">
        <v>364</v>
      </c>
      <c r="F338" s="6">
        <v>0</v>
      </c>
      <c r="G338" s="6">
        <v>26.666666666666668</v>
      </c>
      <c r="H338" s="53">
        <v>332.49104166666672</v>
      </c>
      <c r="I338" s="6">
        <v>8866.4277777777788</v>
      </c>
      <c r="J338" s="6">
        <v>71</v>
      </c>
      <c r="K338" s="53">
        <v>349.5761971830986</v>
      </c>
      <c r="L338" s="6">
        <v>24819.91</v>
      </c>
      <c r="M338" s="6" t="s">
        <v>364</v>
      </c>
      <c r="N338" s="6" t="s">
        <v>364</v>
      </c>
      <c r="O338" s="6" t="s">
        <v>364</v>
      </c>
      <c r="P338" s="6" t="s">
        <v>364</v>
      </c>
      <c r="Q338" s="6" t="s">
        <v>364</v>
      </c>
      <c r="R338" s="6" t="s">
        <v>364</v>
      </c>
      <c r="S338" s="6" t="s">
        <v>364</v>
      </c>
      <c r="T338" s="6" t="s">
        <v>364</v>
      </c>
      <c r="U338" s="8" t="s">
        <v>364</v>
      </c>
      <c r="V338" s="8" t="s">
        <v>364</v>
      </c>
      <c r="W338" s="8" t="s">
        <v>364</v>
      </c>
      <c r="X338" s="8" t="s">
        <v>364</v>
      </c>
      <c r="Y338" s="8">
        <v>1.6624999999999996</v>
      </c>
      <c r="Z338" s="8">
        <v>1.7993133900224125</v>
      </c>
      <c r="AA338" s="63" t="s">
        <v>49</v>
      </c>
      <c r="AB338" s="65"/>
      <c r="AL338" s="65"/>
    </row>
    <row r="339" spans="1:38" hidden="1" outlineLevel="1" x14ac:dyDescent="0.25">
      <c r="A339" s="21" t="s">
        <v>22</v>
      </c>
      <c r="B339" s="21" t="s">
        <v>570</v>
      </c>
      <c r="C339" s="21" t="s">
        <v>362</v>
      </c>
      <c r="D339" s="15">
        <v>0</v>
      </c>
      <c r="E339" s="57" t="s">
        <v>364</v>
      </c>
      <c r="F339" s="15">
        <v>0</v>
      </c>
      <c r="G339" s="15">
        <v>11.111111111111111</v>
      </c>
      <c r="H339" s="57">
        <v>348.72150000000011</v>
      </c>
      <c r="I339" s="15">
        <v>3874.6833333333343</v>
      </c>
      <c r="J339" s="15">
        <v>39</v>
      </c>
      <c r="K339" s="57">
        <v>373.10564102564103</v>
      </c>
      <c r="L339" s="15">
        <v>14551.12</v>
      </c>
      <c r="M339" s="15" t="s">
        <v>364</v>
      </c>
      <c r="N339" s="15" t="s">
        <v>364</v>
      </c>
      <c r="O339" s="15" t="s">
        <v>364</v>
      </c>
      <c r="P339" s="15" t="s">
        <v>364</v>
      </c>
      <c r="Q339" s="15" t="s">
        <v>364</v>
      </c>
      <c r="R339" s="15" t="s">
        <v>364</v>
      </c>
      <c r="S339" s="15" t="s">
        <v>364</v>
      </c>
      <c r="T339" s="15" t="s">
        <v>364</v>
      </c>
      <c r="U339" s="17" t="s">
        <v>364</v>
      </c>
      <c r="V339" s="17" t="s">
        <v>364</v>
      </c>
      <c r="W339" s="17" t="s">
        <v>364</v>
      </c>
      <c r="X339" s="17" t="s">
        <v>364</v>
      </c>
      <c r="Y339" s="17">
        <v>2.5100000000000002</v>
      </c>
      <c r="Z339" s="17">
        <v>2.755434637669314</v>
      </c>
      <c r="AA339" s="63" t="s">
        <v>483</v>
      </c>
      <c r="AB339" s="65"/>
      <c r="AL339" s="65"/>
    </row>
    <row r="340" spans="1:38" hidden="1" outlineLevel="1" x14ac:dyDescent="0.25">
      <c r="A340" s="21" t="s">
        <v>22</v>
      </c>
      <c r="B340" s="21" t="s">
        <v>571</v>
      </c>
      <c r="C340" s="21" t="s">
        <v>363</v>
      </c>
      <c r="D340" s="15">
        <v>0</v>
      </c>
      <c r="E340" s="57" t="s">
        <v>364</v>
      </c>
      <c r="F340" s="15">
        <v>0</v>
      </c>
      <c r="G340" s="15">
        <v>15.555555555555557</v>
      </c>
      <c r="H340" s="57">
        <v>320.89785714285711</v>
      </c>
      <c r="I340" s="15">
        <v>4991.7444444444445</v>
      </c>
      <c r="J340" s="15">
        <v>32</v>
      </c>
      <c r="K340" s="57">
        <v>320.89968750000003</v>
      </c>
      <c r="L340" s="15">
        <v>10268.790000000001</v>
      </c>
      <c r="M340" s="15" t="s">
        <v>364</v>
      </c>
      <c r="N340" s="15" t="s">
        <v>364</v>
      </c>
      <c r="O340" s="15" t="s">
        <v>364</v>
      </c>
      <c r="P340" s="15" t="s">
        <v>364</v>
      </c>
      <c r="Q340" s="15" t="s">
        <v>364</v>
      </c>
      <c r="R340" s="15" t="s">
        <v>364</v>
      </c>
      <c r="S340" s="15" t="s">
        <v>364</v>
      </c>
      <c r="T340" s="15" t="s">
        <v>364</v>
      </c>
      <c r="U340" s="17" t="s">
        <v>364</v>
      </c>
      <c r="V340" s="17" t="s">
        <v>364</v>
      </c>
      <c r="W340" s="17" t="s">
        <v>364</v>
      </c>
      <c r="X340" s="17" t="s">
        <v>364</v>
      </c>
      <c r="Y340" s="17">
        <v>1.0571428571428569</v>
      </c>
      <c r="Z340" s="17">
        <v>1.0571545908021467</v>
      </c>
      <c r="AA340" s="63" t="s">
        <v>485</v>
      </c>
      <c r="AB340" s="65"/>
      <c r="AL340" s="65"/>
    </row>
    <row r="341" spans="1:38" collapsed="1" x14ac:dyDescent="0.25">
      <c r="A341" s="5" t="s">
        <v>22</v>
      </c>
      <c r="B341" s="5" t="s">
        <v>49</v>
      </c>
      <c r="C341" s="5" t="s">
        <v>137</v>
      </c>
      <c r="D341" s="6">
        <v>35</v>
      </c>
      <c r="E341" s="53">
        <v>341.31428571428569</v>
      </c>
      <c r="F341" s="6">
        <v>11946</v>
      </c>
      <c r="G341" s="6">
        <v>26.666666666666668</v>
      </c>
      <c r="H341" s="53">
        <v>286.74604166666666</v>
      </c>
      <c r="I341" s="6">
        <v>7646.5611111111111</v>
      </c>
      <c r="J341" s="6">
        <v>74</v>
      </c>
      <c r="K341" s="53">
        <v>341.35567567567563</v>
      </c>
      <c r="L341" s="6">
        <v>25260.319999999996</v>
      </c>
      <c r="M341" s="6" t="s">
        <v>364</v>
      </c>
      <c r="N341" s="6" t="s">
        <v>364</v>
      </c>
      <c r="O341" s="6" t="s">
        <v>364</v>
      </c>
      <c r="P341" s="6" t="s">
        <v>364</v>
      </c>
      <c r="Q341" s="6" t="s">
        <v>364</v>
      </c>
      <c r="R341" s="6" t="s">
        <v>364</v>
      </c>
      <c r="S341" s="6" t="s">
        <v>364</v>
      </c>
      <c r="T341" s="6" t="s">
        <v>364</v>
      </c>
      <c r="U341" s="8" t="s">
        <v>364</v>
      </c>
      <c r="V341" s="8" t="s">
        <v>364</v>
      </c>
      <c r="W341" s="8">
        <v>1.1142857142857143</v>
      </c>
      <c r="X341" s="8">
        <v>1.1145421061443157</v>
      </c>
      <c r="Y341" s="8">
        <v>1.7749999999999997</v>
      </c>
      <c r="Z341" s="8">
        <v>2.3034876244295726</v>
      </c>
      <c r="AA341" s="63" t="s">
        <v>49</v>
      </c>
      <c r="AB341" s="65"/>
      <c r="AL341" s="65"/>
    </row>
    <row r="342" spans="1:38" hidden="1" outlineLevel="1" x14ac:dyDescent="0.25">
      <c r="A342" s="21" t="s">
        <v>22</v>
      </c>
      <c r="B342" s="21" t="s">
        <v>572</v>
      </c>
      <c r="C342" s="21" t="s">
        <v>362</v>
      </c>
      <c r="D342" s="15">
        <v>15</v>
      </c>
      <c r="E342" s="57">
        <v>288.60000000000002</v>
      </c>
      <c r="F342" s="15">
        <v>4329</v>
      </c>
      <c r="G342" s="15">
        <v>12.222222222222223</v>
      </c>
      <c r="H342" s="57">
        <v>302.5872727272727</v>
      </c>
      <c r="I342" s="15">
        <v>3698.2888888888892</v>
      </c>
      <c r="J342" s="15">
        <v>35</v>
      </c>
      <c r="K342" s="57">
        <v>347.04057142857141</v>
      </c>
      <c r="L342" s="15">
        <v>12146.42</v>
      </c>
      <c r="M342" s="15" t="s">
        <v>364</v>
      </c>
      <c r="N342" s="15" t="s">
        <v>364</v>
      </c>
      <c r="O342" s="15" t="s">
        <v>364</v>
      </c>
      <c r="P342" s="15" t="s">
        <v>364</v>
      </c>
      <c r="Q342" s="15" t="s">
        <v>364</v>
      </c>
      <c r="R342" s="15" t="s">
        <v>364</v>
      </c>
      <c r="S342" s="15" t="s">
        <v>364</v>
      </c>
      <c r="T342" s="15" t="s">
        <v>364</v>
      </c>
      <c r="U342" s="17" t="s">
        <v>364</v>
      </c>
      <c r="V342" s="17" t="s">
        <v>364</v>
      </c>
      <c r="W342" s="17">
        <v>1.3333333333333333</v>
      </c>
      <c r="X342" s="17">
        <v>1.8058258258258257</v>
      </c>
      <c r="Y342" s="17">
        <v>1.8636363636363635</v>
      </c>
      <c r="Z342" s="17">
        <v>2.2843350979131487</v>
      </c>
      <c r="AA342" s="63" t="s">
        <v>483</v>
      </c>
      <c r="AB342" s="65"/>
      <c r="AL342" s="65"/>
    </row>
    <row r="343" spans="1:38" hidden="1" outlineLevel="1" x14ac:dyDescent="0.25">
      <c r="A343" s="21" t="s">
        <v>22</v>
      </c>
      <c r="B343" s="21" t="s">
        <v>573</v>
      </c>
      <c r="C343" s="21" t="s">
        <v>363</v>
      </c>
      <c r="D343" s="15">
        <v>20</v>
      </c>
      <c r="E343" s="57">
        <v>380.85</v>
      </c>
      <c r="F343" s="15">
        <v>7617</v>
      </c>
      <c r="G343" s="15">
        <v>14.444444444444445</v>
      </c>
      <c r="H343" s="57">
        <v>273.34192307692302</v>
      </c>
      <c r="I343" s="15">
        <v>3948.2722222222219</v>
      </c>
      <c r="J343" s="15">
        <v>39</v>
      </c>
      <c r="K343" s="57">
        <v>336.25384615384604</v>
      </c>
      <c r="L343" s="15">
        <v>13113.899999999996</v>
      </c>
      <c r="M343" s="15" t="s">
        <v>364</v>
      </c>
      <c r="N343" s="15" t="s">
        <v>364</v>
      </c>
      <c r="O343" s="15" t="s">
        <v>364</v>
      </c>
      <c r="P343" s="15" t="s">
        <v>364</v>
      </c>
      <c r="Q343" s="15" t="s">
        <v>364</v>
      </c>
      <c r="R343" s="15" t="s">
        <v>364</v>
      </c>
      <c r="S343" s="15" t="s">
        <v>364</v>
      </c>
      <c r="T343" s="15" t="s">
        <v>364</v>
      </c>
      <c r="U343" s="17" t="s">
        <v>364</v>
      </c>
      <c r="V343" s="17" t="s">
        <v>364</v>
      </c>
      <c r="W343" s="17">
        <v>0.95</v>
      </c>
      <c r="X343" s="17">
        <v>0.72166207168176399</v>
      </c>
      <c r="Y343" s="17">
        <v>1.7000000000000002</v>
      </c>
      <c r="Z343" s="17">
        <v>2.3214275161146429</v>
      </c>
      <c r="AA343" s="63" t="s">
        <v>485</v>
      </c>
      <c r="AB343" s="65"/>
      <c r="AL343" s="65"/>
    </row>
    <row r="344" spans="1:38" collapsed="1" x14ac:dyDescent="0.25">
      <c r="A344" s="5" t="s">
        <v>22</v>
      </c>
      <c r="B344" s="5" t="s">
        <v>49</v>
      </c>
      <c r="C344" s="5" t="s">
        <v>138</v>
      </c>
      <c r="D344" s="6">
        <v>7</v>
      </c>
      <c r="E344" s="53">
        <v>383.28571428571428</v>
      </c>
      <c r="F344" s="6">
        <v>2683</v>
      </c>
      <c r="G344" s="6">
        <v>26.111111111111111</v>
      </c>
      <c r="H344" s="53">
        <v>401.30127659574487</v>
      </c>
      <c r="I344" s="6">
        <v>10478.422222222227</v>
      </c>
      <c r="J344" s="6">
        <v>43</v>
      </c>
      <c r="K344" s="53">
        <v>423.95627906976739</v>
      </c>
      <c r="L344" s="6">
        <v>18230.12</v>
      </c>
      <c r="M344" s="6" t="s">
        <v>364</v>
      </c>
      <c r="N344" s="6" t="s">
        <v>364</v>
      </c>
      <c r="O344" s="6" t="s">
        <v>364</v>
      </c>
      <c r="P344" s="6" t="s">
        <v>364</v>
      </c>
      <c r="Q344" s="6" t="s">
        <v>364</v>
      </c>
      <c r="R344" s="6" t="s">
        <v>364</v>
      </c>
      <c r="S344" s="6" t="s">
        <v>364</v>
      </c>
      <c r="T344" s="6" t="s">
        <v>364</v>
      </c>
      <c r="U344" s="8" t="s">
        <v>364</v>
      </c>
      <c r="V344" s="8" t="s">
        <v>364</v>
      </c>
      <c r="W344" s="8">
        <v>5.1428571428571432</v>
      </c>
      <c r="X344" s="8">
        <v>5.7946775997018261</v>
      </c>
      <c r="Y344" s="8">
        <v>0.64680851063829792</v>
      </c>
      <c r="Z344" s="8">
        <v>0.73977719291920452</v>
      </c>
      <c r="AA344" s="63" t="s">
        <v>49</v>
      </c>
      <c r="AB344" s="65"/>
      <c r="AL344" s="65"/>
    </row>
    <row r="345" spans="1:38" hidden="1" outlineLevel="1" x14ac:dyDescent="0.25">
      <c r="A345" s="21" t="s">
        <v>22</v>
      </c>
      <c r="B345" s="21" t="s">
        <v>574</v>
      </c>
      <c r="C345" s="21" t="s">
        <v>362</v>
      </c>
      <c r="D345" s="15">
        <v>2</v>
      </c>
      <c r="E345" s="57">
        <v>482.5</v>
      </c>
      <c r="F345" s="15">
        <v>965</v>
      </c>
      <c r="G345" s="15">
        <v>11.111111111111111</v>
      </c>
      <c r="H345" s="57">
        <v>289.41500000000008</v>
      </c>
      <c r="I345" s="15">
        <v>3215.7222222222231</v>
      </c>
      <c r="J345" s="15">
        <v>23</v>
      </c>
      <c r="K345" s="57">
        <v>384.45478260869561</v>
      </c>
      <c r="L345" s="15">
        <v>8842.4599999999991</v>
      </c>
      <c r="M345" s="15" t="s">
        <v>364</v>
      </c>
      <c r="N345" s="15" t="s">
        <v>364</v>
      </c>
      <c r="O345" s="15" t="s">
        <v>364</v>
      </c>
      <c r="P345" s="15" t="s">
        <v>364</v>
      </c>
      <c r="Q345" s="15" t="s">
        <v>364</v>
      </c>
      <c r="R345" s="15" t="s">
        <v>364</v>
      </c>
      <c r="S345" s="15" t="s">
        <v>364</v>
      </c>
      <c r="T345" s="15" t="s">
        <v>364</v>
      </c>
      <c r="U345" s="17" t="s">
        <v>364</v>
      </c>
      <c r="V345" s="17" t="s">
        <v>364</v>
      </c>
      <c r="W345" s="17">
        <v>10.5</v>
      </c>
      <c r="X345" s="17">
        <v>8.1631709844559577</v>
      </c>
      <c r="Y345" s="17">
        <v>1.07</v>
      </c>
      <c r="Z345" s="17">
        <v>1.7497586510719891</v>
      </c>
      <c r="AA345" s="63" t="s">
        <v>483</v>
      </c>
      <c r="AB345" s="65"/>
      <c r="AL345" s="65"/>
    </row>
    <row r="346" spans="1:38" hidden="1" outlineLevel="1" x14ac:dyDescent="0.25">
      <c r="A346" s="21" t="s">
        <v>22</v>
      </c>
      <c r="B346" s="21" t="s">
        <v>575</v>
      </c>
      <c r="C346" s="21" t="s">
        <v>363</v>
      </c>
      <c r="D346" s="15">
        <v>4</v>
      </c>
      <c r="E346" s="57">
        <v>429.25</v>
      </c>
      <c r="F346" s="15">
        <v>1717</v>
      </c>
      <c r="G346" s="15">
        <v>15</v>
      </c>
      <c r="H346" s="57">
        <v>484.18000000000023</v>
      </c>
      <c r="I346" s="15">
        <v>7262.7000000000035</v>
      </c>
      <c r="J346" s="15">
        <v>20</v>
      </c>
      <c r="K346" s="57">
        <v>469.38300000000027</v>
      </c>
      <c r="L346" s="15">
        <v>9387.6600000000053</v>
      </c>
      <c r="M346" s="15" t="s">
        <v>364</v>
      </c>
      <c r="N346" s="15" t="s">
        <v>364</v>
      </c>
      <c r="O346" s="15" t="s">
        <v>364</v>
      </c>
      <c r="P346" s="15" t="s">
        <v>364</v>
      </c>
      <c r="Q346" s="15" t="s">
        <v>364</v>
      </c>
      <c r="R346" s="15" t="s">
        <v>364</v>
      </c>
      <c r="S346" s="15" t="s">
        <v>364</v>
      </c>
      <c r="T346" s="15" t="s">
        <v>364</v>
      </c>
      <c r="U346" s="17" t="s">
        <v>364</v>
      </c>
      <c r="V346" s="17" t="s">
        <v>364</v>
      </c>
      <c r="W346" s="17">
        <v>4</v>
      </c>
      <c r="X346" s="17">
        <v>4.4674781595806667</v>
      </c>
      <c r="Y346" s="17">
        <v>0.33333333333333331</v>
      </c>
      <c r="Z346" s="17">
        <v>0.29258540212317746</v>
      </c>
      <c r="AA346" s="63" t="s">
        <v>485</v>
      </c>
      <c r="AB346" s="65"/>
      <c r="AL346" s="65"/>
    </row>
    <row r="347" spans="1:38" collapsed="1" x14ac:dyDescent="0.25">
      <c r="A347" s="5" t="s">
        <v>22</v>
      </c>
      <c r="B347" s="5" t="s">
        <v>49</v>
      </c>
      <c r="C347" s="5" t="s">
        <v>139</v>
      </c>
      <c r="D347" s="6">
        <v>0</v>
      </c>
      <c r="E347" s="53" t="s">
        <v>364</v>
      </c>
      <c r="F347" s="6">
        <v>12432</v>
      </c>
      <c r="G347" s="6">
        <v>0</v>
      </c>
      <c r="H347" s="53" t="s">
        <v>364</v>
      </c>
      <c r="I347" s="6">
        <v>2924.6388888888891</v>
      </c>
      <c r="J347" s="6">
        <v>0</v>
      </c>
      <c r="K347" s="53" t="s">
        <v>364</v>
      </c>
      <c r="L347" s="6">
        <v>9938.65</v>
      </c>
      <c r="M347" s="6" t="s">
        <v>364</v>
      </c>
      <c r="N347" s="6" t="s">
        <v>364</v>
      </c>
      <c r="O347" s="6" t="s">
        <v>364</v>
      </c>
      <c r="P347" s="6" t="s">
        <v>364</v>
      </c>
      <c r="Q347" s="6" t="s">
        <v>364</v>
      </c>
      <c r="R347" s="6" t="s">
        <v>364</v>
      </c>
      <c r="S347" s="6" t="s">
        <v>364</v>
      </c>
      <c r="T347" s="6" t="s">
        <v>364</v>
      </c>
      <c r="U347" s="8" t="s">
        <v>364</v>
      </c>
      <c r="V347" s="8" t="s">
        <v>364</v>
      </c>
      <c r="W347" s="8" t="s">
        <v>364</v>
      </c>
      <c r="X347" s="8">
        <v>-0.20055904118404122</v>
      </c>
      <c r="Y347" s="8" t="s">
        <v>364</v>
      </c>
      <c r="Z347" s="8">
        <v>2.3982485966928486</v>
      </c>
      <c r="AA347" s="63" t="s">
        <v>49</v>
      </c>
      <c r="AB347" s="65"/>
      <c r="AL347" s="65"/>
    </row>
    <row r="348" spans="1:38" hidden="1" outlineLevel="1" x14ac:dyDescent="0.25">
      <c r="A348" s="21" t="s">
        <v>22</v>
      </c>
      <c r="B348" s="21" t="s">
        <v>576</v>
      </c>
      <c r="C348" s="21" t="s">
        <v>362</v>
      </c>
      <c r="D348" s="15">
        <v>0</v>
      </c>
      <c r="E348" s="57" t="s">
        <v>364</v>
      </c>
      <c r="F348" s="15">
        <v>4910</v>
      </c>
      <c r="G348" s="15">
        <v>0</v>
      </c>
      <c r="H348" s="57" t="s">
        <v>364</v>
      </c>
      <c r="I348" s="15">
        <v>2881.5833333333335</v>
      </c>
      <c r="J348" s="15">
        <v>0</v>
      </c>
      <c r="K348" s="57" t="s">
        <v>364</v>
      </c>
      <c r="L348" s="15">
        <v>4738.55</v>
      </c>
      <c r="M348" s="15" t="s">
        <v>364</v>
      </c>
      <c r="N348" s="15" t="s">
        <v>364</v>
      </c>
      <c r="O348" s="15" t="s">
        <v>364</v>
      </c>
      <c r="P348" s="15" t="s">
        <v>364</v>
      </c>
      <c r="Q348" s="15" t="s">
        <v>364</v>
      </c>
      <c r="R348" s="15" t="s">
        <v>364</v>
      </c>
      <c r="S348" s="15" t="s">
        <v>364</v>
      </c>
      <c r="T348" s="15" t="s">
        <v>364</v>
      </c>
      <c r="U348" s="17" t="s">
        <v>364</v>
      </c>
      <c r="V348" s="17" t="s">
        <v>364</v>
      </c>
      <c r="W348" s="17" t="s">
        <v>364</v>
      </c>
      <c r="X348" s="17">
        <v>-3.4918533604887947E-2</v>
      </c>
      <c r="Y348" s="17" t="s">
        <v>364</v>
      </c>
      <c r="Z348" s="17">
        <v>0.64442580757106915</v>
      </c>
      <c r="AA348" s="63" t="s">
        <v>483</v>
      </c>
      <c r="AB348" s="65"/>
      <c r="AL348" s="65"/>
    </row>
    <row r="349" spans="1:38" hidden="1" outlineLevel="1" x14ac:dyDescent="0.25">
      <c r="A349" s="21" t="s">
        <v>22</v>
      </c>
      <c r="B349" s="21" t="s">
        <v>577</v>
      </c>
      <c r="C349" s="21" t="s">
        <v>363</v>
      </c>
      <c r="D349" s="15">
        <v>0</v>
      </c>
      <c r="E349" s="57" t="s">
        <v>364</v>
      </c>
      <c r="F349" s="15">
        <v>7522</v>
      </c>
      <c r="G349" s="15">
        <v>0</v>
      </c>
      <c r="H349" s="57" t="s">
        <v>364</v>
      </c>
      <c r="I349" s="15">
        <v>43.055555555555557</v>
      </c>
      <c r="J349" s="15">
        <v>0</v>
      </c>
      <c r="K349" s="57" t="s">
        <v>364</v>
      </c>
      <c r="L349" s="15">
        <v>5200.1000000000004</v>
      </c>
      <c r="M349" s="15" t="s">
        <v>364</v>
      </c>
      <c r="N349" s="15" t="s">
        <v>364</v>
      </c>
      <c r="O349" s="15" t="s">
        <v>364</v>
      </c>
      <c r="P349" s="15" t="s">
        <v>364</v>
      </c>
      <c r="Q349" s="15" t="s">
        <v>364</v>
      </c>
      <c r="R349" s="15" t="s">
        <v>364</v>
      </c>
      <c r="S349" s="15" t="s">
        <v>364</v>
      </c>
      <c r="T349" s="15" t="s">
        <v>364</v>
      </c>
      <c r="U349" s="17" t="s">
        <v>364</v>
      </c>
      <c r="V349" s="17" t="s">
        <v>364</v>
      </c>
      <c r="W349" s="17" t="s">
        <v>364</v>
      </c>
      <c r="X349" s="17">
        <v>-0.30868120180802971</v>
      </c>
      <c r="Y349" s="17" t="s">
        <v>364</v>
      </c>
      <c r="Z349" s="17">
        <v>119.77651612903226</v>
      </c>
      <c r="AA349" s="63" t="s">
        <v>485</v>
      </c>
      <c r="AB349" s="65"/>
      <c r="AL349" s="65"/>
    </row>
    <row r="350" spans="1:38" collapsed="1" x14ac:dyDescent="0.25">
      <c r="A350" s="5" t="s">
        <v>22</v>
      </c>
      <c r="B350" s="5" t="s">
        <v>49</v>
      </c>
      <c r="C350" s="5" t="s">
        <v>140</v>
      </c>
      <c r="D350" s="6">
        <v>0</v>
      </c>
      <c r="E350" s="53" t="s">
        <v>364</v>
      </c>
      <c r="F350" s="6">
        <v>0</v>
      </c>
      <c r="G350" s="6">
        <v>0</v>
      </c>
      <c r="H350" s="53" t="s">
        <v>364</v>
      </c>
      <c r="I350" s="6">
        <v>0</v>
      </c>
      <c r="J350" s="6">
        <v>27</v>
      </c>
      <c r="K350" s="53">
        <v>588.58703703703702</v>
      </c>
      <c r="L350" s="6">
        <v>15891.849999999999</v>
      </c>
      <c r="M350" s="6" t="s">
        <v>364</v>
      </c>
      <c r="N350" s="6" t="s">
        <v>364</v>
      </c>
      <c r="O350" s="6" t="s">
        <v>364</v>
      </c>
      <c r="P350" s="6" t="s">
        <v>364</v>
      </c>
      <c r="Q350" s="6" t="s">
        <v>364</v>
      </c>
      <c r="R350" s="6" t="s">
        <v>364</v>
      </c>
      <c r="S350" s="6" t="s">
        <v>364</v>
      </c>
      <c r="T350" s="6" t="s">
        <v>364</v>
      </c>
      <c r="U350" s="8" t="s">
        <v>364</v>
      </c>
      <c r="V350" s="8" t="s">
        <v>364</v>
      </c>
      <c r="W350" s="8" t="s">
        <v>364</v>
      </c>
      <c r="X350" s="8" t="s">
        <v>364</v>
      </c>
      <c r="Y350" s="8" t="s">
        <v>364</v>
      </c>
      <c r="Z350" s="8" t="s">
        <v>364</v>
      </c>
      <c r="AA350" s="63" t="s">
        <v>49</v>
      </c>
      <c r="AB350" s="65"/>
      <c r="AL350" s="65"/>
    </row>
    <row r="351" spans="1:38" hidden="1" outlineLevel="1" x14ac:dyDescent="0.25">
      <c r="A351" s="21" t="s">
        <v>22</v>
      </c>
      <c r="B351" s="21" t="s">
        <v>578</v>
      </c>
      <c r="C351" s="21" t="s">
        <v>362</v>
      </c>
      <c r="D351" s="15">
        <v>0</v>
      </c>
      <c r="E351" s="57" t="s">
        <v>364</v>
      </c>
      <c r="F351" s="15">
        <v>0</v>
      </c>
      <c r="G351" s="15">
        <v>0</v>
      </c>
      <c r="H351" s="57" t="s">
        <v>364</v>
      </c>
      <c r="I351" s="15">
        <v>0</v>
      </c>
      <c r="J351" s="15">
        <v>17</v>
      </c>
      <c r="K351" s="57">
        <v>523.76117647058811</v>
      </c>
      <c r="L351" s="15">
        <v>8903.9399999999987</v>
      </c>
      <c r="M351" s="15" t="s">
        <v>364</v>
      </c>
      <c r="N351" s="15" t="s">
        <v>364</v>
      </c>
      <c r="O351" s="15" t="s">
        <v>364</v>
      </c>
      <c r="P351" s="15" t="s">
        <v>364</v>
      </c>
      <c r="Q351" s="15" t="s">
        <v>364</v>
      </c>
      <c r="R351" s="15" t="s">
        <v>364</v>
      </c>
      <c r="S351" s="15" t="s">
        <v>364</v>
      </c>
      <c r="T351" s="15" t="s">
        <v>364</v>
      </c>
      <c r="U351" s="17" t="s">
        <v>364</v>
      </c>
      <c r="V351" s="17" t="s">
        <v>364</v>
      </c>
      <c r="W351" s="17" t="s">
        <v>364</v>
      </c>
      <c r="X351" s="17" t="s">
        <v>364</v>
      </c>
      <c r="Y351" s="17" t="s">
        <v>364</v>
      </c>
      <c r="Z351" s="17" t="s">
        <v>364</v>
      </c>
      <c r="AA351" s="63" t="s">
        <v>483</v>
      </c>
      <c r="AB351" s="65"/>
      <c r="AL351" s="65"/>
    </row>
    <row r="352" spans="1:38" hidden="1" outlineLevel="1" x14ac:dyDescent="0.25">
      <c r="A352" s="21" t="s">
        <v>22</v>
      </c>
      <c r="B352" s="21" t="s">
        <v>579</v>
      </c>
      <c r="C352" s="21" t="s">
        <v>363</v>
      </c>
      <c r="D352" s="15">
        <v>0</v>
      </c>
      <c r="E352" s="57" t="s">
        <v>364</v>
      </c>
      <c r="F352" s="15">
        <v>0</v>
      </c>
      <c r="G352" s="15">
        <v>0</v>
      </c>
      <c r="H352" s="57" t="s">
        <v>364</v>
      </c>
      <c r="I352" s="15">
        <v>0</v>
      </c>
      <c r="J352" s="15">
        <v>10</v>
      </c>
      <c r="K352" s="57">
        <v>698.79099999999994</v>
      </c>
      <c r="L352" s="15">
        <v>6987.91</v>
      </c>
      <c r="M352" s="15" t="s">
        <v>364</v>
      </c>
      <c r="N352" s="15" t="s">
        <v>364</v>
      </c>
      <c r="O352" s="15" t="s">
        <v>364</v>
      </c>
      <c r="P352" s="15" t="s">
        <v>364</v>
      </c>
      <c r="Q352" s="15" t="s">
        <v>364</v>
      </c>
      <c r="R352" s="15" t="s">
        <v>364</v>
      </c>
      <c r="S352" s="15" t="s">
        <v>364</v>
      </c>
      <c r="T352" s="15" t="s">
        <v>364</v>
      </c>
      <c r="U352" s="17" t="s">
        <v>364</v>
      </c>
      <c r="V352" s="17" t="s">
        <v>364</v>
      </c>
      <c r="W352" s="17" t="s">
        <v>364</v>
      </c>
      <c r="X352" s="17" t="s">
        <v>364</v>
      </c>
      <c r="Y352" s="17" t="s">
        <v>364</v>
      </c>
      <c r="Z352" s="17" t="s">
        <v>364</v>
      </c>
      <c r="AA352" s="63" t="s">
        <v>485</v>
      </c>
      <c r="AB352" s="65"/>
      <c r="AL352" s="65"/>
    </row>
    <row r="353" spans="1:38" collapsed="1" x14ac:dyDescent="0.25">
      <c r="A353" s="5" t="s">
        <v>22</v>
      </c>
      <c r="B353" s="5" t="s">
        <v>49</v>
      </c>
      <c r="C353" s="5" t="s">
        <v>141</v>
      </c>
      <c r="D353" s="6">
        <v>13</v>
      </c>
      <c r="E353" s="53">
        <v>827.23076923076928</v>
      </c>
      <c r="F353" s="6">
        <v>10754</v>
      </c>
      <c r="G353" s="6">
        <v>18.333333333333336</v>
      </c>
      <c r="H353" s="53">
        <v>1186.0790909090908</v>
      </c>
      <c r="I353" s="6">
        <v>21744.783333333333</v>
      </c>
      <c r="J353" s="6">
        <v>23</v>
      </c>
      <c r="K353" s="53">
        <v>1750.5769565217392</v>
      </c>
      <c r="L353" s="6">
        <v>40263.270000000004</v>
      </c>
      <c r="M353" s="6" t="s">
        <v>364</v>
      </c>
      <c r="N353" s="6" t="s">
        <v>364</v>
      </c>
      <c r="O353" s="6" t="s">
        <v>364</v>
      </c>
      <c r="P353" s="6" t="s">
        <v>364</v>
      </c>
      <c r="Q353" s="6" t="s">
        <v>364</v>
      </c>
      <c r="R353" s="6" t="s">
        <v>364</v>
      </c>
      <c r="S353" s="6" t="s">
        <v>364</v>
      </c>
      <c r="T353" s="6" t="s">
        <v>364</v>
      </c>
      <c r="U353" s="8" t="s">
        <v>364</v>
      </c>
      <c r="V353" s="8" t="s">
        <v>364</v>
      </c>
      <c r="W353" s="8">
        <v>0.76923076923076927</v>
      </c>
      <c r="X353" s="8">
        <v>2.7440273386646834</v>
      </c>
      <c r="Y353" s="8">
        <v>0.25454545454545441</v>
      </c>
      <c r="Z353" s="8">
        <v>0.85162893475599921</v>
      </c>
      <c r="AA353" s="63" t="s">
        <v>49</v>
      </c>
      <c r="AB353" s="65"/>
      <c r="AL353" s="65"/>
    </row>
    <row r="354" spans="1:38" hidden="1" outlineLevel="1" x14ac:dyDescent="0.25">
      <c r="A354" s="21" t="s">
        <v>22</v>
      </c>
      <c r="B354" s="21" t="s">
        <v>580</v>
      </c>
      <c r="C354" s="21" t="s">
        <v>362</v>
      </c>
      <c r="D354" s="15">
        <v>1</v>
      </c>
      <c r="E354" s="57">
        <v>848</v>
      </c>
      <c r="F354" s="15">
        <v>848</v>
      </c>
      <c r="G354" s="15">
        <v>1.6666666666666667</v>
      </c>
      <c r="H354" s="57">
        <v>784.13333333333333</v>
      </c>
      <c r="I354" s="15">
        <v>1306.8888888888889</v>
      </c>
      <c r="J354" s="15">
        <v>3</v>
      </c>
      <c r="K354" s="57">
        <v>1452</v>
      </c>
      <c r="L354" s="15">
        <v>4356</v>
      </c>
      <c r="M354" s="15" t="s">
        <v>364</v>
      </c>
      <c r="N354" s="15" t="s">
        <v>364</v>
      </c>
      <c r="O354" s="15" t="s">
        <v>364</v>
      </c>
      <c r="P354" s="15" t="s">
        <v>364</v>
      </c>
      <c r="Q354" s="15" t="s">
        <v>364</v>
      </c>
      <c r="R354" s="15" t="s">
        <v>364</v>
      </c>
      <c r="S354" s="15" t="s">
        <v>364</v>
      </c>
      <c r="T354" s="15" t="s">
        <v>364</v>
      </c>
      <c r="U354" s="17" t="s">
        <v>364</v>
      </c>
      <c r="V354" s="17" t="s">
        <v>364</v>
      </c>
      <c r="W354" s="17">
        <v>2</v>
      </c>
      <c r="X354" s="17">
        <v>4.1367924528301883</v>
      </c>
      <c r="Y354" s="17">
        <v>0.79999999999999993</v>
      </c>
      <c r="Z354" s="17">
        <v>2.3331066145213399</v>
      </c>
      <c r="AA354" s="63" t="s">
        <v>483</v>
      </c>
      <c r="AB354" s="65"/>
      <c r="AL354" s="65"/>
    </row>
    <row r="355" spans="1:38" hidden="1" outlineLevel="1" x14ac:dyDescent="0.25">
      <c r="A355" s="21" t="s">
        <v>22</v>
      </c>
      <c r="B355" s="21" t="s">
        <v>581</v>
      </c>
      <c r="C355" s="21" t="s">
        <v>363</v>
      </c>
      <c r="D355" s="15">
        <v>12</v>
      </c>
      <c r="E355" s="57">
        <v>825.5</v>
      </c>
      <c r="F355" s="15">
        <v>9906</v>
      </c>
      <c r="G355" s="15">
        <v>16.666666666666668</v>
      </c>
      <c r="H355" s="57">
        <v>1226.2736666666667</v>
      </c>
      <c r="I355" s="15">
        <v>20437.894444444446</v>
      </c>
      <c r="J355" s="15">
        <v>20</v>
      </c>
      <c r="K355" s="57">
        <v>1795.3635000000002</v>
      </c>
      <c r="L355" s="15">
        <v>35907.270000000004</v>
      </c>
      <c r="M355" s="15" t="s">
        <v>364</v>
      </c>
      <c r="N355" s="15" t="s">
        <v>364</v>
      </c>
      <c r="O355" s="15" t="s">
        <v>364</v>
      </c>
      <c r="P355" s="15" t="s">
        <v>364</v>
      </c>
      <c r="Q355" s="15" t="s">
        <v>364</v>
      </c>
      <c r="R355" s="15" t="s">
        <v>364</v>
      </c>
      <c r="S355" s="15" t="s">
        <v>364</v>
      </c>
      <c r="T355" s="15" t="s">
        <v>364</v>
      </c>
      <c r="U355" s="17" t="s">
        <v>364</v>
      </c>
      <c r="V355" s="17" t="s">
        <v>364</v>
      </c>
      <c r="W355" s="17">
        <v>0.66666666666666663</v>
      </c>
      <c r="X355" s="17">
        <v>2.6248001211387044</v>
      </c>
      <c r="Y355" s="17">
        <v>0.19999999999999993</v>
      </c>
      <c r="Z355" s="17">
        <v>0.75689673403517055</v>
      </c>
      <c r="AA355" s="63" t="s">
        <v>485</v>
      </c>
      <c r="AB355" s="65"/>
      <c r="AL355" s="65"/>
    </row>
    <row r="356" spans="1:38" collapsed="1" x14ac:dyDescent="0.25">
      <c r="A356" s="5" t="s">
        <v>22</v>
      </c>
      <c r="B356" s="5" t="s">
        <v>49</v>
      </c>
      <c r="C356" s="5" t="s">
        <v>142</v>
      </c>
      <c r="D356" s="6">
        <v>9</v>
      </c>
      <c r="E356" s="53">
        <v>799.33333333333337</v>
      </c>
      <c r="F356" s="6">
        <v>7194</v>
      </c>
      <c r="G356" s="6">
        <v>17.222222222222221</v>
      </c>
      <c r="H356" s="53">
        <v>922.00419354838721</v>
      </c>
      <c r="I356" s="6">
        <v>15878.961111111112</v>
      </c>
      <c r="J356" s="6">
        <v>15</v>
      </c>
      <c r="K356" s="53">
        <v>905.13666666666677</v>
      </c>
      <c r="L356" s="6">
        <v>13577.050000000001</v>
      </c>
      <c r="M356" s="6" t="s">
        <v>364</v>
      </c>
      <c r="N356" s="6" t="s">
        <v>364</v>
      </c>
      <c r="O356" s="6" t="s">
        <v>364</v>
      </c>
      <c r="P356" s="6" t="s">
        <v>364</v>
      </c>
      <c r="Q356" s="6" t="s">
        <v>364</v>
      </c>
      <c r="R356" s="6" t="s">
        <v>364</v>
      </c>
      <c r="S356" s="6" t="s">
        <v>364</v>
      </c>
      <c r="T356" s="6" t="s">
        <v>364</v>
      </c>
      <c r="U356" s="8" t="s">
        <v>364</v>
      </c>
      <c r="V356" s="8" t="s">
        <v>364</v>
      </c>
      <c r="W356" s="8">
        <v>0.66666666666666663</v>
      </c>
      <c r="X356" s="8">
        <v>0.88727411731998906</v>
      </c>
      <c r="Y356" s="8">
        <v>-0.1290322580645161</v>
      </c>
      <c r="Z356" s="8">
        <v>-0.14496610294614148</v>
      </c>
      <c r="AA356" s="63" t="s">
        <v>49</v>
      </c>
      <c r="AB356" s="65"/>
      <c r="AL356" s="65"/>
    </row>
    <row r="357" spans="1:38" hidden="1" outlineLevel="1" x14ac:dyDescent="0.25">
      <c r="A357" s="21" t="s">
        <v>22</v>
      </c>
      <c r="B357" s="21" t="s">
        <v>582</v>
      </c>
      <c r="C357" s="21" t="s">
        <v>362</v>
      </c>
      <c r="D357" s="15">
        <v>2</v>
      </c>
      <c r="E357" s="57">
        <v>299.5</v>
      </c>
      <c r="F357" s="15">
        <v>599</v>
      </c>
      <c r="G357" s="15">
        <v>1.1111111111111112</v>
      </c>
      <c r="H357" s="57">
        <v>33</v>
      </c>
      <c r="I357" s="15">
        <v>36.666666666666671</v>
      </c>
      <c r="J357" s="15">
        <v>0</v>
      </c>
      <c r="K357" s="57" t="s">
        <v>364</v>
      </c>
      <c r="L357" s="15">
        <v>0</v>
      </c>
      <c r="M357" s="15" t="s">
        <v>364</v>
      </c>
      <c r="N357" s="15" t="s">
        <v>364</v>
      </c>
      <c r="O357" s="15" t="s">
        <v>364</v>
      </c>
      <c r="P357" s="15" t="s">
        <v>364</v>
      </c>
      <c r="Q357" s="15" t="s">
        <v>364</v>
      </c>
      <c r="R357" s="15" t="s">
        <v>364</v>
      </c>
      <c r="S357" s="15" t="s">
        <v>364</v>
      </c>
      <c r="T357" s="15" t="s">
        <v>364</v>
      </c>
      <c r="U357" s="17" t="s">
        <v>364</v>
      </c>
      <c r="V357" s="17" t="s">
        <v>364</v>
      </c>
      <c r="W357" s="17">
        <v>-1</v>
      </c>
      <c r="X357" s="17">
        <v>-1</v>
      </c>
      <c r="Y357" s="17">
        <v>-1</v>
      </c>
      <c r="Z357" s="17">
        <v>-1</v>
      </c>
      <c r="AA357" s="63" t="s">
        <v>483</v>
      </c>
      <c r="AB357" s="65"/>
      <c r="AL357" s="65"/>
    </row>
    <row r="358" spans="1:38" hidden="1" outlineLevel="1" x14ac:dyDescent="0.25">
      <c r="A358" s="21" t="s">
        <v>22</v>
      </c>
      <c r="B358" s="21" t="s">
        <v>583</v>
      </c>
      <c r="C358" s="21" t="s">
        <v>363</v>
      </c>
      <c r="D358" s="15">
        <v>8</v>
      </c>
      <c r="E358" s="57">
        <v>824.375</v>
      </c>
      <c r="F358" s="15">
        <v>6595</v>
      </c>
      <c r="G358" s="15">
        <v>16.111111111111111</v>
      </c>
      <c r="H358" s="57">
        <v>983.314827586207</v>
      </c>
      <c r="I358" s="15">
        <v>15842.294444444446</v>
      </c>
      <c r="J358" s="15">
        <v>15</v>
      </c>
      <c r="K358" s="57">
        <v>905.13666666666677</v>
      </c>
      <c r="L358" s="15">
        <v>13577.050000000001</v>
      </c>
      <c r="M358" s="15" t="s">
        <v>364</v>
      </c>
      <c r="N358" s="15" t="s">
        <v>364</v>
      </c>
      <c r="O358" s="15" t="s">
        <v>364</v>
      </c>
      <c r="P358" s="15" t="s">
        <v>364</v>
      </c>
      <c r="Q358" s="15" t="s">
        <v>364</v>
      </c>
      <c r="R358" s="15" t="s">
        <v>364</v>
      </c>
      <c r="S358" s="15" t="s">
        <v>364</v>
      </c>
      <c r="T358" s="15" t="s">
        <v>364</v>
      </c>
      <c r="U358" s="17" t="s">
        <v>364</v>
      </c>
      <c r="V358" s="17" t="s">
        <v>364</v>
      </c>
      <c r="W358" s="17">
        <v>0.875</v>
      </c>
      <c r="X358" s="17">
        <v>1.0586884003032602</v>
      </c>
      <c r="Y358" s="17">
        <v>-6.8965517241379282E-2</v>
      </c>
      <c r="Z358" s="17">
        <v>-0.14298714446876207</v>
      </c>
      <c r="AA358" s="63" t="s">
        <v>485</v>
      </c>
      <c r="AB358" s="65"/>
      <c r="AL358" s="65"/>
    </row>
    <row r="359" spans="1:38" collapsed="1" x14ac:dyDescent="0.25">
      <c r="A359" s="5" t="s">
        <v>22</v>
      </c>
      <c r="B359" s="5" t="s">
        <v>49</v>
      </c>
      <c r="C359" s="5" t="s">
        <v>143</v>
      </c>
      <c r="D359" s="6">
        <v>0</v>
      </c>
      <c r="E359" s="53" t="s">
        <v>364</v>
      </c>
      <c r="F359" s="6">
        <v>29705</v>
      </c>
      <c r="G359" s="6">
        <v>0</v>
      </c>
      <c r="H359" s="53" t="s">
        <v>364</v>
      </c>
      <c r="I359" s="6">
        <v>63889.572222222181</v>
      </c>
      <c r="J359" s="6">
        <v>0</v>
      </c>
      <c r="K359" s="53" t="s">
        <v>364</v>
      </c>
      <c r="L359" s="6">
        <v>5003.6499999999996</v>
      </c>
      <c r="M359" s="6" t="s">
        <v>364</v>
      </c>
      <c r="N359" s="6" t="s">
        <v>364</v>
      </c>
      <c r="O359" s="6" t="s">
        <v>364</v>
      </c>
      <c r="P359" s="6" t="s">
        <v>364</v>
      </c>
      <c r="Q359" s="6" t="s">
        <v>364</v>
      </c>
      <c r="R359" s="6" t="s">
        <v>364</v>
      </c>
      <c r="S359" s="6" t="s">
        <v>364</v>
      </c>
      <c r="T359" s="6" t="s">
        <v>364</v>
      </c>
      <c r="U359" s="8" t="s">
        <v>364</v>
      </c>
      <c r="V359" s="8" t="s">
        <v>364</v>
      </c>
      <c r="W359" s="8" t="s">
        <v>364</v>
      </c>
      <c r="X359" s="8">
        <v>-0.83155529372159565</v>
      </c>
      <c r="Y359" s="8" t="s">
        <v>364</v>
      </c>
      <c r="Z359" s="8">
        <v>-0.92168283765312764</v>
      </c>
      <c r="AA359" s="63" t="s">
        <v>49</v>
      </c>
      <c r="AB359" s="65"/>
      <c r="AL359" s="65"/>
    </row>
    <row r="360" spans="1:38" hidden="1" outlineLevel="1" x14ac:dyDescent="0.25">
      <c r="A360" s="21" t="s">
        <v>22</v>
      </c>
      <c r="B360" s="21" t="s">
        <v>584</v>
      </c>
      <c r="C360" s="21" t="s">
        <v>362</v>
      </c>
      <c r="D360" s="15">
        <v>0</v>
      </c>
      <c r="E360" s="57" t="s">
        <v>364</v>
      </c>
      <c r="F360" s="15">
        <v>29655</v>
      </c>
      <c r="G360" s="15">
        <v>0</v>
      </c>
      <c r="H360" s="57" t="s">
        <v>364</v>
      </c>
      <c r="I360" s="15">
        <v>63796.333333333292</v>
      </c>
      <c r="J360" s="15">
        <v>0</v>
      </c>
      <c r="K360" s="57" t="s">
        <v>364</v>
      </c>
      <c r="L360" s="15">
        <v>3921.1699999999992</v>
      </c>
      <c r="M360" s="15" t="s">
        <v>364</v>
      </c>
      <c r="N360" s="15" t="s">
        <v>364</v>
      </c>
      <c r="O360" s="15" t="s">
        <v>364</v>
      </c>
      <c r="P360" s="15" t="s">
        <v>364</v>
      </c>
      <c r="Q360" s="15" t="s">
        <v>364</v>
      </c>
      <c r="R360" s="15" t="s">
        <v>364</v>
      </c>
      <c r="S360" s="15" t="s">
        <v>364</v>
      </c>
      <c r="T360" s="15" t="s">
        <v>364</v>
      </c>
      <c r="U360" s="17" t="s">
        <v>364</v>
      </c>
      <c r="V360" s="17" t="s">
        <v>364</v>
      </c>
      <c r="W360" s="17" t="s">
        <v>364</v>
      </c>
      <c r="X360" s="17">
        <v>-0.86777373124262358</v>
      </c>
      <c r="Y360" s="17" t="s">
        <v>364</v>
      </c>
      <c r="Z360" s="17">
        <v>-0.93853612276567622</v>
      </c>
      <c r="AA360" s="63" t="s">
        <v>483</v>
      </c>
      <c r="AB360" s="65"/>
      <c r="AL360" s="65"/>
    </row>
    <row r="361" spans="1:38" hidden="1" outlineLevel="1" x14ac:dyDescent="0.25">
      <c r="A361" s="21" t="s">
        <v>22</v>
      </c>
      <c r="B361" s="21" t="s">
        <v>585</v>
      </c>
      <c r="C361" s="21" t="s">
        <v>363</v>
      </c>
      <c r="D361" s="15">
        <v>0</v>
      </c>
      <c r="E361" s="57" t="s">
        <v>364</v>
      </c>
      <c r="F361" s="15">
        <v>50</v>
      </c>
      <c r="G361" s="15">
        <v>0</v>
      </c>
      <c r="H361" s="57" t="s">
        <v>364</v>
      </c>
      <c r="I361" s="15">
        <v>93.23888888888888</v>
      </c>
      <c r="J361" s="15">
        <v>0</v>
      </c>
      <c r="K361" s="57" t="s">
        <v>364</v>
      </c>
      <c r="L361" s="15">
        <v>1082.48</v>
      </c>
      <c r="M361" s="15" t="s">
        <v>364</v>
      </c>
      <c r="N361" s="15" t="s">
        <v>364</v>
      </c>
      <c r="O361" s="15" t="s">
        <v>364</v>
      </c>
      <c r="P361" s="15" t="s">
        <v>364</v>
      </c>
      <c r="Q361" s="15" t="s">
        <v>364</v>
      </c>
      <c r="R361" s="15" t="s">
        <v>364</v>
      </c>
      <c r="S361" s="15" t="s">
        <v>364</v>
      </c>
      <c r="T361" s="15" t="s">
        <v>364</v>
      </c>
      <c r="U361" s="17" t="s">
        <v>364</v>
      </c>
      <c r="V361" s="17" t="s">
        <v>364</v>
      </c>
      <c r="W361" s="17" t="s">
        <v>364</v>
      </c>
      <c r="X361" s="17">
        <v>20.6496</v>
      </c>
      <c r="Y361" s="17" t="s">
        <v>364</v>
      </c>
      <c r="Z361" s="17">
        <v>10.609747959244476</v>
      </c>
      <c r="AA361" s="63" t="s">
        <v>485</v>
      </c>
      <c r="AB361" s="65"/>
      <c r="AL361" s="65"/>
    </row>
    <row r="362" spans="1:38" collapsed="1" x14ac:dyDescent="0.25">
      <c r="A362" s="5" t="s">
        <v>22</v>
      </c>
      <c r="B362" s="5" t="s">
        <v>49</v>
      </c>
      <c r="C362" s="5" t="s">
        <v>341</v>
      </c>
      <c r="D362" s="6">
        <v>0</v>
      </c>
      <c r="E362" s="53" t="s">
        <v>364</v>
      </c>
      <c r="F362" s="6">
        <v>0</v>
      </c>
      <c r="G362" s="6">
        <v>0</v>
      </c>
      <c r="H362" s="53" t="s">
        <v>364</v>
      </c>
      <c r="I362" s="6">
        <v>0</v>
      </c>
      <c r="J362" s="6">
        <v>9</v>
      </c>
      <c r="K362" s="53">
        <v>182.53777777777779</v>
      </c>
      <c r="L362" s="6">
        <v>1642.8400000000001</v>
      </c>
      <c r="M362" s="6" t="s">
        <v>364</v>
      </c>
      <c r="N362" s="6" t="s">
        <v>364</v>
      </c>
      <c r="O362" s="6" t="s">
        <v>364</v>
      </c>
      <c r="P362" s="6" t="s">
        <v>364</v>
      </c>
      <c r="Q362" s="6" t="s">
        <v>364</v>
      </c>
      <c r="R362" s="6" t="s">
        <v>364</v>
      </c>
      <c r="S362" s="6" t="s">
        <v>364</v>
      </c>
      <c r="T362" s="6" t="s">
        <v>364</v>
      </c>
      <c r="U362" s="8" t="s">
        <v>364</v>
      </c>
      <c r="V362" s="8" t="s">
        <v>364</v>
      </c>
      <c r="W362" s="8" t="s">
        <v>364</v>
      </c>
      <c r="X362" s="8" t="s">
        <v>364</v>
      </c>
      <c r="Y362" s="8" t="s">
        <v>364</v>
      </c>
      <c r="Z362" s="8" t="s">
        <v>364</v>
      </c>
      <c r="AA362" s="63" t="s">
        <v>49</v>
      </c>
      <c r="AB362" s="65"/>
      <c r="AL362" s="65"/>
    </row>
    <row r="363" spans="1:38" hidden="1" outlineLevel="1" x14ac:dyDescent="0.25">
      <c r="A363" s="21" t="s">
        <v>22</v>
      </c>
      <c r="B363" s="21" t="s">
        <v>586</v>
      </c>
      <c r="C363" s="21" t="s">
        <v>362</v>
      </c>
      <c r="D363" s="15">
        <v>0</v>
      </c>
      <c r="E363" s="57" t="s">
        <v>364</v>
      </c>
      <c r="F363" s="15">
        <v>0</v>
      </c>
      <c r="G363" s="15">
        <v>0</v>
      </c>
      <c r="H363" s="57" t="s">
        <v>364</v>
      </c>
      <c r="I363" s="15">
        <v>0</v>
      </c>
      <c r="J363" s="15">
        <v>0</v>
      </c>
      <c r="K363" s="57" t="s">
        <v>364</v>
      </c>
      <c r="L363" s="15">
        <v>0</v>
      </c>
      <c r="M363" s="15" t="s">
        <v>364</v>
      </c>
      <c r="N363" s="15" t="s">
        <v>364</v>
      </c>
      <c r="O363" s="15" t="s">
        <v>364</v>
      </c>
      <c r="P363" s="15" t="s">
        <v>364</v>
      </c>
      <c r="Q363" s="15" t="s">
        <v>364</v>
      </c>
      <c r="R363" s="15" t="s">
        <v>364</v>
      </c>
      <c r="S363" s="15" t="s">
        <v>364</v>
      </c>
      <c r="T363" s="15" t="s">
        <v>364</v>
      </c>
      <c r="U363" s="17" t="s">
        <v>364</v>
      </c>
      <c r="V363" s="17" t="s">
        <v>364</v>
      </c>
      <c r="W363" s="17" t="s">
        <v>364</v>
      </c>
      <c r="X363" s="17" t="s">
        <v>364</v>
      </c>
      <c r="Y363" s="17" t="s">
        <v>364</v>
      </c>
      <c r="Z363" s="17" t="s">
        <v>364</v>
      </c>
      <c r="AA363" s="63" t="s">
        <v>483</v>
      </c>
      <c r="AB363" s="65"/>
      <c r="AL363" s="65"/>
    </row>
    <row r="364" spans="1:38" hidden="1" outlineLevel="1" x14ac:dyDescent="0.25">
      <c r="A364" s="21" t="s">
        <v>22</v>
      </c>
      <c r="B364" s="21" t="s">
        <v>587</v>
      </c>
      <c r="C364" s="21" t="s">
        <v>363</v>
      </c>
      <c r="D364" s="15">
        <v>0</v>
      </c>
      <c r="E364" s="57" t="s">
        <v>364</v>
      </c>
      <c r="F364" s="15">
        <v>0</v>
      </c>
      <c r="G364" s="15">
        <v>0</v>
      </c>
      <c r="H364" s="57" t="s">
        <v>364</v>
      </c>
      <c r="I364" s="15">
        <v>0</v>
      </c>
      <c r="J364" s="15">
        <v>9</v>
      </c>
      <c r="K364" s="57">
        <v>182.53777777777779</v>
      </c>
      <c r="L364" s="15">
        <v>1642.8400000000001</v>
      </c>
      <c r="M364" s="15" t="s">
        <v>364</v>
      </c>
      <c r="N364" s="15" t="s">
        <v>364</v>
      </c>
      <c r="O364" s="15" t="s">
        <v>364</v>
      </c>
      <c r="P364" s="15" t="s">
        <v>364</v>
      </c>
      <c r="Q364" s="15" t="s">
        <v>364</v>
      </c>
      <c r="R364" s="15" t="s">
        <v>364</v>
      </c>
      <c r="S364" s="15" t="s">
        <v>364</v>
      </c>
      <c r="T364" s="15" t="s">
        <v>364</v>
      </c>
      <c r="U364" s="17" t="s">
        <v>364</v>
      </c>
      <c r="V364" s="17" t="s">
        <v>364</v>
      </c>
      <c r="W364" s="17" t="s">
        <v>364</v>
      </c>
      <c r="X364" s="17" t="s">
        <v>364</v>
      </c>
      <c r="Y364" s="17" t="s">
        <v>364</v>
      </c>
      <c r="Z364" s="17" t="s">
        <v>364</v>
      </c>
      <c r="AA364" s="63" t="s">
        <v>485</v>
      </c>
      <c r="AB364" s="65"/>
      <c r="AL364" s="65"/>
    </row>
    <row r="365" spans="1:38" collapsed="1" x14ac:dyDescent="0.25">
      <c r="A365" s="5" t="s">
        <v>22</v>
      </c>
      <c r="B365" s="5" t="s">
        <v>49</v>
      </c>
      <c r="C365" s="5" t="s">
        <v>588</v>
      </c>
      <c r="D365" s="6">
        <v>0</v>
      </c>
      <c r="E365" s="53" t="s">
        <v>364</v>
      </c>
      <c r="F365" s="6">
        <v>0</v>
      </c>
      <c r="G365" s="6">
        <v>0</v>
      </c>
      <c r="H365" s="53" t="s">
        <v>364</v>
      </c>
      <c r="I365" s="6">
        <v>0</v>
      </c>
      <c r="J365" s="6">
        <v>17</v>
      </c>
      <c r="K365" s="53">
        <v>69.341176470588238</v>
      </c>
      <c r="L365" s="6">
        <v>1178.8</v>
      </c>
      <c r="M365" s="6" t="s">
        <v>364</v>
      </c>
      <c r="N365" s="6" t="s">
        <v>364</v>
      </c>
      <c r="O365" s="6" t="s">
        <v>364</v>
      </c>
      <c r="P365" s="6" t="s">
        <v>364</v>
      </c>
      <c r="Q365" s="6" t="s">
        <v>364</v>
      </c>
      <c r="R365" s="6" t="s">
        <v>364</v>
      </c>
      <c r="S365" s="6" t="s">
        <v>364</v>
      </c>
      <c r="T365" s="6" t="s">
        <v>364</v>
      </c>
      <c r="U365" s="8" t="s">
        <v>364</v>
      </c>
      <c r="V365" s="8" t="s">
        <v>364</v>
      </c>
      <c r="W365" s="8" t="s">
        <v>364</v>
      </c>
      <c r="X365" s="8" t="s">
        <v>364</v>
      </c>
      <c r="Y365" s="8" t="s">
        <v>364</v>
      </c>
      <c r="Z365" s="8" t="s">
        <v>364</v>
      </c>
      <c r="AA365" s="63" t="s">
        <v>49</v>
      </c>
      <c r="AB365" s="65"/>
      <c r="AL365" s="65"/>
    </row>
    <row r="366" spans="1:38" hidden="1" outlineLevel="1" x14ac:dyDescent="0.25">
      <c r="A366" s="21" t="s">
        <v>22</v>
      </c>
      <c r="B366" s="21" t="s">
        <v>589</v>
      </c>
      <c r="C366" s="21" t="s">
        <v>362</v>
      </c>
      <c r="D366" s="15">
        <v>0</v>
      </c>
      <c r="E366" s="57" t="s">
        <v>364</v>
      </c>
      <c r="F366" s="15">
        <v>0</v>
      </c>
      <c r="G366" s="15">
        <v>0</v>
      </c>
      <c r="H366" s="57" t="s">
        <v>364</v>
      </c>
      <c r="I366" s="15">
        <v>0</v>
      </c>
      <c r="J366" s="15">
        <v>15</v>
      </c>
      <c r="K366" s="57">
        <v>78.586666666666659</v>
      </c>
      <c r="L366" s="15">
        <v>1178.8</v>
      </c>
      <c r="M366" s="15" t="s">
        <v>364</v>
      </c>
      <c r="N366" s="15" t="s">
        <v>364</v>
      </c>
      <c r="O366" s="15" t="s">
        <v>364</v>
      </c>
      <c r="P366" s="15" t="s">
        <v>364</v>
      </c>
      <c r="Q366" s="15" t="s">
        <v>364</v>
      </c>
      <c r="R366" s="15" t="s">
        <v>364</v>
      </c>
      <c r="S366" s="15" t="s">
        <v>364</v>
      </c>
      <c r="T366" s="15" t="s">
        <v>364</v>
      </c>
      <c r="U366" s="17" t="s">
        <v>364</v>
      </c>
      <c r="V366" s="17" t="s">
        <v>364</v>
      </c>
      <c r="W366" s="17" t="s">
        <v>364</v>
      </c>
      <c r="X366" s="17" t="s">
        <v>364</v>
      </c>
      <c r="Y366" s="17" t="s">
        <v>364</v>
      </c>
      <c r="Z366" s="17" t="s">
        <v>364</v>
      </c>
      <c r="AA366" s="63" t="s">
        <v>483</v>
      </c>
      <c r="AB366" s="65"/>
      <c r="AL366" s="65"/>
    </row>
    <row r="367" spans="1:38" hidden="1" outlineLevel="1" x14ac:dyDescent="0.25">
      <c r="A367" s="21" t="s">
        <v>22</v>
      </c>
      <c r="B367" s="21" t="s">
        <v>590</v>
      </c>
      <c r="C367" s="21" t="s">
        <v>363</v>
      </c>
      <c r="D367" s="15">
        <v>0</v>
      </c>
      <c r="E367" s="57" t="s">
        <v>364</v>
      </c>
      <c r="F367" s="15">
        <v>0</v>
      </c>
      <c r="G367" s="15">
        <v>0</v>
      </c>
      <c r="H367" s="57" t="s">
        <v>364</v>
      </c>
      <c r="I367" s="15">
        <v>0</v>
      </c>
      <c r="J367" s="15">
        <v>2</v>
      </c>
      <c r="K367" s="57">
        <v>0</v>
      </c>
      <c r="L367" s="15">
        <v>0</v>
      </c>
      <c r="M367" s="15" t="s">
        <v>364</v>
      </c>
      <c r="N367" s="15" t="s">
        <v>364</v>
      </c>
      <c r="O367" s="15" t="s">
        <v>364</v>
      </c>
      <c r="P367" s="15" t="s">
        <v>364</v>
      </c>
      <c r="Q367" s="15" t="s">
        <v>364</v>
      </c>
      <c r="R367" s="15" t="s">
        <v>364</v>
      </c>
      <c r="S367" s="15" t="s">
        <v>364</v>
      </c>
      <c r="T367" s="15" t="s">
        <v>364</v>
      </c>
      <c r="U367" s="17" t="s">
        <v>364</v>
      </c>
      <c r="V367" s="17" t="s">
        <v>364</v>
      </c>
      <c r="W367" s="17" t="s">
        <v>364</v>
      </c>
      <c r="X367" s="17" t="s">
        <v>364</v>
      </c>
      <c r="Y367" s="17" t="s">
        <v>364</v>
      </c>
      <c r="Z367" s="17" t="s">
        <v>364</v>
      </c>
      <c r="AA367" s="63" t="s">
        <v>485</v>
      </c>
      <c r="AB367" s="65"/>
      <c r="AL367" s="65"/>
    </row>
    <row r="368" spans="1:38" collapsed="1" x14ac:dyDescent="0.25">
      <c r="A368" s="5" t="s">
        <v>22</v>
      </c>
      <c r="B368" s="5" t="s">
        <v>49</v>
      </c>
      <c r="C368" s="5" t="s">
        <v>591</v>
      </c>
      <c r="D368" s="6">
        <v>18</v>
      </c>
      <c r="E368" s="53">
        <v>562.16666666666663</v>
      </c>
      <c r="F368" s="6">
        <v>10119</v>
      </c>
      <c r="G368" s="6">
        <v>29.444444444444446</v>
      </c>
      <c r="H368" s="53">
        <v>580.21301886792435</v>
      </c>
      <c r="I368" s="6">
        <v>17084.049999999996</v>
      </c>
      <c r="J368" s="6">
        <v>9</v>
      </c>
      <c r="K368" s="53">
        <v>424.75</v>
      </c>
      <c r="L368" s="6">
        <v>3822.75</v>
      </c>
      <c r="M368" s="6" t="s">
        <v>364</v>
      </c>
      <c r="N368" s="6" t="s">
        <v>364</v>
      </c>
      <c r="O368" s="6" t="s">
        <v>364</v>
      </c>
      <c r="P368" s="6" t="s">
        <v>364</v>
      </c>
      <c r="Q368" s="6" t="s">
        <v>364</v>
      </c>
      <c r="R368" s="6" t="s">
        <v>364</v>
      </c>
      <c r="S368" s="6" t="s">
        <v>364</v>
      </c>
      <c r="T368" s="6" t="s">
        <v>364</v>
      </c>
      <c r="U368" s="8" t="s">
        <v>364</v>
      </c>
      <c r="V368" s="8" t="s">
        <v>364</v>
      </c>
      <c r="W368" s="8">
        <v>-0.5</v>
      </c>
      <c r="X368" s="8">
        <v>-0.62222057515564777</v>
      </c>
      <c r="Y368" s="8">
        <v>-0.6943396226415095</v>
      </c>
      <c r="Z368" s="8">
        <v>-0.77623865535397041</v>
      </c>
      <c r="AA368" s="63" t="s">
        <v>49</v>
      </c>
      <c r="AB368" s="65"/>
      <c r="AL368" s="65"/>
    </row>
    <row r="369" spans="1:38" hidden="1" outlineLevel="1" x14ac:dyDescent="0.25">
      <c r="A369" s="21" t="s">
        <v>22</v>
      </c>
      <c r="B369" s="21" t="s">
        <v>592</v>
      </c>
      <c r="C369" s="21" t="s">
        <v>362</v>
      </c>
      <c r="D369" s="15">
        <v>8</v>
      </c>
      <c r="E369" s="57">
        <v>519.75</v>
      </c>
      <c r="F369" s="15">
        <v>4158</v>
      </c>
      <c r="G369" s="15">
        <v>13.888888888888889</v>
      </c>
      <c r="H369" s="57">
        <v>602.00760000000002</v>
      </c>
      <c r="I369" s="15">
        <v>8361.2166666666672</v>
      </c>
      <c r="J369" s="15">
        <v>4</v>
      </c>
      <c r="K369" s="57">
        <v>482.755</v>
      </c>
      <c r="L369" s="15">
        <v>1931.02</v>
      </c>
      <c r="M369" s="15" t="s">
        <v>364</v>
      </c>
      <c r="N369" s="15" t="s">
        <v>364</v>
      </c>
      <c r="O369" s="15" t="s">
        <v>364</v>
      </c>
      <c r="P369" s="15" t="s">
        <v>364</v>
      </c>
      <c r="Q369" s="15" t="s">
        <v>364</v>
      </c>
      <c r="R369" s="15" t="s">
        <v>364</v>
      </c>
      <c r="S369" s="15" t="s">
        <v>364</v>
      </c>
      <c r="T369" s="15" t="s">
        <v>364</v>
      </c>
      <c r="U369" s="17" t="s">
        <v>364</v>
      </c>
      <c r="V369" s="17" t="s">
        <v>364</v>
      </c>
      <c r="W369" s="17">
        <v>-0.5</v>
      </c>
      <c r="X369" s="17">
        <v>-0.53558922558922561</v>
      </c>
      <c r="Y369" s="17">
        <v>-0.71199999999999997</v>
      </c>
      <c r="Z369" s="17">
        <v>-0.76905035750379225</v>
      </c>
      <c r="AA369" s="63" t="s">
        <v>483</v>
      </c>
      <c r="AB369" s="65"/>
      <c r="AL369" s="65"/>
    </row>
    <row r="370" spans="1:38" hidden="1" outlineLevel="1" x14ac:dyDescent="0.25">
      <c r="A370" s="21" t="s">
        <v>22</v>
      </c>
      <c r="B370" s="21" t="s">
        <v>593</v>
      </c>
      <c r="C370" s="21" t="s">
        <v>363</v>
      </c>
      <c r="D370" s="15">
        <v>11</v>
      </c>
      <c r="E370" s="57">
        <v>541.90909090909088</v>
      </c>
      <c r="F370" s="15">
        <v>5961</v>
      </c>
      <c r="G370" s="15">
        <v>15.555555555555557</v>
      </c>
      <c r="H370" s="57">
        <v>560.75357142857104</v>
      </c>
      <c r="I370" s="15">
        <v>8722.8333333333285</v>
      </c>
      <c r="J370" s="15">
        <v>5</v>
      </c>
      <c r="K370" s="57">
        <v>378.346</v>
      </c>
      <c r="L370" s="15">
        <v>1891.73</v>
      </c>
      <c r="M370" s="15" t="s">
        <v>364</v>
      </c>
      <c r="N370" s="15" t="s">
        <v>364</v>
      </c>
      <c r="O370" s="15" t="s">
        <v>364</v>
      </c>
      <c r="P370" s="15" t="s">
        <v>364</v>
      </c>
      <c r="Q370" s="15" t="s">
        <v>364</v>
      </c>
      <c r="R370" s="15" t="s">
        <v>364</v>
      </c>
      <c r="S370" s="15" t="s">
        <v>364</v>
      </c>
      <c r="T370" s="15" t="s">
        <v>364</v>
      </c>
      <c r="U370" s="17" t="s">
        <v>364</v>
      </c>
      <c r="V370" s="17" t="s">
        <v>364</v>
      </c>
      <c r="W370" s="17">
        <v>-0.54545454545454541</v>
      </c>
      <c r="X370" s="17">
        <v>-0.68264888441536653</v>
      </c>
      <c r="Y370" s="17">
        <v>-0.6785714285714286</v>
      </c>
      <c r="Z370" s="17">
        <v>-0.78312895274853345</v>
      </c>
      <c r="AA370" s="63" t="s">
        <v>485</v>
      </c>
      <c r="AB370" s="65"/>
      <c r="AL370" s="65"/>
    </row>
    <row r="371" spans="1:38" collapsed="1" x14ac:dyDescent="0.25">
      <c r="A371" s="5" t="s">
        <v>22</v>
      </c>
      <c r="B371" s="5" t="s">
        <v>49</v>
      </c>
      <c r="C371" s="5" t="s">
        <v>594</v>
      </c>
      <c r="D371" s="6">
        <v>33</v>
      </c>
      <c r="E371" s="53">
        <v>353.06060606060606</v>
      </c>
      <c r="F371" s="6">
        <v>11651</v>
      </c>
      <c r="G371" s="6">
        <v>17.222222222222221</v>
      </c>
      <c r="H371" s="53">
        <v>396.82322580645177</v>
      </c>
      <c r="I371" s="6">
        <v>6834.1777777777806</v>
      </c>
      <c r="J371" s="6">
        <v>14</v>
      </c>
      <c r="K371" s="53">
        <v>286.95571428571429</v>
      </c>
      <c r="L371" s="6">
        <v>4017.38</v>
      </c>
      <c r="M371" s="6" t="s">
        <v>364</v>
      </c>
      <c r="N371" s="6" t="s">
        <v>364</v>
      </c>
      <c r="O371" s="6" t="s">
        <v>364</v>
      </c>
      <c r="P371" s="6" t="s">
        <v>364</v>
      </c>
      <c r="Q371" s="6" t="s">
        <v>364</v>
      </c>
      <c r="R371" s="6" t="s">
        <v>364</v>
      </c>
      <c r="S371" s="6" t="s">
        <v>364</v>
      </c>
      <c r="T371" s="6" t="s">
        <v>364</v>
      </c>
      <c r="U371" s="8" t="s">
        <v>364</v>
      </c>
      <c r="V371" s="8" t="s">
        <v>364</v>
      </c>
      <c r="W371" s="8">
        <v>-0.5757575757575758</v>
      </c>
      <c r="X371" s="8">
        <v>-0.65519011243670067</v>
      </c>
      <c r="Y371" s="8">
        <v>-0.18709677419354834</v>
      </c>
      <c r="Z371" s="8">
        <v>-0.41216337493252891</v>
      </c>
      <c r="AA371" s="63" t="s">
        <v>49</v>
      </c>
      <c r="AB371" s="65"/>
      <c r="AL371" s="65"/>
    </row>
    <row r="372" spans="1:38" hidden="1" outlineLevel="1" x14ac:dyDescent="0.25">
      <c r="A372" s="21" t="s">
        <v>22</v>
      </c>
      <c r="B372" s="21" t="s">
        <v>595</v>
      </c>
      <c r="C372" s="21" t="s">
        <v>362</v>
      </c>
      <c r="D372" s="15">
        <v>17</v>
      </c>
      <c r="E372" s="57">
        <v>389.88235294117646</v>
      </c>
      <c r="F372" s="15">
        <v>6628</v>
      </c>
      <c r="G372" s="15">
        <v>9.4444444444444446</v>
      </c>
      <c r="H372" s="57">
        <v>297.96882352941174</v>
      </c>
      <c r="I372" s="15">
        <v>2814.1499999999996</v>
      </c>
      <c r="J372" s="15">
        <v>5</v>
      </c>
      <c r="K372" s="57">
        <v>337.46800000000002</v>
      </c>
      <c r="L372" s="15">
        <v>1687.3400000000001</v>
      </c>
      <c r="M372" s="15" t="s">
        <v>364</v>
      </c>
      <c r="N372" s="15" t="s">
        <v>364</v>
      </c>
      <c r="O372" s="15" t="s">
        <v>364</v>
      </c>
      <c r="P372" s="15" t="s">
        <v>364</v>
      </c>
      <c r="Q372" s="15" t="s">
        <v>364</v>
      </c>
      <c r="R372" s="15" t="s">
        <v>364</v>
      </c>
      <c r="S372" s="15" t="s">
        <v>364</v>
      </c>
      <c r="T372" s="15" t="s">
        <v>364</v>
      </c>
      <c r="U372" s="17" t="s">
        <v>364</v>
      </c>
      <c r="V372" s="17" t="s">
        <v>364</v>
      </c>
      <c r="W372" s="17">
        <v>-0.70588235294117652</v>
      </c>
      <c r="X372" s="17">
        <v>-0.74542245021122511</v>
      </c>
      <c r="Y372" s="17">
        <v>-0.47058823529411764</v>
      </c>
      <c r="Z372" s="17">
        <v>-0.40040864914805524</v>
      </c>
      <c r="AA372" s="63" t="s">
        <v>483</v>
      </c>
      <c r="AB372" s="65"/>
      <c r="AL372" s="65"/>
    </row>
    <row r="373" spans="1:38" hidden="1" outlineLevel="1" x14ac:dyDescent="0.25">
      <c r="A373" s="21" t="s">
        <v>22</v>
      </c>
      <c r="B373" s="21" t="s">
        <v>596</v>
      </c>
      <c r="C373" s="21" t="s">
        <v>363</v>
      </c>
      <c r="D373" s="15">
        <v>16</v>
      </c>
      <c r="E373" s="57">
        <v>313.9375</v>
      </c>
      <c r="F373" s="15">
        <v>5023</v>
      </c>
      <c r="G373" s="15">
        <v>7.7777777777777786</v>
      </c>
      <c r="H373" s="57">
        <v>516.86071428571449</v>
      </c>
      <c r="I373" s="15">
        <v>4020.0277777777801</v>
      </c>
      <c r="J373" s="15">
        <v>9</v>
      </c>
      <c r="K373" s="57">
        <v>258.89333333333332</v>
      </c>
      <c r="L373" s="15">
        <v>2330.04</v>
      </c>
      <c r="M373" s="15" t="s">
        <v>364</v>
      </c>
      <c r="N373" s="15" t="s">
        <v>364</v>
      </c>
      <c r="O373" s="15" t="s">
        <v>364</v>
      </c>
      <c r="P373" s="15" t="s">
        <v>364</v>
      </c>
      <c r="Q373" s="15" t="s">
        <v>364</v>
      </c>
      <c r="R373" s="15" t="s">
        <v>364</v>
      </c>
      <c r="S373" s="15" t="s">
        <v>364</v>
      </c>
      <c r="T373" s="15" t="s">
        <v>364</v>
      </c>
      <c r="U373" s="17" t="s">
        <v>364</v>
      </c>
      <c r="V373" s="17" t="s">
        <v>364</v>
      </c>
      <c r="W373" s="17">
        <v>-0.4375</v>
      </c>
      <c r="X373" s="17">
        <v>-0.53612582122237706</v>
      </c>
      <c r="Y373" s="17">
        <v>0.15714285714285703</v>
      </c>
      <c r="Z373" s="17">
        <v>-0.42039206473144913</v>
      </c>
      <c r="AA373" s="63" t="s">
        <v>485</v>
      </c>
      <c r="AB373" s="65"/>
      <c r="AL373" s="65"/>
    </row>
    <row r="374" spans="1:38" collapsed="1" x14ac:dyDescent="0.25">
      <c r="A374" s="5" t="s">
        <v>22</v>
      </c>
      <c r="B374" s="5" t="s">
        <v>49</v>
      </c>
      <c r="C374" s="5" t="s">
        <v>722</v>
      </c>
      <c r="D374" s="6">
        <v>0</v>
      </c>
      <c r="E374" s="53" t="s">
        <v>364</v>
      </c>
      <c r="F374" s="6">
        <v>0</v>
      </c>
      <c r="G374" s="6">
        <v>42.222222222222221</v>
      </c>
      <c r="H374" s="53">
        <v>370.12592105263161</v>
      </c>
      <c r="I374" s="6">
        <v>15627.53888888889</v>
      </c>
      <c r="J374" s="6">
        <v>2</v>
      </c>
      <c r="K374" s="53">
        <v>202.41499999999999</v>
      </c>
      <c r="L374" s="6">
        <v>404.83</v>
      </c>
      <c r="M374" s="6" t="s">
        <v>364</v>
      </c>
      <c r="N374" s="6" t="s">
        <v>364</v>
      </c>
      <c r="O374" s="6" t="s">
        <v>364</v>
      </c>
      <c r="P374" s="6" t="s">
        <v>364</v>
      </c>
      <c r="Q374" s="6" t="s">
        <v>364</v>
      </c>
      <c r="R374" s="6" t="s">
        <v>364</v>
      </c>
      <c r="S374" s="6" t="s">
        <v>364</v>
      </c>
      <c r="T374" s="6" t="s">
        <v>364</v>
      </c>
      <c r="U374" s="8" t="s">
        <v>364</v>
      </c>
      <c r="V374" s="8" t="s">
        <v>364</v>
      </c>
      <c r="W374" s="8" t="s">
        <v>364</v>
      </c>
      <c r="X374" s="8" t="s">
        <v>364</v>
      </c>
      <c r="Y374" s="8">
        <v>-0.95263157894736838</v>
      </c>
      <c r="Z374" s="8">
        <v>-0.97409508926016286</v>
      </c>
      <c r="AA374" s="63" t="s">
        <v>49</v>
      </c>
      <c r="AB374" s="65"/>
      <c r="AL374" s="65"/>
    </row>
    <row r="375" spans="1:38" hidden="1" outlineLevel="1" x14ac:dyDescent="0.25">
      <c r="A375" s="21" t="s">
        <v>22</v>
      </c>
      <c r="B375" s="21" t="s">
        <v>723</v>
      </c>
      <c r="C375" s="21" t="s">
        <v>362</v>
      </c>
      <c r="D375" s="15">
        <v>0</v>
      </c>
      <c r="E375" s="57" t="s">
        <v>364</v>
      </c>
      <c r="F375" s="15">
        <v>0</v>
      </c>
      <c r="G375" s="15">
        <v>18.333333333333336</v>
      </c>
      <c r="H375" s="57">
        <v>364.07757575757563</v>
      </c>
      <c r="I375" s="15">
        <v>6674.7555555555537</v>
      </c>
      <c r="J375" s="15">
        <v>1</v>
      </c>
      <c r="K375" s="57">
        <v>150</v>
      </c>
      <c r="L375" s="15">
        <v>150</v>
      </c>
      <c r="M375" s="15" t="s">
        <v>364</v>
      </c>
      <c r="N375" s="15" t="s">
        <v>364</v>
      </c>
      <c r="O375" s="15" t="s">
        <v>364</v>
      </c>
      <c r="P375" s="15" t="s">
        <v>364</v>
      </c>
      <c r="Q375" s="15" t="s">
        <v>364</v>
      </c>
      <c r="R375" s="15" t="s">
        <v>364</v>
      </c>
      <c r="S375" s="15" t="s">
        <v>364</v>
      </c>
      <c r="T375" s="15" t="s">
        <v>364</v>
      </c>
      <c r="U375" s="17" t="s">
        <v>364</v>
      </c>
      <c r="V375" s="17" t="s">
        <v>364</v>
      </c>
      <c r="W375" s="17" t="s">
        <v>364</v>
      </c>
      <c r="X375" s="17" t="s">
        <v>364</v>
      </c>
      <c r="Y375" s="17">
        <v>-0.94545454545454544</v>
      </c>
      <c r="Z375" s="17">
        <v>-0.97752726691614178</v>
      </c>
      <c r="AA375" s="63" t="s">
        <v>483</v>
      </c>
      <c r="AB375" s="65"/>
      <c r="AL375" s="65"/>
    </row>
    <row r="376" spans="1:38" hidden="1" outlineLevel="1" x14ac:dyDescent="0.25">
      <c r="A376" s="21" t="s">
        <v>22</v>
      </c>
      <c r="B376" s="21" t="s">
        <v>724</v>
      </c>
      <c r="C376" s="21" t="s">
        <v>363</v>
      </c>
      <c r="D376" s="15">
        <v>0</v>
      </c>
      <c r="E376" s="57" t="s">
        <v>364</v>
      </c>
      <c r="F376" s="15">
        <v>0</v>
      </c>
      <c r="G376" s="15">
        <v>23.888888888888889</v>
      </c>
      <c r="H376" s="57">
        <v>374.76767441860471</v>
      </c>
      <c r="I376" s="15">
        <v>8952.7833333333347</v>
      </c>
      <c r="J376" s="15">
        <v>1</v>
      </c>
      <c r="K376" s="57">
        <v>254.82999999999998</v>
      </c>
      <c r="L376" s="15">
        <v>254.82999999999998</v>
      </c>
      <c r="M376" s="15" t="s">
        <v>364</v>
      </c>
      <c r="N376" s="15" t="s">
        <v>364</v>
      </c>
      <c r="O376" s="15" t="s">
        <v>364</v>
      </c>
      <c r="P376" s="15" t="s">
        <v>364</v>
      </c>
      <c r="Q376" s="15" t="s">
        <v>364</v>
      </c>
      <c r="R376" s="15" t="s">
        <v>364</v>
      </c>
      <c r="S376" s="15" t="s">
        <v>364</v>
      </c>
      <c r="T376" s="15" t="s">
        <v>364</v>
      </c>
      <c r="U376" s="17" t="s">
        <v>364</v>
      </c>
      <c r="V376" s="17" t="s">
        <v>364</v>
      </c>
      <c r="W376" s="17" t="s">
        <v>364</v>
      </c>
      <c r="X376" s="17" t="s">
        <v>364</v>
      </c>
      <c r="Y376" s="17">
        <v>-0.95813953488372094</v>
      </c>
      <c r="Z376" s="17">
        <v>-0.97153622616430269</v>
      </c>
      <c r="AA376" s="63" t="s">
        <v>485</v>
      </c>
      <c r="AB376" s="65"/>
      <c r="AL376" s="65"/>
    </row>
    <row r="377" spans="1:38" x14ac:dyDescent="0.25">
      <c r="AC377" s="3"/>
    </row>
    <row r="378" spans="1:38" x14ac:dyDescent="0.25">
      <c r="AC378" s="3"/>
    </row>
    <row r="379" spans="1:38" x14ac:dyDescent="0.25">
      <c r="AC379" s="3"/>
    </row>
    <row r="380" spans="1:38" x14ac:dyDescent="0.25">
      <c r="AC380" s="3"/>
    </row>
    <row r="381" spans="1:38" x14ac:dyDescent="0.25">
      <c r="AC381" s="3"/>
    </row>
    <row r="382" spans="1:38" x14ac:dyDescent="0.25">
      <c r="AC382" s="3"/>
    </row>
    <row r="383" spans="1:38" x14ac:dyDescent="0.25">
      <c r="AC383" s="3"/>
    </row>
    <row r="384" spans="1:38" x14ac:dyDescent="0.25">
      <c r="AC384" s="3"/>
    </row>
    <row r="385" spans="29:29" x14ac:dyDescent="0.25">
      <c r="AC385" s="3"/>
    </row>
    <row r="386" spans="29:29" x14ac:dyDescent="0.25">
      <c r="AC386" s="3"/>
    </row>
    <row r="387" spans="29:29" x14ac:dyDescent="0.25">
      <c r="AC387" s="3"/>
    </row>
    <row r="388" spans="29:29" x14ac:dyDescent="0.25">
      <c r="AC388" s="3"/>
    </row>
    <row r="389" spans="29:29" x14ac:dyDescent="0.25">
      <c r="AC389" s="3"/>
    </row>
    <row r="390" spans="29:29" x14ac:dyDescent="0.25">
      <c r="AC390" s="3"/>
    </row>
    <row r="391" spans="29:29" x14ac:dyDescent="0.25">
      <c r="AC391" s="3"/>
    </row>
    <row r="392" spans="29:29" x14ac:dyDescent="0.25">
      <c r="AC392" s="3"/>
    </row>
    <row r="393" spans="29:29" x14ac:dyDescent="0.25">
      <c r="AC393" s="3"/>
    </row>
    <row r="394" spans="29:29" x14ac:dyDescent="0.25">
      <c r="AC394" s="3"/>
    </row>
    <row r="395" spans="29:29" x14ac:dyDescent="0.25">
      <c r="AC395" s="3"/>
    </row>
    <row r="396" spans="29:29" x14ac:dyDescent="0.25">
      <c r="AC396" s="3"/>
    </row>
    <row r="397" spans="29:29" x14ac:dyDescent="0.25">
      <c r="AC397" s="3"/>
    </row>
    <row r="398" spans="29:29" x14ac:dyDescent="0.25">
      <c r="AC398" s="3"/>
    </row>
    <row r="399" spans="29:29" x14ac:dyDescent="0.25">
      <c r="AC399" s="3"/>
    </row>
    <row r="400" spans="29:29" x14ac:dyDescent="0.25">
      <c r="AC400" s="3"/>
    </row>
    <row r="401" spans="29:29" x14ac:dyDescent="0.25">
      <c r="AC401" s="3"/>
    </row>
    <row r="402" spans="29:29" x14ac:dyDescent="0.25">
      <c r="AC402" s="3"/>
    </row>
    <row r="403" spans="29:29" x14ac:dyDescent="0.25">
      <c r="AC403" s="3"/>
    </row>
    <row r="404" spans="29:29" x14ac:dyDescent="0.25">
      <c r="AC404" s="3"/>
    </row>
    <row r="405" spans="29:29" x14ac:dyDescent="0.25">
      <c r="AC405" s="3"/>
    </row>
    <row r="406" spans="29:29" x14ac:dyDescent="0.25">
      <c r="AC406" s="3"/>
    </row>
    <row r="407" spans="29:29" x14ac:dyDescent="0.25">
      <c r="AC407" s="3"/>
    </row>
    <row r="408" spans="29:29" x14ac:dyDescent="0.25">
      <c r="AC408" s="3"/>
    </row>
    <row r="409" spans="29:29" x14ac:dyDescent="0.25">
      <c r="AC409" s="3"/>
    </row>
    <row r="410" spans="29:29" x14ac:dyDescent="0.25">
      <c r="AC410" s="3"/>
    </row>
    <row r="411" spans="29:29" x14ac:dyDescent="0.25">
      <c r="AC411" s="3"/>
    </row>
    <row r="412" spans="29:29" x14ac:dyDescent="0.25">
      <c r="AC412" s="3"/>
    </row>
    <row r="413" spans="29:29" x14ac:dyDescent="0.25">
      <c r="AC413" s="3"/>
    </row>
    <row r="414" spans="29:29" x14ac:dyDescent="0.25">
      <c r="AC414" s="3"/>
    </row>
    <row r="415" spans="29:29" x14ac:dyDescent="0.25">
      <c r="AC415" s="3"/>
    </row>
    <row r="416" spans="29:29" x14ac:dyDescent="0.25">
      <c r="AC416" s="3"/>
    </row>
    <row r="417" spans="29:29" x14ac:dyDescent="0.25">
      <c r="AC417" s="3"/>
    </row>
    <row r="418" spans="29:29" x14ac:dyDescent="0.25">
      <c r="AC418" s="3"/>
    </row>
    <row r="419" spans="29:29" x14ac:dyDescent="0.25">
      <c r="AC419" s="3"/>
    </row>
    <row r="420" spans="29:29" x14ac:dyDescent="0.25">
      <c r="AC420" s="3"/>
    </row>
    <row r="421" spans="29:29" x14ac:dyDescent="0.25">
      <c r="AC421" s="3"/>
    </row>
    <row r="422" spans="29:29" x14ac:dyDescent="0.25">
      <c r="AC422" s="3"/>
    </row>
    <row r="423" spans="29:29" x14ac:dyDescent="0.25">
      <c r="AC423" s="3"/>
    </row>
    <row r="424" spans="29:29" x14ac:dyDescent="0.25">
      <c r="AC424" s="3"/>
    </row>
    <row r="425" spans="29:29" x14ac:dyDescent="0.25">
      <c r="AC425" s="3"/>
    </row>
    <row r="426" spans="29:29" x14ac:dyDescent="0.25">
      <c r="AC426" s="3"/>
    </row>
    <row r="427" spans="29:29" x14ac:dyDescent="0.25">
      <c r="AC427" s="3"/>
    </row>
    <row r="428" spans="29:29" x14ac:dyDescent="0.25">
      <c r="AC428" s="3"/>
    </row>
    <row r="429" spans="29:29" x14ac:dyDescent="0.25">
      <c r="AC429" s="3"/>
    </row>
    <row r="430" spans="29:29" x14ac:dyDescent="0.25">
      <c r="AC430" s="3"/>
    </row>
    <row r="431" spans="29:29" x14ac:dyDescent="0.25">
      <c r="AC431" s="3"/>
    </row>
    <row r="432" spans="29:29" x14ac:dyDescent="0.25">
      <c r="AC432" s="3"/>
    </row>
    <row r="433" spans="29:29" x14ac:dyDescent="0.25">
      <c r="AC433" s="3"/>
    </row>
    <row r="434" spans="29:29" x14ac:dyDescent="0.25">
      <c r="AC434" s="3"/>
    </row>
    <row r="435" spans="29:29" x14ac:dyDescent="0.25">
      <c r="AC435" s="3"/>
    </row>
    <row r="436" spans="29:29" x14ac:dyDescent="0.25">
      <c r="AC436" s="3"/>
    </row>
    <row r="437" spans="29:29" x14ac:dyDescent="0.25">
      <c r="AC437" s="3"/>
    </row>
    <row r="438" spans="29:29" x14ac:dyDescent="0.25">
      <c r="AC438" s="3"/>
    </row>
    <row r="439" spans="29:29" x14ac:dyDescent="0.25">
      <c r="AC439" s="3"/>
    </row>
    <row r="440" spans="29:29" x14ac:dyDescent="0.25">
      <c r="AC440" s="3"/>
    </row>
    <row r="441" spans="29:29" x14ac:dyDescent="0.25">
      <c r="AC441" s="3"/>
    </row>
    <row r="442" spans="29:29" x14ac:dyDescent="0.25">
      <c r="AC442" s="3"/>
    </row>
    <row r="443" spans="29:29" x14ac:dyDescent="0.25">
      <c r="AC443" s="3"/>
    </row>
    <row r="444" spans="29:29" x14ac:dyDescent="0.25">
      <c r="AC444" s="3"/>
    </row>
    <row r="445" spans="29:29" x14ac:dyDescent="0.25">
      <c r="AC445" s="3"/>
    </row>
    <row r="446" spans="29:29" x14ac:dyDescent="0.25">
      <c r="AC446" s="3"/>
    </row>
    <row r="447" spans="29:29" x14ac:dyDescent="0.25">
      <c r="AC447" s="3"/>
    </row>
    <row r="448" spans="29:29" x14ac:dyDescent="0.25">
      <c r="AC448" s="3"/>
    </row>
    <row r="449" spans="29:29" x14ac:dyDescent="0.25">
      <c r="AC449" s="3"/>
    </row>
    <row r="450" spans="29:29" x14ac:dyDescent="0.25">
      <c r="AC450" s="3"/>
    </row>
    <row r="451" spans="29:29" x14ac:dyDescent="0.25">
      <c r="AC451" s="3"/>
    </row>
    <row r="452" spans="29:29" x14ac:dyDescent="0.25">
      <c r="AC452" s="3"/>
    </row>
    <row r="453" spans="29:29" x14ac:dyDescent="0.25">
      <c r="AC453" s="3"/>
    </row>
    <row r="454" spans="29:29" x14ac:dyDescent="0.25">
      <c r="AC454" s="3"/>
    </row>
    <row r="455" spans="29:29" x14ac:dyDescent="0.25">
      <c r="AC455" s="3"/>
    </row>
    <row r="456" spans="29:29" x14ac:dyDescent="0.25">
      <c r="AC456" s="3"/>
    </row>
    <row r="457" spans="29:29" x14ac:dyDescent="0.25">
      <c r="AC457" s="3"/>
    </row>
    <row r="458" spans="29:29" x14ac:dyDescent="0.25">
      <c r="AC458" s="3"/>
    </row>
    <row r="459" spans="29:29" x14ac:dyDescent="0.25">
      <c r="AC459" s="3"/>
    </row>
    <row r="460" spans="29:29" x14ac:dyDescent="0.25">
      <c r="AC460" s="3"/>
    </row>
    <row r="461" spans="29:29" x14ac:dyDescent="0.25">
      <c r="AC461" s="3"/>
    </row>
    <row r="462" spans="29:29" x14ac:dyDescent="0.25">
      <c r="AC462" s="3"/>
    </row>
    <row r="463" spans="29:29" x14ac:dyDescent="0.25">
      <c r="AC463" s="3"/>
    </row>
    <row r="464" spans="29:29" x14ac:dyDescent="0.25">
      <c r="AC464" s="3"/>
    </row>
    <row r="465" spans="29:29" x14ac:dyDescent="0.25">
      <c r="AC465" s="3"/>
    </row>
    <row r="466" spans="29:29" x14ac:dyDescent="0.25">
      <c r="AC466" s="3"/>
    </row>
    <row r="467" spans="29:29" x14ac:dyDescent="0.25">
      <c r="AC467" s="3"/>
    </row>
    <row r="468" spans="29:29" x14ac:dyDescent="0.25">
      <c r="AC468" s="3"/>
    </row>
    <row r="469" spans="29:29" x14ac:dyDescent="0.25">
      <c r="AC469" s="3"/>
    </row>
    <row r="470" spans="29:29" x14ac:dyDescent="0.25">
      <c r="AC470" s="3"/>
    </row>
    <row r="471" spans="29:29" x14ac:dyDescent="0.25">
      <c r="AC471" s="3"/>
    </row>
    <row r="472" spans="29:29" x14ac:dyDescent="0.25">
      <c r="AC472" s="3"/>
    </row>
    <row r="473" spans="29:29" x14ac:dyDescent="0.25">
      <c r="AC473" s="3"/>
    </row>
    <row r="474" spans="29:29" x14ac:dyDescent="0.25">
      <c r="AC474" s="3"/>
    </row>
    <row r="475" spans="29:29" x14ac:dyDescent="0.25">
      <c r="AC475" s="3"/>
    </row>
    <row r="476" spans="29:29" x14ac:dyDescent="0.25">
      <c r="AC476" s="3"/>
    </row>
    <row r="477" spans="29:29" x14ac:dyDescent="0.25">
      <c r="AC477" s="3"/>
    </row>
    <row r="478" spans="29:29" x14ac:dyDescent="0.25">
      <c r="AC478" s="3"/>
    </row>
    <row r="479" spans="29:29" x14ac:dyDescent="0.25">
      <c r="AC479" s="3"/>
    </row>
    <row r="480" spans="29:29" x14ac:dyDescent="0.25">
      <c r="AC480" s="3"/>
    </row>
    <row r="481" spans="29:29" x14ac:dyDescent="0.25">
      <c r="AC481" s="3"/>
    </row>
    <row r="482" spans="29:29" x14ac:dyDescent="0.25">
      <c r="AC482" s="3"/>
    </row>
    <row r="483" spans="29:29" x14ac:dyDescent="0.25">
      <c r="AC483" s="3"/>
    </row>
    <row r="484" spans="29:29" x14ac:dyDescent="0.25">
      <c r="AC484" s="3"/>
    </row>
    <row r="485" spans="29:29" x14ac:dyDescent="0.25">
      <c r="AC485" s="3"/>
    </row>
    <row r="486" spans="29:29" x14ac:dyDescent="0.25">
      <c r="AC486" s="3"/>
    </row>
    <row r="487" spans="29:29" x14ac:dyDescent="0.25">
      <c r="AC487" s="3"/>
    </row>
  </sheetData>
  <mergeCells count="50">
    <mergeCell ref="W90:X90"/>
    <mergeCell ref="Y90:Z90"/>
    <mergeCell ref="D90:F90"/>
    <mergeCell ref="G90:I90"/>
    <mergeCell ref="J90:L90"/>
    <mergeCell ref="M90:O90"/>
    <mergeCell ref="P90:T90"/>
    <mergeCell ref="U90:V90"/>
    <mergeCell ref="D89:F89"/>
    <mergeCell ref="G89:I89"/>
    <mergeCell ref="J89:L89"/>
    <mergeCell ref="M89:O89"/>
    <mergeCell ref="P89:T89"/>
    <mergeCell ref="S25:U25"/>
    <mergeCell ref="V25:Z25"/>
    <mergeCell ref="AA25:AB25"/>
    <mergeCell ref="AC25:AD25"/>
    <mergeCell ref="AE25:AF25"/>
    <mergeCell ref="D25:F25"/>
    <mergeCell ref="G25:I25"/>
    <mergeCell ref="J25:L25"/>
    <mergeCell ref="M25:O25"/>
    <mergeCell ref="P25:R25"/>
    <mergeCell ref="AC8:AD8"/>
    <mergeCell ref="AE8:AF8"/>
    <mergeCell ref="AG8:AH8"/>
    <mergeCell ref="D24:F24"/>
    <mergeCell ref="G24:I24"/>
    <mergeCell ref="J24:L24"/>
    <mergeCell ref="M24:O24"/>
    <mergeCell ref="P24:R24"/>
    <mergeCell ref="S24:U24"/>
    <mergeCell ref="V24:Z24"/>
    <mergeCell ref="R7:T7"/>
    <mergeCell ref="U7:W7"/>
    <mergeCell ref="X7:AB7"/>
    <mergeCell ref="C8:C9"/>
    <mergeCell ref="D8:F8"/>
    <mergeCell ref="G8:I8"/>
    <mergeCell ref="J8:N8"/>
    <mergeCell ref="O8:Q8"/>
    <mergeCell ref="R8:T8"/>
    <mergeCell ref="U8:W8"/>
    <mergeCell ref="O7:Q7"/>
    <mergeCell ref="X8:AB8"/>
    <mergeCell ref="C1:C2"/>
    <mergeCell ref="D1:H2"/>
    <mergeCell ref="D7:F7"/>
    <mergeCell ref="G7:I7"/>
    <mergeCell ref="J7:N7"/>
  </mergeCells>
  <conditionalFormatting sqref="N9">
    <cfRule type="duplicateValues" dxfId="55" priority="37"/>
    <cfRule type="duplicateValues" dxfId="54" priority="38"/>
  </conditionalFormatting>
  <conditionalFormatting sqref="B92:B361">
    <cfRule type="containsText" dxfId="53" priority="35" operator="containsText" text="Credit">
      <formula>NOT(ISERROR(SEARCH("Credit",B92)))</formula>
    </cfRule>
    <cfRule type="containsText" dxfId="52" priority="36" operator="containsText" text="Cash">
      <formula>NOT(ISERROR(SEARCH("Cash",B92)))</formula>
    </cfRule>
  </conditionalFormatting>
  <conditionalFormatting sqref="C92 C95 C98 C101 C104 C107 C110 C113 C116 C119 C122 C125 C128 C131 C134 C137 C140 C143 C146 C149 C152 C155 C158 C161 C164 C167 C170 C173 C176 C179 C182 C185 C188 C191 C194 C197 C200 C203 C206 C209 C212 C215 C218 C221 C224 C227 C230 C233 C236 C239 C242 C245 C248 C251 C254 C257 C260 C263 C266 C269 C272 C275 C278 C281 C284 C287 C290 C293 C296 C299 C302 C305 C308 C311 C314 C317 C320 C323 C326 C329 C332 C335 C338 C341 C344 C347 C350 C353 C356 C359">
    <cfRule type="containsText" dxfId="51" priority="33" operator="containsText" text="Credit">
      <formula>NOT(ISERROR(SEARCH("Credit",C92)))</formula>
    </cfRule>
    <cfRule type="containsText" dxfId="50" priority="34" operator="containsText" text="Cash">
      <formula>NOT(ISERROR(SEARCH("Cash",C92)))</formula>
    </cfRule>
  </conditionalFormatting>
  <conditionalFormatting sqref="A92 A95 A98 A101 A104 A107 A110 A113 A116 A119 A122 A125 A128 A131 A134 A137 A140 A143 A146 A149 A152 A155 A158 A161 A164 A167 A170 A173 A176 A179 A182 A185 A188 A191 A194 A197 A200 A203 A206 A209 A212 A215 A218 A221 A224 A227 A230 A233 A236 A239 A242 A245 A248 A251 A254 A257 A260 A263 A266 A269 A272 A275 A278 A281 A284 A287 A290 A293 A296 A299 A302 A305 A308 A311 A314 A317 A320 A323 A326 A329 A332 A335 A338 A341 A344 A347 A350 A353 A356 A359">
    <cfRule type="containsText" dxfId="49" priority="31" operator="containsText" text="Credit">
      <formula>NOT(ISERROR(SEARCH("Credit",A92)))</formula>
    </cfRule>
    <cfRule type="containsText" dxfId="48" priority="32" operator="containsText" text="Cash">
      <formula>NOT(ISERROR(SEARCH("Cash",A92)))</formula>
    </cfRule>
  </conditionalFormatting>
  <conditionalFormatting sqref="B362:B364">
    <cfRule type="containsText" dxfId="47" priority="29" operator="containsText" text="Credit">
      <formula>NOT(ISERROR(SEARCH("Credit",B362)))</formula>
    </cfRule>
    <cfRule type="containsText" dxfId="46" priority="30" operator="containsText" text="Cash">
      <formula>NOT(ISERROR(SEARCH("Cash",B362)))</formula>
    </cfRule>
  </conditionalFormatting>
  <conditionalFormatting sqref="C362">
    <cfRule type="containsText" dxfId="45" priority="27" operator="containsText" text="Credit">
      <formula>NOT(ISERROR(SEARCH("Credit",C362)))</formula>
    </cfRule>
    <cfRule type="containsText" dxfId="44" priority="28" operator="containsText" text="Cash">
      <formula>NOT(ISERROR(SEARCH("Cash",C362)))</formula>
    </cfRule>
  </conditionalFormatting>
  <conditionalFormatting sqref="A362">
    <cfRule type="containsText" dxfId="43" priority="25" operator="containsText" text="Credit">
      <formula>NOT(ISERROR(SEARCH("Credit",A362)))</formula>
    </cfRule>
    <cfRule type="containsText" dxfId="42" priority="26" operator="containsText" text="Cash">
      <formula>NOT(ISERROR(SEARCH("Cash",A362)))</formula>
    </cfRule>
  </conditionalFormatting>
  <conditionalFormatting sqref="B365:B367">
    <cfRule type="containsText" dxfId="41" priority="23" operator="containsText" text="Credit">
      <formula>NOT(ISERROR(SEARCH("Credit",B365)))</formula>
    </cfRule>
    <cfRule type="containsText" dxfId="40" priority="24" operator="containsText" text="Cash">
      <formula>NOT(ISERROR(SEARCH("Cash",B365)))</formula>
    </cfRule>
  </conditionalFormatting>
  <conditionalFormatting sqref="C365">
    <cfRule type="containsText" dxfId="39" priority="21" operator="containsText" text="Credit">
      <formula>NOT(ISERROR(SEARCH("Credit",C365)))</formula>
    </cfRule>
    <cfRule type="containsText" dxfId="38" priority="22" operator="containsText" text="Cash">
      <formula>NOT(ISERROR(SEARCH("Cash",C365)))</formula>
    </cfRule>
  </conditionalFormatting>
  <conditionalFormatting sqref="A365">
    <cfRule type="containsText" dxfId="37" priority="19" operator="containsText" text="Credit">
      <formula>NOT(ISERROR(SEARCH("Credit",A365)))</formula>
    </cfRule>
    <cfRule type="containsText" dxfId="36" priority="20" operator="containsText" text="Cash">
      <formula>NOT(ISERROR(SEARCH("Cash",A365)))</formula>
    </cfRule>
  </conditionalFormatting>
  <conditionalFormatting sqref="B368:B370">
    <cfRule type="containsText" dxfId="35" priority="17" operator="containsText" text="Credit">
      <formula>NOT(ISERROR(SEARCH("Credit",B368)))</formula>
    </cfRule>
    <cfRule type="containsText" dxfId="34" priority="18" operator="containsText" text="Cash">
      <formula>NOT(ISERROR(SEARCH("Cash",B368)))</formula>
    </cfRule>
  </conditionalFormatting>
  <conditionalFormatting sqref="C368">
    <cfRule type="containsText" dxfId="33" priority="15" operator="containsText" text="Credit">
      <formula>NOT(ISERROR(SEARCH("Credit",C368)))</formula>
    </cfRule>
    <cfRule type="containsText" dxfId="32" priority="16" operator="containsText" text="Cash">
      <formula>NOT(ISERROR(SEARCH("Cash",C368)))</formula>
    </cfRule>
  </conditionalFormatting>
  <conditionalFormatting sqref="A368">
    <cfRule type="containsText" dxfId="31" priority="13" operator="containsText" text="Credit">
      <formula>NOT(ISERROR(SEARCH("Credit",A368)))</formula>
    </cfRule>
    <cfRule type="containsText" dxfId="30" priority="14" operator="containsText" text="Cash">
      <formula>NOT(ISERROR(SEARCH("Cash",A368)))</formula>
    </cfRule>
  </conditionalFormatting>
  <conditionalFormatting sqref="B371:B373">
    <cfRule type="containsText" dxfId="29" priority="11" operator="containsText" text="Credit">
      <formula>NOT(ISERROR(SEARCH("Credit",B371)))</formula>
    </cfRule>
    <cfRule type="containsText" dxfId="28" priority="12" operator="containsText" text="Cash">
      <formula>NOT(ISERROR(SEARCH("Cash",B371)))</formula>
    </cfRule>
  </conditionalFormatting>
  <conditionalFormatting sqref="C371">
    <cfRule type="containsText" dxfId="27" priority="9" operator="containsText" text="Credit">
      <formula>NOT(ISERROR(SEARCH("Credit",C371)))</formula>
    </cfRule>
    <cfRule type="containsText" dxfId="26" priority="10" operator="containsText" text="Cash">
      <formula>NOT(ISERROR(SEARCH("Cash",C371)))</formula>
    </cfRule>
  </conditionalFormatting>
  <conditionalFormatting sqref="A371">
    <cfRule type="containsText" dxfId="25" priority="7" operator="containsText" text="Credit">
      <formula>NOT(ISERROR(SEARCH("Credit",A371)))</formula>
    </cfRule>
    <cfRule type="containsText" dxfId="24" priority="8" operator="containsText" text="Cash">
      <formula>NOT(ISERROR(SEARCH("Cash",A371)))</formula>
    </cfRule>
  </conditionalFormatting>
  <conditionalFormatting sqref="B374:B376">
    <cfRule type="containsText" dxfId="23" priority="5" operator="containsText" text="Credit">
      <formula>NOT(ISERROR(SEARCH("Credit",B374)))</formula>
    </cfRule>
    <cfRule type="containsText" dxfId="22" priority="6" operator="containsText" text="Cash">
      <formula>NOT(ISERROR(SEARCH("Cash",B374)))</formula>
    </cfRule>
  </conditionalFormatting>
  <conditionalFormatting sqref="C374">
    <cfRule type="containsText" dxfId="21" priority="3" operator="containsText" text="Credit">
      <formula>NOT(ISERROR(SEARCH("Credit",C374)))</formula>
    </cfRule>
    <cfRule type="containsText" dxfId="20" priority="4" operator="containsText" text="Cash">
      <formula>NOT(ISERROR(SEARCH("Cash",C374)))</formula>
    </cfRule>
  </conditionalFormatting>
  <conditionalFormatting sqref="A374">
    <cfRule type="containsText" dxfId="19" priority="1" operator="containsText" text="Credit">
      <formula>NOT(ISERROR(SEARCH("Credit",A374)))</formula>
    </cfRule>
    <cfRule type="containsText" dxfId="18" priority="2" operator="containsText" text="Cash">
      <formula>NOT(ISERROR(SEARCH("Cash",A374)))</formula>
    </cfRule>
  </conditionalFormatting>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12504-3CC9-498C-B3DE-801272175549}">
  <sheetPr codeName="Sheet3">
    <outlinePr summaryBelow="0"/>
  </sheetPr>
  <dimension ref="A1:AM135"/>
  <sheetViews>
    <sheetView showGridLines="0" topLeftCell="A28" zoomScale="90" zoomScaleNormal="90" workbookViewId="0"/>
  </sheetViews>
  <sheetFormatPr defaultRowHeight="15" x14ac:dyDescent="0.25"/>
  <cols>
    <col min="1" max="1" width="4" bestFit="1" customWidth="1"/>
    <col min="2" max="2" width="14.5703125" bestFit="1" customWidth="1"/>
    <col min="3" max="3" width="38.28515625" style="3" bestFit="1" customWidth="1"/>
    <col min="4" max="4" width="7.7109375" style="3" bestFit="1" customWidth="1"/>
    <col min="5" max="5" width="6.42578125" style="3" bestFit="1" customWidth="1"/>
    <col min="6" max="6" width="11.140625" style="3" bestFit="1" customWidth="1"/>
    <col min="7" max="7" width="7.7109375" style="3" bestFit="1" customWidth="1"/>
    <col min="8" max="8" width="6.42578125" style="3" bestFit="1" customWidth="1"/>
    <col min="9" max="9" width="11.140625" style="3" bestFit="1" customWidth="1"/>
    <col min="10" max="10" width="7.7109375" style="3" bestFit="1" customWidth="1"/>
    <col min="11" max="11" width="12" style="3" bestFit="1" customWidth="1"/>
    <col min="12" max="12" width="9.7109375" style="3" bestFit="1" customWidth="1"/>
    <col min="13" max="13" width="8.85546875" style="3" bestFit="1" customWidth="1"/>
    <col min="14" max="14" width="9.7109375" style="3" bestFit="1" customWidth="1"/>
    <col min="15" max="15" width="11.140625" style="3" bestFit="1" customWidth="1"/>
    <col min="16" max="16" width="7.7109375" style="3" bestFit="1" customWidth="1"/>
    <col min="17" max="17" width="9.140625" style="3" bestFit="1" customWidth="1"/>
    <col min="18" max="18" width="10.140625" style="3" bestFit="1" customWidth="1"/>
    <col min="19" max="19" width="11.28515625" style="3" bestFit="1" customWidth="1"/>
    <col min="20" max="20" width="12.5703125" style="3" bestFit="1" customWidth="1"/>
    <col min="21" max="21" width="18.140625" style="3" bestFit="1" customWidth="1"/>
    <col min="22" max="22" width="7.7109375" style="3" bestFit="1" customWidth="1"/>
    <col min="23" max="23" width="9.140625" style="3" bestFit="1" customWidth="1"/>
    <col min="24" max="24" width="10.140625" style="3" bestFit="1" customWidth="1"/>
    <col min="25" max="25" width="12" style="3" bestFit="1" customWidth="1"/>
    <col min="26" max="26" width="13.42578125" style="3" bestFit="1" customWidth="1"/>
    <col min="27" max="27" width="12" style="3" bestFit="1" customWidth="1"/>
    <col min="28" max="28" width="13.42578125" style="3" bestFit="1" customWidth="1"/>
    <col min="29" max="29" width="7.5703125" bestFit="1" customWidth="1"/>
    <col min="30" max="30" width="7.85546875" bestFit="1" customWidth="1"/>
    <col min="31" max="31" width="7.5703125" bestFit="1" customWidth="1"/>
    <col min="32" max="32" width="7.85546875" bestFit="1" customWidth="1"/>
    <col min="33" max="33" width="7.5703125" bestFit="1" customWidth="1"/>
    <col min="34" max="34" width="7.85546875" bestFit="1" customWidth="1"/>
    <col min="35" max="35" width="5.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s>
  <sheetData>
    <row r="1" spans="3:39" ht="19.5" customHeight="1" x14ac:dyDescent="0.25">
      <c r="C1" s="112" t="s">
        <v>22</v>
      </c>
      <c r="D1" s="114" t="s">
        <v>725</v>
      </c>
      <c r="E1" s="115"/>
      <c r="F1" s="115"/>
      <c r="G1" s="115"/>
      <c r="H1" s="115"/>
      <c r="I1"/>
      <c r="J1"/>
      <c r="K1" s="66">
        <v>0.55555555555555558</v>
      </c>
      <c r="L1" s="66">
        <v>4.3478260869565216E-2</v>
      </c>
      <c r="M1" s="66">
        <v>3.7037037037037035E-2</v>
      </c>
      <c r="AC1" s="3"/>
      <c r="AD1" s="3"/>
      <c r="AE1" s="3"/>
    </row>
    <row r="2" spans="3:39" ht="20.25" customHeight="1" x14ac:dyDescent="0.25">
      <c r="C2" s="113"/>
      <c r="D2" s="114"/>
      <c r="E2" s="115"/>
      <c r="F2" s="115"/>
      <c r="G2" s="115"/>
      <c r="H2" s="115"/>
      <c r="I2"/>
      <c r="J2"/>
      <c r="K2" s="13">
        <v>3.7037037037037035E-2</v>
      </c>
      <c r="L2" s="13"/>
    </row>
    <row r="3" spans="3:39" x14ac:dyDescent="0.25">
      <c r="C3"/>
      <c r="D3"/>
      <c r="E3"/>
      <c r="F3"/>
      <c r="G3"/>
      <c r="H3"/>
      <c r="I3"/>
      <c r="J3"/>
      <c r="K3"/>
      <c r="L3"/>
      <c r="M3"/>
      <c r="N3"/>
      <c r="O3"/>
      <c r="P3"/>
      <c r="Q3"/>
      <c r="R3"/>
      <c r="S3"/>
      <c r="T3"/>
    </row>
    <row r="4" spans="3:39" x14ac:dyDescent="0.25">
      <c r="C4"/>
      <c r="D4"/>
      <c r="E4"/>
      <c r="F4"/>
      <c r="G4"/>
      <c r="H4"/>
      <c r="I4"/>
      <c r="J4"/>
      <c r="K4"/>
      <c r="L4"/>
      <c r="M4"/>
      <c r="N4"/>
      <c r="O4"/>
      <c r="P4"/>
      <c r="Q4"/>
      <c r="R4"/>
      <c r="S4"/>
      <c r="T4"/>
    </row>
    <row r="5" spans="3:39" x14ac:dyDescent="0.25">
      <c r="C5"/>
      <c r="D5"/>
      <c r="E5"/>
      <c r="F5"/>
      <c r="G5"/>
      <c r="H5"/>
      <c r="I5"/>
      <c r="J5"/>
      <c r="K5"/>
      <c r="L5"/>
      <c r="M5"/>
      <c r="N5"/>
      <c r="O5"/>
      <c r="P5"/>
      <c r="Q5"/>
      <c r="R5"/>
      <c r="S5"/>
      <c r="T5"/>
    </row>
    <row r="6" spans="3:39" x14ac:dyDescent="0.25">
      <c r="C6" s="33"/>
      <c r="D6" s="34"/>
      <c r="E6" s="34"/>
      <c r="F6" s="34"/>
      <c r="G6" s="34"/>
      <c r="N6" s="35"/>
      <c r="AC6" s="3"/>
      <c r="AD6" s="3"/>
      <c r="AE6" s="3"/>
    </row>
    <row r="7" spans="3:39" x14ac:dyDescent="0.25">
      <c r="D7" s="118" t="s">
        <v>25</v>
      </c>
      <c r="E7" s="118"/>
      <c r="F7" s="118"/>
      <c r="G7" s="118" t="s">
        <v>26</v>
      </c>
      <c r="H7" s="118"/>
      <c r="I7" s="118"/>
      <c r="J7" s="119" t="s">
        <v>27</v>
      </c>
      <c r="K7" s="120"/>
      <c r="L7" s="120"/>
      <c r="M7" s="120" t="s">
        <v>28</v>
      </c>
      <c r="N7" s="120"/>
      <c r="O7" s="120"/>
      <c r="P7" s="122" t="s">
        <v>1</v>
      </c>
      <c r="Q7" s="123"/>
      <c r="R7" s="123"/>
      <c r="S7" s="122" t="s">
        <v>2</v>
      </c>
      <c r="T7" s="123"/>
      <c r="U7" s="123"/>
      <c r="V7" s="122" t="s">
        <v>3</v>
      </c>
      <c r="W7" s="123"/>
      <c r="X7" s="123"/>
      <c r="Y7" s="123"/>
      <c r="Z7" s="123"/>
    </row>
    <row r="8" spans="3:39" x14ac:dyDescent="0.25">
      <c r="C8" s="116" t="s">
        <v>359</v>
      </c>
      <c r="D8" s="124" t="s">
        <v>20</v>
      </c>
      <c r="E8" s="125"/>
      <c r="F8" s="126"/>
      <c r="G8" s="124" t="s">
        <v>360</v>
      </c>
      <c r="H8" s="125"/>
      <c r="I8" s="126"/>
      <c r="J8" s="124" t="s">
        <v>17</v>
      </c>
      <c r="K8" s="125"/>
      <c r="L8" s="125"/>
      <c r="M8" s="124" t="s">
        <v>17</v>
      </c>
      <c r="N8" s="125"/>
      <c r="O8" s="125"/>
      <c r="P8" s="124" t="s">
        <v>17</v>
      </c>
      <c r="Q8" s="125"/>
      <c r="R8" s="125"/>
      <c r="S8" s="124" t="s">
        <v>17</v>
      </c>
      <c r="T8" s="125"/>
      <c r="U8" s="125"/>
      <c r="V8" s="124" t="s">
        <v>17</v>
      </c>
      <c r="W8" s="125"/>
      <c r="X8" s="125"/>
      <c r="Y8" s="125"/>
      <c r="Z8" s="126"/>
      <c r="AA8" s="127" t="s">
        <v>6</v>
      </c>
      <c r="AB8" s="128"/>
      <c r="AC8" s="127" t="s">
        <v>7</v>
      </c>
      <c r="AD8" s="129"/>
      <c r="AE8" s="127" t="s">
        <v>8</v>
      </c>
      <c r="AF8" s="129"/>
    </row>
    <row r="9" spans="3:39" x14ac:dyDescent="0.25">
      <c r="C9" s="117"/>
      <c r="D9" s="4" t="s">
        <v>9</v>
      </c>
      <c r="E9" s="4" t="s">
        <v>10</v>
      </c>
      <c r="F9" s="4" t="s">
        <v>11</v>
      </c>
      <c r="G9" s="4" t="s">
        <v>9</v>
      </c>
      <c r="H9" s="4" t="s">
        <v>10</v>
      </c>
      <c r="I9" s="4" t="s">
        <v>11</v>
      </c>
      <c r="J9" s="4" t="s">
        <v>9</v>
      </c>
      <c r="K9" s="4" t="s">
        <v>10</v>
      </c>
      <c r="L9" s="4" t="s">
        <v>11</v>
      </c>
      <c r="M9" s="4" t="s">
        <v>9</v>
      </c>
      <c r="N9" s="4" t="s">
        <v>10</v>
      </c>
      <c r="O9" s="4" t="s">
        <v>11</v>
      </c>
      <c r="P9" s="4" t="s">
        <v>9</v>
      </c>
      <c r="Q9" s="4" t="s">
        <v>10</v>
      </c>
      <c r="R9" s="4" t="s">
        <v>11</v>
      </c>
      <c r="S9" s="4" t="s">
        <v>9</v>
      </c>
      <c r="T9" s="4" t="s">
        <v>10</v>
      </c>
      <c r="U9" s="4" t="s">
        <v>11</v>
      </c>
      <c r="V9" s="4" t="s">
        <v>9</v>
      </c>
      <c r="W9" s="4" t="s">
        <v>10</v>
      </c>
      <c r="X9" s="4" t="s">
        <v>11</v>
      </c>
      <c r="Y9" s="4" t="s">
        <v>14</v>
      </c>
      <c r="Z9" s="4" t="s">
        <v>15</v>
      </c>
      <c r="AA9" s="4" t="s">
        <v>16</v>
      </c>
      <c r="AB9" s="4" t="s">
        <v>11</v>
      </c>
      <c r="AC9" s="4" t="s">
        <v>16</v>
      </c>
      <c r="AD9" s="4" t="s">
        <v>11</v>
      </c>
      <c r="AE9" s="4" t="s">
        <v>16</v>
      </c>
      <c r="AF9" s="4" t="s">
        <v>11</v>
      </c>
    </row>
    <row r="10" spans="3:39" collapsed="1" x14ac:dyDescent="0.25">
      <c r="C10" s="5" t="s">
        <v>29</v>
      </c>
      <c r="D10" s="6">
        <v>420.43478260869568</v>
      </c>
      <c r="E10" s="53">
        <v>673.37171251292659</v>
      </c>
      <c r="F10" s="6">
        <v>283108.88956521743</v>
      </c>
      <c r="G10" s="6">
        <v>505.7407407407407</v>
      </c>
      <c r="H10" s="53">
        <v>585.81051556206558</v>
      </c>
      <c r="I10" s="6">
        <v>296268.24407407426</v>
      </c>
      <c r="J10" s="6">
        <v>528</v>
      </c>
      <c r="K10" s="53">
        <v>632.78895833333308</v>
      </c>
      <c r="L10" s="6">
        <v>334112.56999999989</v>
      </c>
      <c r="M10" s="6">
        <v>403.13799989887565</v>
      </c>
      <c r="N10" s="53">
        <v>652.77970339030117</v>
      </c>
      <c r="O10" s="6">
        <v>263160.30399934732</v>
      </c>
      <c r="P10" s="6">
        <v>25660.799999999999</v>
      </c>
      <c r="Q10" s="6">
        <v>351.5494212962962</v>
      </c>
      <c r="R10" s="6">
        <v>9021039.3899999969</v>
      </c>
      <c r="S10" s="6">
        <v>10884.725997269639</v>
      </c>
      <c r="T10" s="6">
        <v>652.77970339030139</v>
      </c>
      <c r="U10" s="6">
        <v>7105328.2079823781</v>
      </c>
      <c r="V10" s="6">
        <v>124.86200010112435</v>
      </c>
      <c r="W10" s="6">
        <v>-19.99074505696808</v>
      </c>
      <c r="X10" s="6">
        <v>70952.266000652569</v>
      </c>
      <c r="Y10" s="6">
        <v>-10555.113390079146</v>
      </c>
      <c r="Z10" s="6">
        <v>81507.379390731701</v>
      </c>
      <c r="AA10" s="8">
        <v>1.3097252060893418</v>
      </c>
      <c r="AB10" s="8">
        <v>1.2696161424134413</v>
      </c>
      <c r="AC10" s="8">
        <v>0.25584281282316435</v>
      </c>
      <c r="AD10" s="8">
        <v>0.18015570091462343</v>
      </c>
      <c r="AE10" s="8">
        <v>4.4013181984621091E-2</v>
      </c>
      <c r="AF10" s="8">
        <v>0.12773669363113932</v>
      </c>
      <c r="AI10" s="67">
        <v>0</v>
      </c>
    </row>
    <row r="11" spans="3:39" x14ac:dyDescent="0.25">
      <c r="C11" s="41"/>
      <c r="D11" s="42"/>
      <c r="E11" s="43"/>
      <c r="F11" s="42"/>
      <c r="G11" s="42"/>
      <c r="H11" s="43"/>
      <c r="I11" s="42"/>
      <c r="J11" s="42"/>
      <c r="K11" s="44"/>
      <c r="L11" s="42"/>
      <c r="M11" s="42"/>
      <c r="N11" s="43"/>
      <c r="O11" s="42"/>
      <c r="P11" s="42"/>
      <c r="Q11" s="42"/>
      <c r="R11" s="43"/>
      <c r="S11" s="42"/>
      <c r="T11" s="42"/>
      <c r="V11" s="42"/>
      <c r="W11" s="45"/>
      <c r="X11" s="45"/>
      <c r="Y11" s="45"/>
      <c r="Z11" s="45"/>
      <c r="AA11" s="42"/>
      <c r="AB11" s="42"/>
      <c r="AC11" s="42"/>
      <c r="AD11" s="46"/>
      <c r="AE11" s="46"/>
      <c r="AF11" s="47"/>
      <c r="AG11" s="47"/>
      <c r="AH11" s="47"/>
      <c r="AI11" s="47"/>
      <c r="AJ11" s="47"/>
      <c r="AK11" s="47"/>
      <c r="AL11" s="47"/>
      <c r="AM11" s="47"/>
    </row>
    <row r="12" spans="3:39" x14ac:dyDescent="0.25">
      <c r="C12" s="41"/>
      <c r="D12" s="68"/>
      <c r="E12" s="69"/>
      <c r="F12" s="68"/>
      <c r="G12" s="68"/>
      <c r="H12" s="69"/>
      <c r="I12" s="68"/>
      <c r="J12" s="68"/>
      <c r="K12" s="68"/>
      <c r="L12" s="68"/>
      <c r="M12" s="68"/>
      <c r="N12" s="68"/>
      <c r="O12" s="68"/>
      <c r="P12" s="68"/>
      <c r="Q12" s="68"/>
      <c r="R12" s="69"/>
      <c r="S12" s="50"/>
      <c r="T12" s="50"/>
      <c r="U12" s="70"/>
      <c r="V12" s="68"/>
      <c r="W12" s="49"/>
      <c r="X12" s="49"/>
      <c r="Y12" s="50"/>
      <c r="Z12" s="50"/>
      <c r="AA12" s="50"/>
      <c r="AB12" s="50"/>
      <c r="AC12" s="50"/>
      <c r="AD12" s="50"/>
      <c r="AE12" s="50"/>
      <c r="AF12" s="50"/>
      <c r="AG12" s="50"/>
    </row>
    <row r="13" spans="3:39" x14ac:dyDescent="0.25">
      <c r="C13" s="9">
        <v>0.55555555555555558</v>
      </c>
      <c r="D13" s="118" t="s">
        <v>30</v>
      </c>
      <c r="E13" s="118"/>
      <c r="F13" s="118"/>
      <c r="G13" s="118" t="s">
        <v>31</v>
      </c>
      <c r="H13" s="118"/>
      <c r="I13" s="118"/>
      <c r="J13" s="119" t="s">
        <v>27</v>
      </c>
      <c r="K13" s="120"/>
      <c r="L13" s="120"/>
      <c r="M13" s="119" t="s">
        <v>28</v>
      </c>
      <c r="N13" s="120"/>
      <c r="O13" s="120"/>
      <c r="P13" s="119" t="s">
        <v>32</v>
      </c>
      <c r="Q13" s="120"/>
      <c r="R13" s="121"/>
      <c r="S13" s="119" t="s">
        <v>2</v>
      </c>
      <c r="T13" s="120"/>
      <c r="U13" s="121"/>
      <c r="V13" s="122" t="s">
        <v>3</v>
      </c>
      <c r="W13" s="123"/>
      <c r="X13" s="123"/>
      <c r="Y13" s="123"/>
      <c r="Z13" s="123"/>
    </row>
    <row r="14" spans="3:39" x14ac:dyDescent="0.25">
      <c r="D14" s="124" t="s">
        <v>20</v>
      </c>
      <c r="E14" s="125"/>
      <c r="F14" s="126"/>
      <c r="G14" s="124" t="s">
        <v>360</v>
      </c>
      <c r="H14" s="125"/>
      <c r="I14" s="126"/>
      <c r="J14" s="124" t="s">
        <v>17</v>
      </c>
      <c r="K14" s="125"/>
      <c r="L14" s="125"/>
      <c r="M14" s="124" t="s">
        <v>17</v>
      </c>
      <c r="N14" s="125"/>
      <c r="O14" s="125"/>
      <c r="P14" s="124" t="s">
        <v>17</v>
      </c>
      <c r="Q14" s="125"/>
      <c r="R14" s="125"/>
      <c r="S14" s="124" t="s">
        <v>17</v>
      </c>
      <c r="T14" s="125"/>
      <c r="U14" s="125"/>
      <c r="V14" s="124" t="s">
        <v>17</v>
      </c>
      <c r="W14" s="125"/>
      <c r="X14" s="125"/>
      <c r="Y14" s="125"/>
      <c r="Z14" s="126"/>
      <c r="AA14" s="127" t="s">
        <v>6</v>
      </c>
      <c r="AB14" s="128"/>
      <c r="AC14" s="127" t="s">
        <v>7</v>
      </c>
      <c r="AD14" s="129"/>
      <c r="AE14" s="127" t="s">
        <v>8</v>
      </c>
      <c r="AF14" s="129"/>
    </row>
    <row r="15" spans="3:39" x14ac:dyDescent="0.25">
      <c r="C15" s="97" t="s">
        <v>33</v>
      </c>
      <c r="D15" s="4" t="s">
        <v>9</v>
      </c>
      <c r="E15" s="4" t="s">
        <v>10</v>
      </c>
      <c r="F15" s="4" t="s">
        <v>11</v>
      </c>
      <c r="G15" s="4" t="s">
        <v>9</v>
      </c>
      <c r="H15" s="4" t="s">
        <v>10</v>
      </c>
      <c r="I15" s="4" t="s">
        <v>11</v>
      </c>
      <c r="J15" s="4" t="s">
        <v>9</v>
      </c>
      <c r="K15" s="4" t="s">
        <v>10</v>
      </c>
      <c r="L15" s="4" t="s">
        <v>11</v>
      </c>
      <c r="M15" s="4" t="s">
        <v>9</v>
      </c>
      <c r="N15" s="4" t="s">
        <v>10</v>
      </c>
      <c r="O15" s="4" t="s">
        <v>11</v>
      </c>
      <c r="P15" s="4" t="s">
        <v>9</v>
      </c>
      <c r="Q15" s="4" t="s">
        <v>10</v>
      </c>
      <c r="R15" s="4" t="s">
        <v>11</v>
      </c>
      <c r="S15" s="4" t="s">
        <v>9</v>
      </c>
      <c r="T15" s="4" t="s">
        <v>10</v>
      </c>
      <c r="U15" s="4" t="s">
        <v>11</v>
      </c>
      <c r="V15" s="4" t="s">
        <v>9</v>
      </c>
      <c r="W15" s="4" t="s">
        <v>10</v>
      </c>
      <c r="X15" s="4" t="s">
        <v>11</v>
      </c>
      <c r="Y15" s="4" t="s">
        <v>14</v>
      </c>
      <c r="Z15" s="4" t="s">
        <v>15</v>
      </c>
      <c r="AA15" s="4" t="s">
        <v>16</v>
      </c>
      <c r="AB15" s="4" t="s">
        <v>11</v>
      </c>
      <c r="AC15" s="4" t="s">
        <v>16</v>
      </c>
      <c r="AD15" s="4" t="s">
        <v>11</v>
      </c>
      <c r="AE15" s="4" t="s">
        <v>16</v>
      </c>
      <c r="AF15" s="4" t="s">
        <v>11</v>
      </c>
    </row>
    <row r="16" spans="3:39" collapsed="1" x14ac:dyDescent="0.25">
      <c r="C16" s="52" t="s">
        <v>35</v>
      </c>
      <c r="D16" s="6">
        <v>8.304347826086957</v>
      </c>
      <c r="E16" s="53">
        <v>720.05335078534006</v>
      </c>
      <c r="F16" s="6">
        <v>5979.5734782608679</v>
      </c>
      <c r="G16" s="6">
        <v>13.222222222222221</v>
      </c>
      <c r="H16" s="53">
        <v>437.49873949579825</v>
      </c>
      <c r="I16" s="6">
        <v>5784.7055555555544</v>
      </c>
      <c r="J16" s="6">
        <v>10</v>
      </c>
      <c r="K16" s="53">
        <v>528.16</v>
      </c>
      <c r="L16" s="6">
        <v>5281.5999999999995</v>
      </c>
      <c r="M16" s="6">
        <v>15.205555555555556</v>
      </c>
      <c r="N16" s="53">
        <v>696.89574660633468</v>
      </c>
      <c r="O16" s="6">
        <v>10596.686991452989</v>
      </c>
      <c r="P16" s="6">
        <v>486</v>
      </c>
      <c r="Q16" s="53">
        <v>293.42222222222216</v>
      </c>
      <c r="R16" s="6">
        <v>142603.19999999998</v>
      </c>
      <c r="S16" s="6">
        <v>590</v>
      </c>
      <c r="T16" s="6">
        <v>249.90677966101694</v>
      </c>
      <c r="U16" s="6">
        <v>147445</v>
      </c>
      <c r="V16" s="6">
        <v>-5.2055555555555557</v>
      </c>
      <c r="W16" s="6">
        <v>-168.73574660633471</v>
      </c>
      <c r="X16" s="6">
        <v>-5315.0869914529894</v>
      </c>
      <c r="Y16" s="6">
        <v>-1687.3574660633471</v>
      </c>
      <c r="Z16" s="6">
        <v>-3627.7295253896423</v>
      </c>
      <c r="AA16" s="8">
        <v>0.65765436609426375</v>
      </c>
      <c r="AB16" s="8">
        <v>0.49841993108412092</v>
      </c>
      <c r="AC16" s="8">
        <v>0.20418848167539261</v>
      </c>
      <c r="AD16" s="8">
        <v>-0.11672629842218628</v>
      </c>
      <c r="AE16" s="8">
        <v>-0.24369747899159661</v>
      </c>
      <c r="AF16" s="8">
        <v>-8.6971679150095904E-2</v>
      </c>
      <c r="AG16">
        <v>0</v>
      </c>
    </row>
    <row r="17" spans="3:33" collapsed="1" x14ac:dyDescent="0.25">
      <c r="C17" s="52" t="s">
        <v>36</v>
      </c>
      <c r="D17" s="6">
        <v>11.434782608695652</v>
      </c>
      <c r="E17" s="53">
        <v>1049.5521673003798</v>
      </c>
      <c r="F17" s="6">
        <v>12001.400869565212</v>
      </c>
      <c r="G17" s="6">
        <v>12.814814814814815</v>
      </c>
      <c r="H17" s="53">
        <v>863.90517341040493</v>
      </c>
      <c r="I17" s="6">
        <v>11070.784814814819</v>
      </c>
      <c r="J17" s="6">
        <v>12</v>
      </c>
      <c r="K17" s="53">
        <v>964.98083333333341</v>
      </c>
      <c r="L17" s="6">
        <v>11579.77</v>
      </c>
      <c r="M17" s="6">
        <v>17.946623093681918</v>
      </c>
      <c r="N17" s="53">
        <v>991.53484613050057</v>
      </c>
      <c r="O17" s="6">
        <v>17794.70216775599</v>
      </c>
      <c r="P17" s="6">
        <v>583.19999999999993</v>
      </c>
      <c r="Q17" s="53">
        <v>536.10046296296309</v>
      </c>
      <c r="R17" s="6">
        <v>312653.79000000004</v>
      </c>
      <c r="S17" s="6">
        <v>365</v>
      </c>
      <c r="T17" s="6">
        <v>1017.1616438356165</v>
      </c>
      <c r="U17" s="6">
        <v>371264</v>
      </c>
      <c r="V17" s="6">
        <v>-5.946623093681918</v>
      </c>
      <c r="W17" s="6">
        <v>-26.554012797167161</v>
      </c>
      <c r="X17" s="6">
        <v>-6214.9321677559892</v>
      </c>
      <c r="Y17" s="6">
        <v>-318.64815356600593</v>
      </c>
      <c r="Z17" s="6">
        <v>-5896.2840141899815</v>
      </c>
      <c r="AA17" s="8">
        <v>0.66864946889226096</v>
      </c>
      <c r="AB17" s="8">
        <v>0.65074255757888155</v>
      </c>
      <c r="AC17" s="8">
        <v>4.9429657794676791E-2</v>
      </c>
      <c r="AD17" s="8">
        <v>-3.5131804540788278E-2</v>
      </c>
      <c r="AE17" s="8">
        <v>-6.3583815028901744E-2</v>
      </c>
      <c r="AF17" s="8">
        <v>4.5975528718078112E-2</v>
      </c>
      <c r="AG17">
        <v>0</v>
      </c>
    </row>
    <row r="18" spans="3:33" collapsed="1" x14ac:dyDescent="0.25">
      <c r="C18" s="52" t="s">
        <v>37</v>
      </c>
      <c r="D18" s="6">
        <v>0</v>
      </c>
      <c r="E18" s="53" t="s">
        <v>364</v>
      </c>
      <c r="F18" s="6">
        <v>0</v>
      </c>
      <c r="G18" s="6">
        <v>0.25925925925925924</v>
      </c>
      <c r="H18" s="53">
        <v>703.21714285714302</v>
      </c>
      <c r="I18" s="6">
        <v>182.31555555555559</v>
      </c>
      <c r="J18" s="6">
        <v>1</v>
      </c>
      <c r="K18" s="53">
        <v>0</v>
      </c>
      <c r="L18" s="6">
        <v>0</v>
      </c>
      <c r="M18" s="6">
        <v>1.4666666666666666</v>
      </c>
      <c r="N18" s="53">
        <v>846.31000000000006</v>
      </c>
      <c r="O18" s="6">
        <v>1241.2546666666667</v>
      </c>
      <c r="P18" s="6">
        <v>48.599999999999994</v>
      </c>
      <c r="Q18" s="53">
        <v>0</v>
      </c>
      <c r="R18" s="6">
        <v>0</v>
      </c>
      <c r="S18" s="6">
        <v>30</v>
      </c>
      <c r="T18" s="6">
        <v>1023.1333333333333</v>
      </c>
      <c r="U18" s="6">
        <v>30694</v>
      </c>
      <c r="V18" s="6">
        <v>-0.46666666666666656</v>
      </c>
      <c r="W18" s="6">
        <v>-846.31000000000006</v>
      </c>
      <c r="X18" s="6">
        <v>-1241.2546666666667</v>
      </c>
      <c r="Y18" s="6">
        <v>-846.31000000000006</v>
      </c>
      <c r="Z18" s="6">
        <v>-394.94466666666659</v>
      </c>
      <c r="AA18" s="8">
        <v>0.68181818181818188</v>
      </c>
      <c r="AB18" s="8">
        <v>0</v>
      </c>
      <c r="AC18" s="8" t="s">
        <v>364</v>
      </c>
      <c r="AD18" s="8" t="s">
        <v>364</v>
      </c>
      <c r="AE18" s="8">
        <v>2.8571428571428572</v>
      </c>
      <c r="AF18" s="8">
        <v>-1</v>
      </c>
      <c r="AG18">
        <v>0</v>
      </c>
    </row>
    <row r="19" spans="3:33" collapsed="1" x14ac:dyDescent="0.25">
      <c r="C19" s="52" t="s">
        <v>38</v>
      </c>
      <c r="D19" s="6">
        <v>8.695652173913043</v>
      </c>
      <c r="E19" s="53">
        <v>844.56379999999956</v>
      </c>
      <c r="F19" s="6">
        <v>7344.0330434782563</v>
      </c>
      <c r="G19" s="6">
        <v>6.7407407407407405</v>
      </c>
      <c r="H19" s="53">
        <v>849.83104395604403</v>
      </c>
      <c r="I19" s="6">
        <v>5728.4907407407409</v>
      </c>
      <c r="J19" s="6">
        <v>8</v>
      </c>
      <c r="K19" s="53">
        <v>897.30750000000012</v>
      </c>
      <c r="L19" s="6">
        <v>7178.4600000000009</v>
      </c>
      <c r="M19" s="6">
        <v>15.777777777777777</v>
      </c>
      <c r="N19" s="53">
        <v>855.08720472440837</v>
      </c>
      <c r="O19" s="6">
        <v>13491.375896762887</v>
      </c>
      <c r="P19" s="6">
        <v>388.79999999999995</v>
      </c>
      <c r="Q19" s="53">
        <v>498.50416666666678</v>
      </c>
      <c r="R19" s="6">
        <v>193818.42</v>
      </c>
      <c r="S19" s="6">
        <v>315</v>
      </c>
      <c r="T19" s="6">
        <v>842.3301587301587</v>
      </c>
      <c r="U19" s="6">
        <v>265334</v>
      </c>
      <c r="V19" s="6">
        <v>-7.7777777777777768</v>
      </c>
      <c r="W19" s="6">
        <v>42.220295275591752</v>
      </c>
      <c r="X19" s="6">
        <v>-6312.9158967628864</v>
      </c>
      <c r="Y19" s="6">
        <v>337.76236220473402</v>
      </c>
      <c r="Z19" s="6">
        <v>-6650.6782589676195</v>
      </c>
      <c r="AA19" s="8">
        <v>0.50704225352112675</v>
      </c>
      <c r="AB19" s="8">
        <v>0.53207768095190322</v>
      </c>
      <c r="AC19" s="8">
        <v>-7.9999999999999946E-2</v>
      </c>
      <c r="AD19" s="8">
        <v>-2.2545247617763609E-2</v>
      </c>
      <c r="AE19" s="8">
        <v>0.18681318681318687</v>
      </c>
      <c r="AF19" s="8">
        <v>0.25311540593880183</v>
      </c>
      <c r="AG19">
        <v>0</v>
      </c>
    </row>
    <row r="20" spans="3:33" collapsed="1" x14ac:dyDescent="0.25">
      <c r="C20" s="52" t="s">
        <v>154</v>
      </c>
      <c r="D20" s="6">
        <v>22.521739130434781</v>
      </c>
      <c r="E20" s="53">
        <v>512.8122200772201</v>
      </c>
      <c r="F20" s="6">
        <v>11549.42304347826</v>
      </c>
      <c r="G20" s="6">
        <v>30.37037037037037</v>
      </c>
      <c r="H20" s="53">
        <v>486.55710975609765</v>
      </c>
      <c r="I20" s="6">
        <v>14776.919629629632</v>
      </c>
      <c r="J20" s="6">
        <v>26</v>
      </c>
      <c r="K20" s="53">
        <v>427.79999999999995</v>
      </c>
      <c r="L20" s="6">
        <v>11122.8</v>
      </c>
      <c r="M20" s="6">
        <v>35.336574074074072</v>
      </c>
      <c r="N20" s="53">
        <v>468.7820386719809</v>
      </c>
      <c r="O20" s="6">
        <v>16565.151234127909</v>
      </c>
      <c r="P20" s="6">
        <v>1263.5999999999999</v>
      </c>
      <c r="Q20" s="53">
        <v>237.66666666666666</v>
      </c>
      <c r="R20" s="6">
        <v>300315.59999999998</v>
      </c>
      <c r="S20" s="6">
        <v>0</v>
      </c>
      <c r="T20" s="6" t="s">
        <v>364</v>
      </c>
      <c r="U20" s="6">
        <v>0</v>
      </c>
      <c r="V20" s="6">
        <v>-9.3365740740740719</v>
      </c>
      <c r="W20" s="6">
        <v>-40.982038671980945</v>
      </c>
      <c r="X20" s="6">
        <v>-5442.3512341279093</v>
      </c>
      <c r="Y20" s="6">
        <v>-1065.5330054715046</v>
      </c>
      <c r="Z20" s="6">
        <v>-4376.8182286564061</v>
      </c>
      <c r="AA20" s="8">
        <v>0.73578157139675349</v>
      </c>
      <c r="AB20" s="8">
        <v>0.67145779973831743</v>
      </c>
      <c r="AC20" s="8">
        <v>0.15444015444015449</v>
      </c>
      <c r="AD20" s="8">
        <v>-3.6938905248532473E-2</v>
      </c>
      <c r="AE20" s="8">
        <v>-0.14390243902439023</v>
      </c>
      <c r="AF20" s="8">
        <v>-0.24728561305176561</v>
      </c>
      <c r="AG20">
        <v>0</v>
      </c>
    </row>
    <row r="21" spans="3:33" collapsed="1" x14ac:dyDescent="0.25">
      <c r="C21" s="52" t="s">
        <v>39</v>
      </c>
      <c r="D21" s="6">
        <v>25.260869565217391</v>
      </c>
      <c r="E21" s="53">
        <v>516.59927710843328</v>
      </c>
      <c r="F21" s="6">
        <v>13049.746956521729</v>
      </c>
      <c r="G21" s="6">
        <v>25.111111111111111</v>
      </c>
      <c r="H21" s="53">
        <v>505.14050147492617</v>
      </c>
      <c r="I21" s="6">
        <v>12684.639259259257</v>
      </c>
      <c r="J21" s="6">
        <v>22</v>
      </c>
      <c r="K21" s="53">
        <v>503.68227272727273</v>
      </c>
      <c r="L21" s="6">
        <v>11081.01</v>
      </c>
      <c r="M21" s="6">
        <v>36.298148148148144</v>
      </c>
      <c r="N21" s="53">
        <v>529.66170943494421</v>
      </c>
      <c r="O21" s="6">
        <v>19225.739197471001</v>
      </c>
      <c r="P21" s="6">
        <v>1069.2</v>
      </c>
      <c r="Q21" s="53">
        <v>279.82348484848484</v>
      </c>
      <c r="R21" s="6">
        <v>299187.27</v>
      </c>
      <c r="S21" s="6">
        <v>1021</v>
      </c>
      <c r="T21" s="6">
        <v>529.79236043095</v>
      </c>
      <c r="U21" s="6">
        <v>540918</v>
      </c>
      <c r="V21" s="6">
        <v>-14.298148148148144</v>
      </c>
      <c r="W21" s="6">
        <v>-25.979436707671482</v>
      </c>
      <c r="X21" s="6">
        <v>-8144.7291974710006</v>
      </c>
      <c r="Y21" s="6">
        <v>-571.54760756877261</v>
      </c>
      <c r="Z21" s="6">
        <v>-7573.1815899022276</v>
      </c>
      <c r="AA21" s="8">
        <v>0.606091525942554</v>
      </c>
      <c r="AB21" s="8">
        <v>0.57636327457607572</v>
      </c>
      <c r="AC21" s="8">
        <v>-0.12908777969018931</v>
      </c>
      <c r="AD21" s="8">
        <v>-0.15086399476411569</v>
      </c>
      <c r="AE21" s="8">
        <v>-0.1238938053097345</v>
      </c>
      <c r="AF21" s="8">
        <v>-0.12642292985105383</v>
      </c>
      <c r="AG21">
        <v>0</v>
      </c>
    </row>
    <row r="22" spans="3:33" collapsed="1" x14ac:dyDescent="0.25">
      <c r="C22" s="52" t="s">
        <v>40</v>
      </c>
      <c r="D22" s="6">
        <v>14.217391304347826</v>
      </c>
      <c r="E22" s="53">
        <v>354.16272171253843</v>
      </c>
      <c r="F22" s="6">
        <v>5035.2700000000032</v>
      </c>
      <c r="G22" s="6">
        <v>16.925925925925924</v>
      </c>
      <c r="H22" s="53">
        <v>330.22150984682736</v>
      </c>
      <c r="I22" s="6">
        <v>5589.3048148148182</v>
      </c>
      <c r="J22" s="6">
        <v>36</v>
      </c>
      <c r="K22" s="53">
        <v>232.80527777777777</v>
      </c>
      <c r="L22" s="6">
        <v>8380.99</v>
      </c>
      <c r="M22" s="6">
        <v>16.111111111111111</v>
      </c>
      <c r="N22" s="53">
        <v>332.46585585585564</v>
      </c>
      <c r="O22" s="6">
        <v>5356.3943443443404</v>
      </c>
      <c r="P22" s="6">
        <v>1749.6</v>
      </c>
      <c r="Q22" s="53">
        <v>129.33626543209877</v>
      </c>
      <c r="R22" s="6">
        <v>226286.72999999998</v>
      </c>
      <c r="S22" s="6">
        <v>716</v>
      </c>
      <c r="T22" s="6">
        <v>400.07960893854749</v>
      </c>
      <c r="U22" s="6">
        <v>286457</v>
      </c>
      <c r="V22" s="6">
        <v>19.888888888888889</v>
      </c>
      <c r="W22" s="6">
        <v>-99.660578078077862</v>
      </c>
      <c r="X22" s="6">
        <v>3024.5956556556594</v>
      </c>
      <c r="Y22" s="6">
        <v>-3587.7808108108029</v>
      </c>
      <c r="Z22" s="6">
        <v>6612.3764664664623</v>
      </c>
      <c r="AA22" s="8">
        <v>2.2344827586206897</v>
      </c>
      <c r="AB22" s="8">
        <v>1.5646700861091829</v>
      </c>
      <c r="AC22" s="8">
        <v>1.5321100917431192</v>
      </c>
      <c r="AD22" s="8">
        <v>0.66445692088011066</v>
      </c>
      <c r="AE22" s="8">
        <v>1.1269146608315102</v>
      </c>
      <c r="AF22" s="8">
        <v>0.49946912499487189</v>
      </c>
      <c r="AG22">
        <v>0</v>
      </c>
    </row>
    <row r="23" spans="3:33" collapsed="1" x14ac:dyDescent="0.25">
      <c r="C23" s="52" t="s">
        <v>41</v>
      </c>
      <c r="D23" s="6">
        <v>9.3478260869565215</v>
      </c>
      <c r="E23" s="53">
        <v>763.17739534883708</v>
      </c>
      <c r="F23" s="6">
        <v>7134.0495652173904</v>
      </c>
      <c r="G23" s="6">
        <v>9.8888888888888893</v>
      </c>
      <c r="H23" s="53">
        <v>621.47513108614282</v>
      </c>
      <c r="I23" s="6">
        <v>6145.698518518524</v>
      </c>
      <c r="J23" s="6">
        <v>15</v>
      </c>
      <c r="K23" s="53">
        <v>681.39400000000001</v>
      </c>
      <c r="L23" s="6">
        <v>10220.91</v>
      </c>
      <c r="M23" s="6">
        <v>16.962962962962962</v>
      </c>
      <c r="N23" s="53">
        <v>749.47523186091712</v>
      </c>
      <c r="O23" s="6">
        <v>12713.320599714816</v>
      </c>
      <c r="P23" s="6">
        <v>729</v>
      </c>
      <c r="Q23" s="53">
        <v>378.55222222222221</v>
      </c>
      <c r="R23" s="6">
        <v>275964.57</v>
      </c>
      <c r="S23" s="6">
        <v>396</v>
      </c>
      <c r="T23" s="6">
        <v>717.11363636363637</v>
      </c>
      <c r="U23" s="6">
        <v>283977</v>
      </c>
      <c r="V23" s="6">
        <v>-1.9629629629629619</v>
      </c>
      <c r="W23" s="6">
        <v>-68.081231860917114</v>
      </c>
      <c r="X23" s="6">
        <v>-2492.4105997148163</v>
      </c>
      <c r="Y23" s="6">
        <v>-1021.2184779137567</v>
      </c>
      <c r="Z23" s="6">
        <v>-1471.1921218010586</v>
      </c>
      <c r="AA23" s="8">
        <v>0.88427947598253276</v>
      </c>
      <c r="AB23" s="8">
        <v>0.80395282411341651</v>
      </c>
      <c r="AC23" s="8">
        <v>0.60465116279069775</v>
      </c>
      <c r="AD23" s="8">
        <v>0.43269399890811466</v>
      </c>
      <c r="AE23" s="8">
        <v>0.51685393258426959</v>
      </c>
      <c r="AF23" s="8">
        <v>0.66309980374107946</v>
      </c>
      <c r="AG23">
        <v>0</v>
      </c>
    </row>
    <row r="24" spans="3:33" collapsed="1" x14ac:dyDescent="0.25">
      <c r="C24" s="52" t="s">
        <v>42</v>
      </c>
      <c r="D24" s="6">
        <v>55.826086956521742</v>
      </c>
      <c r="E24" s="53">
        <v>895.84570093457933</v>
      </c>
      <c r="F24" s="6">
        <v>50011.56</v>
      </c>
      <c r="G24" s="6">
        <v>72.074074074074062</v>
      </c>
      <c r="H24" s="53">
        <v>609.90130010277517</v>
      </c>
      <c r="I24" s="6">
        <v>43958.071481481493</v>
      </c>
      <c r="J24" s="6">
        <v>67</v>
      </c>
      <c r="K24" s="53">
        <v>833.61820895522385</v>
      </c>
      <c r="L24" s="6">
        <v>55852.42</v>
      </c>
      <c r="M24" s="6">
        <v>60.987654320987644</v>
      </c>
      <c r="N24" s="53">
        <v>760.64989200910475</v>
      </c>
      <c r="O24" s="6">
        <v>46390.252673147865</v>
      </c>
      <c r="P24" s="6">
        <v>3256.2</v>
      </c>
      <c r="Q24" s="53">
        <v>463.12122719734657</v>
      </c>
      <c r="R24" s="6">
        <v>1508015.3399999999</v>
      </c>
      <c r="S24" s="6">
        <v>1499</v>
      </c>
      <c r="T24" s="6">
        <v>849.63175450300196</v>
      </c>
      <c r="U24" s="6">
        <v>1273598</v>
      </c>
      <c r="V24" s="6">
        <v>6.0123456790123555</v>
      </c>
      <c r="W24" s="6">
        <v>72.968316946119103</v>
      </c>
      <c r="X24" s="6">
        <v>9462.1673268521336</v>
      </c>
      <c r="Y24" s="6">
        <v>4888.8772353899803</v>
      </c>
      <c r="Z24" s="6">
        <v>4573.2900914621559</v>
      </c>
      <c r="AA24" s="8">
        <v>1.0985829959514173</v>
      </c>
      <c r="AB24" s="8">
        <v>1.2039688680619998</v>
      </c>
      <c r="AC24" s="8">
        <v>0.20015576323987533</v>
      </c>
      <c r="AD24" s="8">
        <v>0.11679019810619787</v>
      </c>
      <c r="AE24" s="8">
        <v>-7.0400822199383192E-2</v>
      </c>
      <c r="AF24" s="8">
        <v>0.27058394778600142</v>
      </c>
      <c r="AG24">
        <v>0</v>
      </c>
    </row>
    <row r="25" spans="3:33" collapsed="1" x14ac:dyDescent="0.25">
      <c r="C25" s="52" t="s">
        <v>43</v>
      </c>
      <c r="D25" s="6">
        <v>0</v>
      </c>
      <c r="E25" s="53" t="s">
        <v>364</v>
      </c>
      <c r="F25" s="6">
        <v>0</v>
      </c>
      <c r="G25" s="6">
        <v>0</v>
      </c>
      <c r="H25" s="53" t="s">
        <v>364</v>
      </c>
      <c r="I25" s="6">
        <v>0</v>
      </c>
      <c r="J25" s="6">
        <v>4</v>
      </c>
      <c r="K25" s="53">
        <v>752.755</v>
      </c>
      <c r="L25" s="6">
        <v>3011.02</v>
      </c>
      <c r="M25" s="6">
        <v>3.2592592592592591</v>
      </c>
      <c r="N25" s="53">
        <v>763.09124999999995</v>
      </c>
      <c r="O25" s="6">
        <v>2487.112222222222</v>
      </c>
      <c r="P25" s="6">
        <v>194.39999999999998</v>
      </c>
      <c r="Q25" s="53">
        <v>418.19722222222225</v>
      </c>
      <c r="R25" s="6">
        <v>81297.539999999994</v>
      </c>
      <c r="S25" s="6">
        <v>42</v>
      </c>
      <c r="T25" s="6">
        <v>1041</v>
      </c>
      <c r="U25" s="6">
        <v>43722</v>
      </c>
      <c r="V25" s="6">
        <v>0.74074074074074092</v>
      </c>
      <c r="W25" s="6">
        <v>-10.33624999999995</v>
      </c>
      <c r="X25" s="6">
        <v>523.90777777777794</v>
      </c>
      <c r="Y25" s="6">
        <v>-41.3449999999998</v>
      </c>
      <c r="Z25" s="6">
        <v>565.25277777777785</v>
      </c>
      <c r="AA25" s="8">
        <v>1.2272727272727273</v>
      </c>
      <c r="AB25" s="8">
        <v>1.2106490302675885</v>
      </c>
      <c r="AC25" s="8" t="s">
        <v>364</v>
      </c>
      <c r="AD25" s="8" t="s">
        <v>364</v>
      </c>
      <c r="AE25" s="8" t="s">
        <v>364</v>
      </c>
      <c r="AF25" s="8" t="s">
        <v>364</v>
      </c>
      <c r="AG25">
        <v>0</v>
      </c>
    </row>
    <row r="26" spans="3:33" collapsed="1" x14ac:dyDescent="0.25">
      <c r="C26" s="52" t="s">
        <v>44</v>
      </c>
      <c r="D26" s="6">
        <v>23.913043478260867</v>
      </c>
      <c r="E26" s="53">
        <v>797.76041818181864</v>
      </c>
      <c r="F26" s="6">
        <v>19076.879565217401</v>
      </c>
      <c r="G26" s="6">
        <v>23.62962962962963</v>
      </c>
      <c r="H26" s="53">
        <v>839.19692789968781</v>
      </c>
      <c r="I26" s="6">
        <v>19829.912592592624</v>
      </c>
      <c r="J26" s="6">
        <v>27</v>
      </c>
      <c r="K26" s="53">
        <v>891.90000000000009</v>
      </c>
      <c r="L26" s="6">
        <v>24081.300000000003</v>
      </c>
      <c r="M26" s="6">
        <v>25.555555555555554</v>
      </c>
      <c r="N26" s="53">
        <v>803.53062068965596</v>
      </c>
      <c r="O26" s="6">
        <v>20534.67141762454</v>
      </c>
      <c r="P26" s="6">
        <v>1312.1999999999998</v>
      </c>
      <c r="Q26" s="53">
        <v>495.50000000000011</v>
      </c>
      <c r="R26" s="6">
        <v>650195.10000000009</v>
      </c>
      <c r="S26" s="6">
        <v>714</v>
      </c>
      <c r="T26" s="6">
        <v>846.21428571428567</v>
      </c>
      <c r="U26" s="6">
        <v>604197</v>
      </c>
      <c r="V26" s="6">
        <v>1.4444444444444464</v>
      </c>
      <c r="W26" s="6">
        <v>88.369379310344129</v>
      </c>
      <c r="X26" s="6">
        <v>3546.6285823754624</v>
      </c>
      <c r="Y26" s="6">
        <v>2385.9732413792917</v>
      </c>
      <c r="Z26" s="6">
        <v>1160.6553409961714</v>
      </c>
      <c r="AA26" s="8">
        <v>1.0565217391304349</v>
      </c>
      <c r="AB26" s="8">
        <v>1.1727141628052278</v>
      </c>
      <c r="AC26" s="8">
        <v>0.1290909090909092</v>
      </c>
      <c r="AD26" s="8">
        <v>0.26232908886771444</v>
      </c>
      <c r="AE26" s="8">
        <v>0.14263322884012539</v>
      </c>
      <c r="AF26" s="8">
        <v>0.21439264482665779</v>
      </c>
      <c r="AG26">
        <v>0</v>
      </c>
    </row>
    <row r="27" spans="3:33" collapsed="1" x14ac:dyDescent="0.25">
      <c r="C27" s="52" t="s">
        <v>45</v>
      </c>
      <c r="D27" s="6">
        <v>0</v>
      </c>
      <c r="E27" s="53" t="s">
        <v>364</v>
      </c>
      <c r="F27" s="6">
        <v>0</v>
      </c>
      <c r="G27" s="6">
        <v>0</v>
      </c>
      <c r="H27" s="53" t="s">
        <v>364</v>
      </c>
      <c r="I27" s="6">
        <v>0</v>
      </c>
      <c r="J27" s="6">
        <v>0</v>
      </c>
      <c r="K27" s="53" t="s">
        <v>364</v>
      </c>
      <c r="L27" s="6">
        <v>0</v>
      </c>
      <c r="M27" s="6">
        <v>0</v>
      </c>
      <c r="N27" s="53" t="s">
        <v>364</v>
      </c>
      <c r="O27" s="6">
        <v>0</v>
      </c>
      <c r="P27" s="6">
        <v>0</v>
      </c>
      <c r="Q27" s="53" t="s">
        <v>364</v>
      </c>
      <c r="R27" s="6">
        <v>0</v>
      </c>
      <c r="S27" s="6">
        <v>125</v>
      </c>
      <c r="T27" s="6">
        <v>797.39200000000005</v>
      </c>
      <c r="U27" s="6">
        <v>99674</v>
      </c>
      <c r="V27" s="6">
        <v>0</v>
      </c>
      <c r="W27" s="6" t="s">
        <v>364</v>
      </c>
      <c r="X27" s="6">
        <v>0</v>
      </c>
      <c r="Y27" s="6" t="s">
        <v>364</v>
      </c>
      <c r="Z27" s="6" t="s">
        <v>364</v>
      </c>
      <c r="AA27" s="8" t="s">
        <v>364</v>
      </c>
      <c r="AB27" s="8" t="s">
        <v>364</v>
      </c>
      <c r="AC27" s="8" t="s">
        <v>364</v>
      </c>
      <c r="AD27" s="8" t="s">
        <v>364</v>
      </c>
      <c r="AE27" s="8" t="s">
        <v>364</v>
      </c>
      <c r="AF27" s="8" t="s">
        <v>364</v>
      </c>
      <c r="AG27">
        <v>0</v>
      </c>
    </row>
    <row r="28" spans="3:33" collapsed="1" x14ac:dyDescent="0.25">
      <c r="C28" s="52" t="s">
        <v>46</v>
      </c>
      <c r="D28" s="6">
        <v>33.347826086956523</v>
      </c>
      <c r="E28" s="53">
        <v>505.44320730117346</v>
      </c>
      <c r="F28" s="6">
        <v>16855.432173913046</v>
      </c>
      <c r="G28" s="6">
        <v>38.037037037037031</v>
      </c>
      <c r="H28" s="53">
        <v>459.94873417721516</v>
      </c>
      <c r="I28" s="6">
        <v>17495.087037037032</v>
      </c>
      <c r="J28" s="6">
        <v>45</v>
      </c>
      <c r="K28" s="53">
        <v>423.92311111111104</v>
      </c>
      <c r="L28" s="6">
        <v>19076.539999999997</v>
      </c>
      <c r="M28" s="6">
        <v>49.279944616108367</v>
      </c>
      <c r="N28" s="53">
        <v>549.81632317717481</v>
      </c>
      <c r="O28" s="6">
        <v>27094.917955203513</v>
      </c>
      <c r="P28" s="6">
        <v>2187</v>
      </c>
      <c r="Q28" s="53">
        <v>235.51283950617278</v>
      </c>
      <c r="R28" s="6">
        <v>515066.5799999999</v>
      </c>
      <c r="S28" s="6">
        <v>985</v>
      </c>
      <c r="T28" s="6">
        <v>555.89746192893404</v>
      </c>
      <c r="U28" s="6">
        <v>547559</v>
      </c>
      <c r="V28" s="6">
        <v>-4.2799446161083665</v>
      </c>
      <c r="W28" s="6">
        <v>-125.89321206606377</v>
      </c>
      <c r="X28" s="6">
        <v>-8018.3779552035157</v>
      </c>
      <c r="Y28" s="6">
        <v>-5665.1945429728694</v>
      </c>
      <c r="Z28" s="6">
        <v>-2353.1834122306468</v>
      </c>
      <c r="AA28" s="8">
        <v>0.91315037690384582</v>
      </c>
      <c r="AB28" s="8">
        <v>0.70406339784972094</v>
      </c>
      <c r="AC28" s="8">
        <v>0.34941329856584086</v>
      </c>
      <c r="AD28" s="8">
        <v>0.13177400633633904</v>
      </c>
      <c r="AE28" s="8">
        <v>0.18305744888023387</v>
      </c>
      <c r="AF28" s="8">
        <v>9.0394118052401523E-2</v>
      </c>
      <c r="AG28">
        <v>0</v>
      </c>
    </row>
    <row r="29" spans="3:33" collapsed="1" x14ac:dyDescent="0.25">
      <c r="C29" s="52" t="s">
        <v>47</v>
      </c>
      <c r="D29" s="6">
        <v>12.434782608695652</v>
      </c>
      <c r="E29" s="53">
        <v>299.75489510489518</v>
      </c>
      <c r="F29" s="6">
        <v>3727.3869565217401</v>
      </c>
      <c r="G29" s="6">
        <v>10.666666666666666</v>
      </c>
      <c r="H29" s="53">
        <v>254.35552083333314</v>
      </c>
      <c r="I29" s="6">
        <v>2713.1255555555535</v>
      </c>
      <c r="J29" s="6">
        <v>15</v>
      </c>
      <c r="K29" s="53">
        <v>242.77266666666668</v>
      </c>
      <c r="L29" s="6">
        <v>3641.59</v>
      </c>
      <c r="M29" s="6">
        <v>10.62962962962963</v>
      </c>
      <c r="N29" s="53">
        <v>316.30893632171598</v>
      </c>
      <c r="O29" s="6">
        <v>3362.2468416419438</v>
      </c>
      <c r="P29" s="6">
        <v>729</v>
      </c>
      <c r="Q29" s="53">
        <v>134.87370370370371</v>
      </c>
      <c r="R29" s="6">
        <v>98322.930000000008</v>
      </c>
      <c r="S29" s="6">
        <v>411</v>
      </c>
      <c r="T29" s="6">
        <v>495.11192214111924</v>
      </c>
      <c r="U29" s="6">
        <v>203491</v>
      </c>
      <c r="V29" s="6">
        <v>4.3703703703703702</v>
      </c>
      <c r="W29" s="6">
        <v>-73.536269655049296</v>
      </c>
      <c r="X29" s="6">
        <v>279.34315835805637</v>
      </c>
      <c r="Y29" s="6">
        <v>-1103.0440448257395</v>
      </c>
      <c r="Z29" s="6">
        <v>1382.3872031837957</v>
      </c>
      <c r="AA29" s="8">
        <v>1.4111498257839721</v>
      </c>
      <c r="AB29" s="8">
        <v>1.0830822873854318</v>
      </c>
      <c r="AC29" s="8">
        <v>0.20629370629370627</v>
      </c>
      <c r="AD29" s="8">
        <v>-2.3017990222781299E-2</v>
      </c>
      <c r="AE29" s="8">
        <v>0.40625000000000006</v>
      </c>
      <c r="AF29" s="8">
        <v>0.34221211861842105</v>
      </c>
      <c r="AG29">
        <v>0</v>
      </c>
    </row>
    <row r="30" spans="3:33" collapsed="1" x14ac:dyDescent="0.25">
      <c r="C30" s="52" t="s">
        <v>48</v>
      </c>
      <c r="D30" s="6">
        <v>28.304347826086957</v>
      </c>
      <c r="E30" s="53">
        <v>731.5154377880184</v>
      </c>
      <c r="F30" s="6">
        <v>20705.067391304347</v>
      </c>
      <c r="G30" s="6">
        <v>31.666666666666664</v>
      </c>
      <c r="H30" s="53">
        <v>747.62602339181285</v>
      </c>
      <c r="I30" s="6">
        <v>23674.824074074073</v>
      </c>
      <c r="J30" s="6">
        <v>50</v>
      </c>
      <c r="K30" s="53">
        <v>868.83979999999985</v>
      </c>
      <c r="L30" s="6">
        <v>43441.989999999991</v>
      </c>
      <c r="M30" s="6">
        <v>37.422237450054794</v>
      </c>
      <c r="N30" s="53">
        <v>792.85245125759639</v>
      </c>
      <c r="O30" s="6">
        <v>29670.312693819767</v>
      </c>
      <c r="P30" s="6">
        <v>2430</v>
      </c>
      <c r="Q30" s="53">
        <v>482.68877777777766</v>
      </c>
      <c r="R30" s="6">
        <v>1172933.7299999997</v>
      </c>
      <c r="S30" s="6">
        <v>1017</v>
      </c>
      <c r="T30" s="6">
        <v>728.9105211406096</v>
      </c>
      <c r="U30" s="6">
        <v>741302</v>
      </c>
      <c r="V30" s="6">
        <v>12.577762549945206</v>
      </c>
      <c r="W30" s="6">
        <v>75.987348742403469</v>
      </c>
      <c r="X30" s="6">
        <v>13771.677306180223</v>
      </c>
      <c r="Y30" s="6">
        <v>3799.3674371201732</v>
      </c>
      <c r="Z30" s="6">
        <v>9972.3098690600527</v>
      </c>
      <c r="AA30" s="8">
        <v>1.3361039693773518</v>
      </c>
      <c r="AB30" s="8">
        <v>1.4641567970076979</v>
      </c>
      <c r="AC30" s="8">
        <v>0.76651305683563742</v>
      </c>
      <c r="AD30" s="8">
        <v>1.0981332337147875</v>
      </c>
      <c r="AE30" s="8">
        <v>0.57894736842105277</v>
      </c>
      <c r="AF30" s="8">
        <v>0.83494457505061803</v>
      </c>
      <c r="AG30">
        <v>0</v>
      </c>
    </row>
    <row r="31" spans="3:33" collapsed="1" x14ac:dyDescent="0.25">
      <c r="C31" s="52" t="s">
        <v>49</v>
      </c>
      <c r="D31" s="6">
        <v>113.91304347826086</v>
      </c>
      <c r="E31" s="53">
        <v>673.97685877862591</v>
      </c>
      <c r="F31" s="6">
        <v>76774.755217391299</v>
      </c>
      <c r="G31" s="6">
        <v>156.59259259259261</v>
      </c>
      <c r="H31" s="53">
        <v>600.10340113528866</v>
      </c>
      <c r="I31" s="6">
        <v>93971.747407407427</v>
      </c>
      <c r="J31" s="6">
        <v>124</v>
      </c>
      <c r="K31" s="53">
        <v>628.58798387096783</v>
      </c>
      <c r="L31" s="6">
        <v>77944.910000000018</v>
      </c>
      <c r="M31" s="6">
        <v>0</v>
      </c>
      <c r="N31" s="53" t="s">
        <v>364</v>
      </c>
      <c r="O31" s="6">
        <v>0</v>
      </c>
      <c r="P31" s="6">
        <v>6026.4</v>
      </c>
      <c r="Q31" s="53">
        <v>349.21554659498213</v>
      </c>
      <c r="R31" s="6">
        <v>2104512.5700000003</v>
      </c>
      <c r="S31" s="6">
        <v>0</v>
      </c>
      <c r="T31" s="6" t="s">
        <v>364</v>
      </c>
      <c r="U31" s="6">
        <v>0</v>
      </c>
      <c r="V31" s="6">
        <v>124</v>
      </c>
      <c r="W31" s="6" t="s">
        <v>364</v>
      </c>
      <c r="X31" s="6">
        <v>77944.910000000018</v>
      </c>
      <c r="Y31" s="6" t="s">
        <v>364</v>
      </c>
      <c r="Z31" s="6" t="s">
        <v>364</v>
      </c>
      <c r="AA31" s="8" t="s">
        <v>364</v>
      </c>
      <c r="AB31" s="8" t="s">
        <v>364</v>
      </c>
      <c r="AC31" s="8">
        <v>8.8549618320610771E-2</v>
      </c>
      <c r="AD31" s="8">
        <v>1.524140037041305E-2</v>
      </c>
      <c r="AE31" s="8">
        <v>-0.20813623462630093</v>
      </c>
      <c r="AF31" s="8">
        <v>-0.17054953057246305</v>
      </c>
      <c r="AG31">
        <v>0</v>
      </c>
    </row>
    <row r="32" spans="3:33" collapsed="1" x14ac:dyDescent="0.25">
      <c r="C32" s="52" t="s">
        <v>50</v>
      </c>
      <c r="D32" s="6">
        <v>23.956521739130434</v>
      </c>
      <c r="E32" s="53">
        <v>509.40597096188719</v>
      </c>
      <c r="F32" s="6">
        <v>12203.595217391297</v>
      </c>
      <c r="G32" s="6">
        <v>31.037037037037038</v>
      </c>
      <c r="H32" s="53">
        <v>478.94126491646773</v>
      </c>
      <c r="I32" s="6">
        <v>14864.917777777777</v>
      </c>
      <c r="J32" s="6">
        <v>39</v>
      </c>
      <c r="K32" s="53">
        <v>405.11999999999995</v>
      </c>
      <c r="L32" s="6">
        <v>15799.679999999998</v>
      </c>
      <c r="M32" s="6">
        <v>36.549225603228052</v>
      </c>
      <c r="N32" s="53">
        <v>520.66465058612266</v>
      </c>
      <c r="O32" s="6">
        <v>19029.889777898101</v>
      </c>
      <c r="P32" s="6">
        <v>1895.4</v>
      </c>
      <c r="Q32" s="53">
        <v>225.06666666666663</v>
      </c>
      <c r="R32" s="6">
        <v>426591.36</v>
      </c>
      <c r="S32" s="6">
        <v>677</v>
      </c>
      <c r="T32" s="6">
        <v>568.97784342688328</v>
      </c>
      <c r="U32" s="6">
        <v>385198</v>
      </c>
      <c r="V32" s="6">
        <v>2.4507743967719477</v>
      </c>
      <c r="W32" s="6">
        <v>-115.54465058612271</v>
      </c>
      <c r="X32" s="6">
        <v>-3230.2097778981024</v>
      </c>
      <c r="Y32" s="6">
        <v>-4506.2413728587862</v>
      </c>
      <c r="Z32" s="6">
        <v>1276.0315949606818</v>
      </c>
      <c r="AA32" s="8">
        <v>1.0670540717709622</v>
      </c>
      <c r="AB32" s="8">
        <v>0.83025599120128546</v>
      </c>
      <c r="AC32" s="8">
        <v>0.62794918330308536</v>
      </c>
      <c r="AD32" s="8">
        <v>0.29467421022650231</v>
      </c>
      <c r="AE32" s="8">
        <v>0.25656324582338896</v>
      </c>
      <c r="AF32" s="8">
        <v>6.2883780199554082E-2</v>
      </c>
      <c r="AG32">
        <v>0</v>
      </c>
    </row>
    <row r="33" spans="1:33" collapsed="1" x14ac:dyDescent="0.25">
      <c r="C33" s="52" t="s">
        <v>51</v>
      </c>
      <c r="D33" s="6">
        <v>10.956521739130434</v>
      </c>
      <c r="E33" s="53">
        <v>351.389761904762</v>
      </c>
      <c r="F33" s="6">
        <v>3850.0095652173918</v>
      </c>
      <c r="G33" s="6">
        <v>10.037037037037036</v>
      </c>
      <c r="H33" s="53">
        <v>401.81313653136533</v>
      </c>
      <c r="I33" s="6">
        <v>4033.0133333333333</v>
      </c>
      <c r="J33" s="6">
        <v>6</v>
      </c>
      <c r="K33" s="53">
        <v>302.96666666666664</v>
      </c>
      <c r="L33" s="6">
        <v>1817.8</v>
      </c>
      <c r="M33" s="6">
        <v>8.4972222222222218</v>
      </c>
      <c r="N33" s="53">
        <v>411.98977477477484</v>
      </c>
      <c r="O33" s="6">
        <v>3500.768669544545</v>
      </c>
      <c r="P33" s="6">
        <v>291.59999999999997</v>
      </c>
      <c r="Q33" s="53">
        <v>168.31481481481484</v>
      </c>
      <c r="R33" s="6">
        <v>49080.6</v>
      </c>
      <c r="S33" s="6">
        <v>244</v>
      </c>
      <c r="T33" s="6">
        <v>499.18032786885249</v>
      </c>
      <c r="U33" s="6">
        <v>121800</v>
      </c>
      <c r="V33" s="6">
        <v>-2.4972222222222218</v>
      </c>
      <c r="W33" s="6">
        <v>-109.0231081081082</v>
      </c>
      <c r="X33" s="6">
        <v>-1682.968669544545</v>
      </c>
      <c r="Y33" s="6">
        <v>-654.13864864864922</v>
      </c>
      <c r="Z33" s="6">
        <v>-1028.8300208958958</v>
      </c>
      <c r="AA33" s="8">
        <v>0.70611310885910428</v>
      </c>
      <c r="AB33" s="8">
        <v>0.51925738933115462</v>
      </c>
      <c r="AC33" s="8">
        <v>-0.45238095238095233</v>
      </c>
      <c r="AD33" s="8">
        <v>-0.52784532889923941</v>
      </c>
      <c r="AE33" s="8">
        <v>-0.40221402214022134</v>
      </c>
      <c r="AF33" s="8">
        <v>-0.5492700247292347</v>
      </c>
      <c r="AG33">
        <v>0</v>
      </c>
    </row>
    <row r="34" spans="1:33" collapsed="1" x14ac:dyDescent="0.25">
      <c r="C34" s="52" t="s">
        <v>52</v>
      </c>
      <c r="D34" s="6">
        <v>13.739130434782608</v>
      </c>
      <c r="E34" s="53">
        <v>1103.6398734177233</v>
      </c>
      <c r="F34" s="6">
        <v>15163.052173913067</v>
      </c>
      <c r="G34" s="6">
        <v>13.074074074074073</v>
      </c>
      <c r="H34" s="53">
        <v>873.32286118980198</v>
      </c>
      <c r="I34" s="6">
        <v>11417.88777777778</v>
      </c>
      <c r="J34" s="6">
        <v>19</v>
      </c>
      <c r="K34" s="53">
        <v>1264.0857894736844</v>
      </c>
      <c r="L34" s="6">
        <v>24017.630000000005</v>
      </c>
      <c r="M34" s="6">
        <v>11.925925925925926</v>
      </c>
      <c r="N34" s="53">
        <v>931.93886274509794</v>
      </c>
      <c r="O34" s="6">
        <v>11114.233844589686</v>
      </c>
      <c r="P34" s="6">
        <v>923.39999999999986</v>
      </c>
      <c r="Q34" s="53">
        <v>702.26988304093595</v>
      </c>
      <c r="R34" s="6">
        <v>648476.01000000013</v>
      </c>
      <c r="S34" s="6">
        <v>376</v>
      </c>
      <c r="T34" s="6">
        <v>867.99468085106378</v>
      </c>
      <c r="U34" s="6">
        <v>326366</v>
      </c>
      <c r="V34" s="6">
        <v>7.0740740740740744</v>
      </c>
      <c r="W34" s="6">
        <v>332.14692672858644</v>
      </c>
      <c r="X34" s="6">
        <v>12903.396155410319</v>
      </c>
      <c r="Y34" s="6">
        <v>6310.7916078431426</v>
      </c>
      <c r="Z34" s="6">
        <v>6592.6045475671744</v>
      </c>
      <c r="AA34" s="8">
        <v>1.5931677018633541</v>
      </c>
      <c r="AB34" s="8">
        <v>2.1609793653650344</v>
      </c>
      <c r="AC34" s="8">
        <v>0.38291139240506339</v>
      </c>
      <c r="AD34" s="8">
        <v>0.58395748590251484</v>
      </c>
      <c r="AE34" s="8">
        <v>0.45325779036827213</v>
      </c>
      <c r="AF34" s="8">
        <v>1.1035090261391993</v>
      </c>
      <c r="AG34">
        <v>0</v>
      </c>
    </row>
    <row r="35" spans="1:33" collapsed="1" x14ac:dyDescent="0.25">
      <c r="C35" s="52" t="s">
        <v>53</v>
      </c>
      <c r="D35" s="6">
        <v>4.2608695652173916</v>
      </c>
      <c r="E35" s="53">
        <v>621.38826530612232</v>
      </c>
      <c r="F35" s="6">
        <v>2647.6543478260865</v>
      </c>
      <c r="G35" s="6">
        <v>3.5925925925925926</v>
      </c>
      <c r="H35" s="53">
        <v>653.2324742268039</v>
      </c>
      <c r="I35" s="6">
        <v>2346.7981481481474</v>
      </c>
      <c r="J35" s="6">
        <v>2</v>
      </c>
      <c r="K35" s="53">
        <v>291.07499999999999</v>
      </c>
      <c r="L35" s="6">
        <v>582.15</v>
      </c>
      <c r="M35" s="6">
        <v>3.9259259259259256</v>
      </c>
      <c r="N35" s="53">
        <v>761.92797872340429</v>
      </c>
      <c r="O35" s="6">
        <v>2991.2728053585502</v>
      </c>
      <c r="P35" s="6">
        <v>97.199999999999989</v>
      </c>
      <c r="Q35" s="53">
        <v>161.70833333333334</v>
      </c>
      <c r="R35" s="6">
        <v>15718.05</v>
      </c>
      <c r="S35" s="6">
        <v>107</v>
      </c>
      <c r="T35" s="6">
        <v>610.62616822429902</v>
      </c>
      <c r="U35" s="6">
        <v>65337</v>
      </c>
      <c r="V35" s="6">
        <v>-1.9259259259259256</v>
      </c>
      <c r="W35" s="6">
        <v>-470.85297872340431</v>
      </c>
      <c r="X35" s="6">
        <v>-2409.1228053585501</v>
      </c>
      <c r="Y35" s="6">
        <v>-941.70595744680861</v>
      </c>
      <c r="Z35" s="6">
        <v>-1467.4168479117413</v>
      </c>
      <c r="AA35" s="8">
        <v>0.50943396226415094</v>
      </c>
      <c r="AB35" s="8">
        <v>0.19461615101007823</v>
      </c>
      <c r="AC35" s="8">
        <v>-0.53061224489795922</v>
      </c>
      <c r="AD35" s="8">
        <v>-0.78012613297578404</v>
      </c>
      <c r="AE35" s="8">
        <v>-0.44329896907216493</v>
      </c>
      <c r="AF35" s="8">
        <v>-0.75193861455047883</v>
      </c>
      <c r="AG35">
        <v>0</v>
      </c>
    </row>
    <row r="36" spans="1:33" x14ac:dyDescent="0.25">
      <c r="C36"/>
      <c r="D36"/>
      <c r="E36"/>
      <c r="F36"/>
      <c r="G36"/>
      <c r="H36"/>
      <c r="I36"/>
      <c r="J36"/>
      <c r="K36"/>
      <c r="L36"/>
      <c r="M36"/>
      <c r="N36"/>
      <c r="O36"/>
      <c r="P36"/>
      <c r="Q36"/>
      <c r="R36"/>
      <c r="S36"/>
      <c r="T36"/>
      <c r="U36"/>
      <c r="V36"/>
      <c r="W36"/>
      <c r="X36"/>
      <c r="Y36"/>
      <c r="Z36"/>
      <c r="AA36"/>
      <c r="AB36"/>
    </row>
    <row r="37" spans="1:33" x14ac:dyDescent="0.25">
      <c r="C37"/>
      <c r="D37"/>
      <c r="E37"/>
      <c r="F37"/>
      <c r="G37"/>
      <c r="H37"/>
      <c r="I37"/>
      <c r="J37"/>
      <c r="K37"/>
      <c r="L37"/>
      <c r="M37"/>
      <c r="N37"/>
      <c r="O37"/>
      <c r="P37"/>
      <c r="Q37"/>
      <c r="R37"/>
      <c r="S37"/>
      <c r="T37"/>
      <c r="U37"/>
      <c r="V37"/>
      <c r="W37"/>
      <c r="X37"/>
      <c r="Y37"/>
      <c r="Z37"/>
      <c r="AA37"/>
      <c r="AB37"/>
    </row>
    <row r="38" spans="1:33" x14ac:dyDescent="0.25">
      <c r="A38" s="71"/>
      <c r="B38" s="71"/>
      <c r="C38" s="72">
        <v>0.55555555555555558</v>
      </c>
      <c r="D38" s="136" t="s">
        <v>30</v>
      </c>
      <c r="E38" s="137"/>
      <c r="F38" s="138"/>
      <c r="G38" s="136" t="s">
        <v>31</v>
      </c>
      <c r="H38" s="137"/>
      <c r="I38" s="138"/>
      <c r="J38" s="119" t="s">
        <v>27</v>
      </c>
      <c r="K38" s="120"/>
      <c r="L38" s="120"/>
      <c r="M38" s="119" t="s">
        <v>28</v>
      </c>
      <c r="N38" s="120"/>
      <c r="O38" s="120"/>
      <c r="P38" s="136" t="s">
        <v>3</v>
      </c>
      <c r="Q38" s="137"/>
      <c r="R38" s="137"/>
      <c r="S38" s="137"/>
      <c r="T38" s="137"/>
      <c r="AA38" s="61"/>
      <c r="AB38" s="61"/>
    </row>
    <row r="39" spans="1:33" x14ac:dyDescent="0.25">
      <c r="A39" s="71"/>
      <c r="B39" s="71"/>
      <c r="C39" s="71"/>
      <c r="D39" s="124" t="s">
        <v>20</v>
      </c>
      <c r="E39" s="125"/>
      <c r="F39" s="126"/>
      <c r="G39" s="124" t="s">
        <v>360</v>
      </c>
      <c r="H39" s="125"/>
      <c r="I39" s="126"/>
      <c r="J39" s="124" t="s">
        <v>17</v>
      </c>
      <c r="K39" s="125"/>
      <c r="L39" s="125"/>
      <c r="M39" s="124" t="s">
        <v>17</v>
      </c>
      <c r="N39" s="125"/>
      <c r="O39" s="125"/>
      <c r="P39" s="142" t="s">
        <v>17</v>
      </c>
      <c r="Q39" s="143"/>
      <c r="R39" s="143"/>
      <c r="S39" s="143"/>
      <c r="T39" s="143"/>
      <c r="U39" s="98" t="s">
        <v>6</v>
      </c>
      <c r="V39" s="139" t="s">
        <v>7</v>
      </c>
      <c r="W39" s="140"/>
      <c r="X39" s="139" t="s">
        <v>8</v>
      </c>
      <c r="Y39" s="140"/>
      <c r="AB39"/>
      <c r="AD39" s="62"/>
    </row>
    <row r="40" spans="1:33" x14ac:dyDescent="0.25">
      <c r="A40" s="18" t="s">
        <v>4</v>
      </c>
      <c r="B40" s="19" t="s">
        <v>33</v>
      </c>
      <c r="C40" s="19" t="s">
        <v>34</v>
      </c>
      <c r="D40" s="20" t="s">
        <v>9</v>
      </c>
      <c r="E40" s="20" t="s">
        <v>10</v>
      </c>
      <c r="F40" s="20" t="s">
        <v>11</v>
      </c>
      <c r="G40" s="20" t="s">
        <v>9</v>
      </c>
      <c r="H40" s="20" t="s">
        <v>10</v>
      </c>
      <c r="I40" s="20" t="s">
        <v>11</v>
      </c>
      <c r="J40" s="20" t="s">
        <v>9</v>
      </c>
      <c r="K40" s="20" t="s">
        <v>10</v>
      </c>
      <c r="L40" s="20" t="s">
        <v>11</v>
      </c>
      <c r="M40" s="20" t="s">
        <v>9</v>
      </c>
      <c r="N40" s="20" t="s">
        <v>10</v>
      </c>
      <c r="O40" s="20" t="s">
        <v>11</v>
      </c>
      <c r="P40" s="20" t="s">
        <v>9</v>
      </c>
      <c r="Q40" s="20" t="s">
        <v>10</v>
      </c>
      <c r="R40" s="20" t="s">
        <v>11</v>
      </c>
      <c r="S40" s="20" t="s">
        <v>14</v>
      </c>
      <c r="T40" s="20" t="s">
        <v>15</v>
      </c>
      <c r="U40" s="20" t="s">
        <v>16</v>
      </c>
      <c r="V40" s="20" t="s">
        <v>16</v>
      </c>
      <c r="W40" s="20" t="s">
        <v>11</v>
      </c>
      <c r="X40" s="20" t="s">
        <v>16</v>
      </c>
      <c r="Y40" s="20" t="s">
        <v>11</v>
      </c>
      <c r="Z40" s="62"/>
      <c r="AA40"/>
      <c r="AB40"/>
    </row>
    <row r="41" spans="1:33" collapsed="1" x14ac:dyDescent="0.25">
      <c r="A41" s="21" t="s">
        <v>22</v>
      </c>
      <c r="B41" s="21" t="s">
        <v>35</v>
      </c>
      <c r="C41" s="21" t="s">
        <v>54</v>
      </c>
      <c r="D41" s="15">
        <v>8.304347826086957</v>
      </c>
      <c r="E41" s="57">
        <v>720.05335078534006</v>
      </c>
      <c r="F41" s="15">
        <v>5979.5734782608679</v>
      </c>
      <c r="G41" s="15">
        <v>13.222222222222221</v>
      </c>
      <c r="H41" s="57">
        <v>437.49873949579825</v>
      </c>
      <c r="I41" s="15">
        <v>5784.7055555555544</v>
      </c>
      <c r="J41" s="15">
        <v>10</v>
      </c>
      <c r="K41" s="14">
        <v>528.16</v>
      </c>
      <c r="L41" s="15">
        <v>5281.5999999999995</v>
      </c>
      <c r="M41" s="15">
        <v>15.205555555555556</v>
      </c>
      <c r="N41" s="15">
        <v>696.89574660633468</v>
      </c>
      <c r="O41" s="15">
        <v>10596.686991452989</v>
      </c>
      <c r="P41" s="15">
        <v>-5.2055555555555557</v>
      </c>
      <c r="Q41" s="15">
        <v>-168.73574660633471</v>
      </c>
      <c r="R41" s="15">
        <v>-5315.0869914529894</v>
      </c>
      <c r="S41" s="15">
        <v>-1687.3574660633471</v>
      </c>
      <c r="T41" s="15">
        <v>-3627.7295253896423</v>
      </c>
      <c r="U41" s="17">
        <v>0.65765436609426375</v>
      </c>
      <c r="V41" s="17">
        <v>0.20418848167539261</v>
      </c>
      <c r="W41" s="17">
        <v>-0.11672629842218628</v>
      </c>
      <c r="X41" s="17">
        <v>-0.24369747899159661</v>
      </c>
      <c r="Y41" s="17">
        <v>-8.6971679150095904E-2</v>
      </c>
      <c r="Z41" s="73">
        <v>0</v>
      </c>
      <c r="AA41" s="73">
        <v>0</v>
      </c>
      <c r="AB41"/>
    </row>
    <row r="42" spans="1:33" collapsed="1" x14ac:dyDescent="0.25">
      <c r="A42" s="21" t="s">
        <v>22</v>
      </c>
      <c r="B42" s="21" t="s">
        <v>36</v>
      </c>
      <c r="C42" s="21" t="s">
        <v>55</v>
      </c>
      <c r="D42" s="15">
        <v>8.5217391304347831</v>
      </c>
      <c r="E42" s="57">
        <v>1021.4812244897952</v>
      </c>
      <c r="F42" s="15">
        <v>8704.7965217391247</v>
      </c>
      <c r="G42" s="15">
        <v>10.25925925925926</v>
      </c>
      <c r="H42" s="57">
        <v>765.56021660649856</v>
      </c>
      <c r="I42" s="15">
        <v>7854.0807407407447</v>
      </c>
      <c r="J42" s="15">
        <v>9</v>
      </c>
      <c r="K42" s="14">
        <v>929.45555555555563</v>
      </c>
      <c r="L42" s="15">
        <v>8365.1</v>
      </c>
      <c r="M42" s="15">
        <v>11.546840958605664</v>
      </c>
      <c r="N42" s="15">
        <v>927.48139999999989</v>
      </c>
      <c r="O42" s="15">
        <v>10709.480217864922</v>
      </c>
      <c r="P42" s="15">
        <v>-2.5468409586056637</v>
      </c>
      <c r="Q42" s="15">
        <v>1.9741555555557397</v>
      </c>
      <c r="R42" s="15">
        <v>-2344.3802178649221</v>
      </c>
      <c r="S42" s="15">
        <v>17.767400000001658</v>
      </c>
      <c r="T42" s="15">
        <v>-2362.1476178649227</v>
      </c>
      <c r="U42" s="17">
        <v>0.77943396226415096</v>
      </c>
      <c r="V42" s="17">
        <v>5.6122448979591767E-2</v>
      </c>
      <c r="W42" s="17">
        <v>-3.9024062296088763E-2</v>
      </c>
      <c r="X42" s="17">
        <v>-0.12274368231046934</v>
      </c>
      <c r="Y42" s="17">
        <v>6.5064171878001315E-2</v>
      </c>
      <c r="Z42" s="73">
        <v>0</v>
      </c>
      <c r="AA42" s="73">
        <v>0</v>
      </c>
      <c r="AB42"/>
    </row>
    <row r="43" spans="1:33" collapsed="1" x14ac:dyDescent="0.25">
      <c r="A43" s="21" t="s">
        <v>22</v>
      </c>
      <c r="B43" s="21" t="s">
        <v>36</v>
      </c>
      <c r="C43" s="21" t="s">
        <v>56</v>
      </c>
      <c r="D43" s="15">
        <v>2.9130434782608696</v>
      </c>
      <c r="E43" s="57">
        <v>1131.6701492537313</v>
      </c>
      <c r="F43" s="15">
        <v>3296.6043478260867</v>
      </c>
      <c r="G43" s="15">
        <v>2.5555555555555554</v>
      </c>
      <c r="H43" s="57">
        <v>1258.7102898550722</v>
      </c>
      <c r="I43" s="15">
        <v>3216.7040740740731</v>
      </c>
      <c r="J43" s="15">
        <v>3</v>
      </c>
      <c r="K43" s="14">
        <v>1071.5566666666668</v>
      </c>
      <c r="L43" s="15">
        <v>3214.6700000000005</v>
      </c>
      <c r="M43" s="15">
        <v>6.3997821350762534</v>
      </c>
      <c r="N43" s="15">
        <v>1107.1036170212762</v>
      </c>
      <c r="O43" s="15">
        <v>7085.2219498910663</v>
      </c>
      <c r="P43" s="15">
        <v>-3.3997821350762534</v>
      </c>
      <c r="Q43" s="15">
        <v>-35.546950354609407</v>
      </c>
      <c r="R43" s="15">
        <v>-3870.5519498910658</v>
      </c>
      <c r="S43" s="15">
        <v>-106.64085106382822</v>
      </c>
      <c r="T43" s="15">
        <v>-3763.9110988272373</v>
      </c>
      <c r="U43" s="17">
        <v>0.46876595744680849</v>
      </c>
      <c r="V43" s="17">
        <v>2.9850746268656695E-2</v>
      </c>
      <c r="W43" s="17">
        <v>-2.4854164825729542E-2</v>
      </c>
      <c r="X43" s="17">
        <v>0.17391304347826095</v>
      </c>
      <c r="Y43" s="17">
        <v>-6.3234728070473355E-4</v>
      </c>
      <c r="Z43" s="73">
        <v>0</v>
      </c>
      <c r="AA43" s="73">
        <v>0</v>
      </c>
      <c r="AB43"/>
    </row>
    <row r="44" spans="1:33" collapsed="1" x14ac:dyDescent="0.25">
      <c r="A44" s="21" t="s">
        <v>22</v>
      </c>
      <c r="B44" s="21" t="s">
        <v>37</v>
      </c>
      <c r="C44" s="21" t="s">
        <v>57</v>
      </c>
      <c r="D44" s="15">
        <v>0</v>
      </c>
      <c r="E44" s="57" t="s">
        <v>364</v>
      </c>
      <c r="F44" s="15">
        <v>0</v>
      </c>
      <c r="G44" s="15">
        <v>0.25925925925925924</v>
      </c>
      <c r="H44" s="57">
        <v>703.21714285714302</v>
      </c>
      <c r="I44" s="15">
        <v>182.31555555555559</v>
      </c>
      <c r="J44" s="15">
        <v>1</v>
      </c>
      <c r="K44" s="14">
        <v>0</v>
      </c>
      <c r="L44" s="15">
        <v>0</v>
      </c>
      <c r="M44" s="15">
        <v>1.4666666666666666</v>
      </c>
      <c r="N44" s="15">
        <v>846.31000000000006</v>
      </c>
      <c r="O44" s="15">
        <v>1241.2546666666667</v>
      </c>
      <c r="P44" s="15">
        <v>-0.46666666666666656</v>
      </c>
      <c r="Q44" s="15">
        <v>-846.31000000000006</v>
      </c>
      <c r="R44" s="15">
        <v>-1241.2546666666667</v>
      </c>
      <c r="S44" s="15">
        <v>-846.31000000000006</v>
      </c>
      <c r="T44" s="15">
        <v>-394.94466666666659</v>
      </c>
      <c r="U44" s="17">
        <v>0.68181818181818188</v>
      </c>
      <c r="V44" s="17" t="s">
        <v>364</v>
      </c>
      <c r="W44" s="17" t="s">
        <v>364</v>
      </c>
      <c r="X44" s="17">
        <v>2.8571428571428572</v>
      </c>
      <c r="Y44" s="17">
        <v>-1</v>
      </c>
      <c r="Z44" s="73">
        <v>0</v>
      </c>
      <c r="AA44" s="73">
        <v>0</v>
      </c>
      <c r="AB44"/>
    </row>
    <row r="45" spans="1:33" collapsed="1" x14ac:dyDescent="0.25">
      <c r="A45" s="21" t="s">
        <v>22</v>
      </c>
      <c r="B45" s="21" t="s">
        <v>38</v>
      </c>
      <c r="C45" s="21" t="s">
        <v>58</v>
      </c>
      <c r="D45" s="15">
        <v>8.695652173913043</v>
      </c>
      <c r="E45" s="57">
        <v>844.56379999999956</v>
      </c>
      <c r="F45" s="15">
        <v>7344.0330434782563</v>
      </c>
      <c r="G45" s="15">
        <v>6.7407407407407405</v>
      </c>
      <c r="H45" s="57">
        <v>849.83104395604403</v>
      </c>
      <c r="I45" s="15">
        <v>5728.4907407407409</v>
      </c>
      <c r="J45" s="15">
        <v>8</v>
      </c>
      <c r="K45" s="14">
        <v>897.30750000000012</v>
      </c>
      <c r="L45" s="15">
        <v>7178.4600000000009</v>
      </c>
      <c r="M45" s="15">
        <v>15.777777777777777</v>
      </c>
      <c r="N45" s="15">
        <v>855.08720472440837</v>
      </c>
      <c r="O45" s="15">
        <v>13491.375896762887</v>
      </c>
      <c r="P45" s="15">
        <v>-7.7777777777777768</v>
      </c>
      <c r="Q45" s="15">
        <v>42.220295275591752</v>
      </c>
      <c r="R45" s="15">
        <v>-6312.9158967628864</v>
      </c>
      <c r="S45" s="15">
        <v>337.76236220473402</v>
      </c>
      <c r="T45" s="15">
        <v>-6650.6782589676195</v>
      </c>
      <c r="U45" s="17">
        <v>0.50704225352112675</v>
      </c>
      <c r="V45" s="17">
        <v>-7.9999999999999946E-2</v>
      </c>
      <c r="W45" s="17">
        <v>-2.2545247617763609E-2</v>
      </c>
      <c r="X45" s="17">
        <v>0.18681318681318687</v>
      </c>
      <c r="Y45" s="17">
        <v>0.25311540593880183</v>
      </c>
      <c r="Z45" s="73">
        <v>0</v>
      </c>
      <c r="AA45" s="73">
        <v>0</v>
      </c>
      <c r="AB45"/>
    </row>
    <row r="46" spans="1:33" collapsed="1" x14ac:dyDescent="0.25">
      <c r="A46" s="21" t="s">
        <v>22</v>
      </c>
      <c r="B46" s="21" t="s">
        <v>39</v>
      </c>
      <c r="C46" s="21" t="s">
        <v>59</v>
      </c>
      <c r="D46" s="15">
        <v>20.652173913043477</v>
      </c>
      <c r="E46" s="57">
        <v>457.25964210526269</v>
      </c>
      <c r="F46" s="15">
        <v>9443.4056521739021</v>
      </c>
      <c r="G46" s="15">
        <v>16.62962962962963</v>
      </c>
      <c r="H46" s="57">
        <v>423.80365256124691</v>
      </c>
      <c r="I46" s="15">
        <v>7047.6977777777729</v>
      </c>
      <c r="J46" s="15">
        <v>8</v>
      </c>
      <c r="K46" s="14">
        <v>348.80124999999998</v>
      </c>
      <c r="L46" s="15">
        <v>2790.41</v>
      </c>
      <c r="M46" s="15">
        <v>22.57147503516174</v>
      </c>
      <c r="N46" s="15">
        <v>406.45474387527833</v>
      </c>
      <c r="O46" s="15">
        <v>9174.2831043039041</v>
      </c>
      <c r="P46" s="15">
        <v>-14.57147503516174</v>
      </c>
      <c r="Q46" s="15">
        <v>-57.653493875278343</v>
      </c>
      <c r="R46" s="15">
        <v>-6383.8731043039043</v>
      </c>
      <c r="S46" s="15">
        <v>-461.22795100222675</v>
      </c>
      <c r="T46" s="15">
        <v>-5922.6451533016771</v>
      </c>
      <c r="U46" s="17">
        <v>0.35442965014637445</v>
      </c>
      <c r="V46" s="17">
        <v>-0.61263157894736842</v>
      </c>
      <c r="W46" s="17">
        <v>-0.70451232290782317</v>
      </c>
      <c r="X46" s="17">
        <v>-0.51893095768374164</v>
      </c>
      <c r="Y46" s="17">
        <v>-0.60406786897155362</v>
      </c>
      <c r="Z46" s="73">
        <v>0</v>
      </c>
      <c r="AA46" s="73">
        <v>0</v>
      </c>
      <c r="AB46"/>
    </row>
    <row r="47" spans="1:33" collapsed="1" x14ac:dyDescent="0.25">
      <c r="A47" s="21" t="s">
        <v>22</v>
      </c>
      <c r="B47" s="21" t="s">
        <v>39</v>
      </c>
      <c r="C47" s="21" t="s">
        <v>60</v>
      </c>
      <c r="D47" s="15">
        <v>4.6086956521739131</v>
      </c>
      <c r="E47" s="57">
        <v>782.50801886792453</v>
      </c>
      <c r="F47" s="15">
        <v>3606.3413043478263</v>
      </c>
      <c r="G47" s="15">
        <v>8.481481481481481</v>
      </c>
      <c r="H47" s="57">
        <v>664.61755458515302</v>
      </c>
      <c r="I47" s="15">
        <v>5636.9414814814827</v>
      </c>
      <c r="J47" s="15">
        <v>14</v>
      </c>
      <c r="K47" s="14">
        <v>592.18571428571431</v>
      </c>
      <c r="L47" s="15">
        <v>8290.6</v>
      </c>
      <c r="M47" s="15">
        <v>13.726673112986402</v>
      </c>
      <c r="N47" s="15">
        <v>732.25726368159155</v>
      </c>
      <c r="O47" s="15">
        <v>10051.456093167097</v>
      </c>
      <c r="P47" s="15">
        <v>0.27332688701359764</v>
      </c>
      <c r="Q47" s="15">
        <v>-140.07154939587724</v>
      </c>
      <c r="R47" s="15">
        <v>-1760.8560931670963</v>
      </c>
      <c r="S47" s="15">
        <v>-1961.0016915422814</v>
      </c>
      <c r="T47" s="15">
        <v>200.14559837518456</v>
      </c>
      <c r="U47" s="17">
        <v>1.0199120999504978</v>
      </c>
      <c r="V47" s="17">
        <v>2.0377358490566038</v>
      </c>
      <c r="W47" s="17">
        <v>1.2988950019802075</v>
      </c>
      <c r="X47" s="17">
        <v>0.65065502183406121</v>
      </c>
      <c r="Y47" s="17">
        <v>0.4707621193578706</v>
      </c>
      <c r="Z47" s="73">
        <v>0</v>
      </c>
      <c r="AA47" s="73">
        <v>0</v>
      </c>
      <c r="AB47"/>
    </row>
    <row r="48" spans="1:33" collapsed="1" x14ac:dyDescent="0.25">
      <c r="A48" s="21" t="s">
        <v>22</v>
      </c>
      <c r="B48" s="21" t="s">
        <v>40</v>
      </c>
      <c r="C48" s="21" t="s">
        <v>61</v>
      </c>
      <c r="D48" s="15">
        <v>14.217391304347826</v>
      </c>
      <c r="E48" s="57">
        <v>354.16272171253843</v>
      </c>
      <c r="F48" s="15">
        <v>5035.2700000000032</v>
      </c>
      <c r="G48" s="15">
        <v>16.925925925925924</v>
      </c>
      <c r="H48" s="57">
        <v>330.22150984682736</v>
      </c>
      <c r="I48" s="15">
        <v>5589.3048148148182</v>
      </c>
      <c r="J48" s="15">
        <v>36</v>
      </c>
      <c r="K48" s="14">
        <v>232.80527777777777</v>
      </c>
      <c r="L48" s="15">
        <v>8380.99</v>
      </c>
      <c r="M48" s="15">
        <v>16.111111111111111</v>
      </c>
      <c r="N48" s="15">
        <v>332.46585585585564</v>
      </c>
      <c r="O48" s="15">
        <v>5356.3943443443404</v>
      </c>
      <c r="P48" s="15">
        <v>19.888888888888889</v>
      </c>
      <c r="Q48" s="15">
        <v>-99.660578078077862</v>
      </c>
      <c r="R48" s="15">
        <v>3024.5956556556594</v>
      </c>
      <c r="S48" s="15">
        <v>-3587.7808108108029</v>
      </c>
      <c r="T48" s="15">
        <v>6612.3764664664623</v>
      </c>
      <c r="U48" s="17">
        <v>2.2344827586206897</v>
      </c>
      <c r="V48" s="17">
        <v>1.5321100917431192</v>
      </c>
      <c r="W48" s="17">
        <v>0.66445692088011066</v>
      </c>
      <c r="X48" s="17">
        <v>1.1269146608315102</v>
      </c>
      <c r="Y48" s="17">
        <v>0.49946912499487189</v>
      </c>
      <c r="Z48" s="73">
        <v>0</v>
      </c>
      <c r="AA48" s="73">
        <v>0</v>
      </c>
      <c r="AB48"/>
    </row>
    <row r="49" spans="1:28" collapsed="1" x14ac:dyDescent="0.25">
      <c r="A49" s="21" t="s">
        <v>22</v>
      </c>
      <c r="B49" s="21" t="s">
        <v>154</v>
      </c>
      <c r="C49" s="21" t="s">
        <v>62</v>
      </c>
      <c r="D49" s="15">
        <v>5.3913043478260869</v>
      </c>
      <c r="E49" s="57">
        <v>525.42475806451614</v>
      </c>
      <c r="F49" s="15">
        <v>2832.7247826086959</v>
      </c>
      <c r="G49" s="15">
        <v>5.4074074074074074</v>
      </c>
      <c r="H49" s="57">
        <v>436.4466438356165</v>
      </c>
      <c r="I49" s="15">
        <v>2360.0448148148153</v>
      </c>
      <c r="J49" s="15">
        <v>8</v>
      </c>
      <c r="K49" s="14">
        <v>113.2975</v>
      </c>
      <c r="L49" s="15">
        <v>906.38</v>
      </c>
      <c r="M49" s="15">
        <v>7.0740740740740735</v>
      </c>
      <c r="N49" s="15">
        <v>460.79959236031681</v>
      </c>
      <c r="O49" s="15">
        <v>3259.7304496600186</v>
      </c>
      <c r="P49" s="15">
        <v>0.92592592592592649</v>
      </c>
      <c r="Q49" s="15">
        <v>-347.50209236031679</v>
      </c>
      <c r="R49" s="15">
        <v>-2353.3504496600185</v>
      </c>
      <c r="S49" s="15">
        <v>-2780.0167388825344</v>
      </c>
      <c r="T49" s="15">
        <v>426.66628922251584</v>
      </c>
      <c r="U49" s="17">
        <v>1.130890052356021</v>
      </c>
      <c r="V49" s="17">
        <v>0.4838709677419355</v>
      </c>
      <c r="W49" s="17">
        <v>-0.6800324530061469</v>
      </c>
      <c r="X49" s="17">
        <v>0.47945205479452052</v>
      </c>
      <c r="Y49" s="17">
        <v>-0.61594797085617181</v>
      </c>
      <c r="Z49" s="73">
        <v>0</v>
      </c>
      <c r="AA49" s="73">
        <v>0</v>
      </c>
      <c r="AB49"/>
    </row>
    <row r="50" spans="1:28" collapsed="1" x14ac:dyDescent="0.25">
      <c r="A50" s="21" t="s">
        <v>22</v>
      </c>
      <c r="B50" s="21" t="s">
        <v>41</v>
      </c>
      <c r="C50" s="21" t="s">
        <v>63</v>
      </c>
      <c r="D50" s="15">
        <v>5.2608695652173916</v>
      </c>
      <c r="E50" s="57">
        <v>1047.8813223140496</v>
      </c>
      <c r="F50" s="15">
        <v>5512.7669565217393</v>
      </c>
      <c r="G50" s="15">
        <v>5.8518518518518512</v>
      </c>
      <c r="H50" s="57">
        <v>833.17221518987435</v>
      </c>
      <c r="I50" s="15">
        <v>4875.6003703703755</v>
      </c>
      <c r="J50" s="15">
        <v>12</v>
      </c>
      <c r="K50" s="14">
        <v>682.81916666666666</v>
      </c>
      <c r="L50" s="15">
        <v>8193.83</v>
      </c>
      <c r="M50" s="15">
        <v>13.333333333333332</v>
      </c>
      <c r="N50" s="15">
        <v>838.30505785123989</v>
      </c>
      <c r="O50" s="15">
        <v>11177.400771349865</v>
      </c>
      <c r="P50" s="15">
        <v>-1.3333333333333321</v>
      </c>
      <c r="Q50" s="15">
        <v>-155.48589118457323</v>
      </c>
      <c r="R50" s="15">
        <v>-2983.570771349865</v>
      </c>
      <c r="S50" s="15">
        <v>-1865.8306942148788</v>
      </c>
      <c r="T50" s="15">
        <v>-1117.7400771349855</v>
      </c>
      <c r="U50" s="17">
        <v>0.90000000000000013</v>
      </c>
      <c r="V50" s="17">
        <v>1.28099173553719</v>
      </c>
      <c r="W50" s="17">
        <v>0.48633709072473974</v>
      </c>
      <c r="X50" s="17">
        <v>1.0506329113924053</v>
      </c>
      <c r="Y50" s="17">
        <v>0.6805786728942993</v>
      </c>
      <c r="Z50" s="73">
        <v>0</v>
      </c>
      <c r="AA50" s="73">
        <v>0</v>
      </c>
      <c r="AB50"/>
    </row>
    <row r="51" spans="1:28" collapsed="1" x14ac:dyDescent="0.25">
      <c r="A51" s="21" t="s">
        <v>22</v>
      </c>
      <c r="B51" s="21" t="s">
        <v>41</v>
      </c>
      <c r="C51" s="21" t="s">
        <v>64</v>
      </c>
      <c r="D51" s="15">
        <v>4.0869565217391299</v>
      </c>
      <c r="E51" s="57">
        <v>396.69680851063805</v>
      </c>
      <c r="F51" s="15">
        <v>1621.2826086956509</v>
      </c>
      <c r="G51" s="15">
        <v>4.0370370370370372</v>
      </c>
      <c r="H51" s="57">
        <v>314.61146788990828</v>
      </c>
      <c r="I51" s="15">
        <v>1270.0981481481483</v>
      </c>
      <c r="J51" s="15">
        <v>3</v>
      </c>
      <c r="K51" s="14">
        <v>675.69333333333327</v>
      </c>
      <c r="L51" s="15">
        <v>2027.08</v>
      </c>
      <c r="M51" s="15">
        <v>3.6296296296296293</v>
      </c>
      <c r="N51" s="15">
        <v>423.16158536585374</v>
      </c>
      <c r="O51" s="15">
        <v>1535.9198283649505</v>
      </c>
      <c r="P51" s="15">
        <v>-0.62962962962962932</v>
      </c>
      <c r="Q51" s="15">
        <v>252.53174796747953</v>
      </c>
      <c r="R51" s="15">
        <v>491.16017163504944</v>
      </c>
      <c r="S51" s="15">
        <v>757.5952439024386</v>
      </c>
      <c r="T51" s="15">
        <v>-266.43507226738927</v>
      </c>
      <c r="U51" s="17">
        <v>0.82653061224489799</v>
      </c>
      <c r="V51" s="17">
        <v>-0.26595744680851052</v>
      </c>
      <c r="W51" s="17">
        <v>0.2502940506040584</v>
      </c>
      <c r="X51" s="17">
        <v>-0.25688073394495414</v>
      </c>
      <c r="Y51" s="17">
        <v>0.59600264196555208</v>
      </c>
      <c r="Z51" s="73">
        <v>0</v>
      </c>
      <c r="AA51" s="73">
        <v>0</v>
      </c>
      <c r="AB51"/>
    </row>
    <row r="52" spans="1:28" collapsed="1" x14ac:dyDescent="0.25">
      <c r="A52" s="21" t="s">
        <v>22</v>
      </c>
      <c r="B52" s="21" t="s">
        <v>42</v>
      </c>
      <c r="C52" s="21" t="s">
        <v>65</v>
      </c>
      <c r="D52" s="15">
        <v>14.869565217391305</v>
      </c>
      <c r="E52" s="57">
        <v>797.43169590643242</v>
      </c>
      <c r="F52" s="15">
        <v>11857.462608695647</v>
      </c>
      <c r="G52" s="15">
        <v>29</v>
      </c>
      <c r="H52" s="57">
        <v>369.3665772669226</v>
      </c>
      <c r="I52" s="15">
        <v>10711.630740740755</v>
      </c>
      <c r="J52" s="15">
        <v>11</v>
      </c>
      <c r="K52" s="14">
        <v>361.85181818181826</v>
      </c>
      <c r="L52" s="15">
        <v>3980.3700000000008</v>
      </c>
      <c r="M52" s="15">
        <v>14.555097230406597</v>
      </c>
      <c r="N52" s="15">
        <v>637.94535672514667</v>
      </c>
      <c r="O52" s="15">
        <v>9285.35669482093</v>
      </c>
      <c r="P52" s="15">
        <v>-3.5550972304065969</v>
      </c>
      <c r="Q52" s="15">
        <v>-276.09353854332841</v>
      </c>
      <c r="R52" s="15">
        <v>-5304.9866948209292</v>
      </c>
      <c r="S52" s="15">
        <v>-3037.0289239766125</v>
      </c>
      <c r="T52" s="15">
        <v>-2267.9577708443176</v>
      </c>
      <c r="U52" s="17">
        <v>0.75574898785425115</v>
      </c>
      <c r="V52" s="17">
        <v>-0.26023391812865498</v>
      </c>
      <c r="W52" s="17">
        <v>-0.6643151969898683</v>
      </c>
      <c r="X52" s="17">
        <v>-0.62068965517241381</v>
      </c>
      <c r="Y52" s="17">
        <v>-0.62840672010275611</v>
      </c>
      <c r="Z52" s="73">
        <v>0</v>
      </c>
      <c r="AA52" s="73">
        <v>0</v>
      </c>
      <c r="AB52"/>
    </row>
    <row r="53" spans="1:28" collapsed="1" x14ac:dyDescent="0.25">
      <c r="A53" s="21" t="s">
        <v>22</v>
      </c>
      <c r="B53" s="21" t="s">
        <v>42</v>
      </c>
      <c r="C53" s="21" t="s">
        <v>66</v>
      </c>
      <c r="D53" s="15">
        <v>14.347826086956522</v>
      </c>
      <c r="E53" s="57">
        <v>959.9382727272731</v>
      </c>
      <c r="F53" s="15">
        <v>13773.027391304353</v>
      </c>
      <c r="G53" s="15">
        <v>12.185185185185185</v>
      </c>
      <c r="H53" s="57">
        <v>820.6878419452886</v>
      </c>
      <c r="I53" s="15">
        <v>10000.233333333332</v>
      </c>
      <c r="J53" s="15">
        <v>22</v>
      </c>
      <c r="K53" s="14">
        <v>884.56636363636346</v>
      </c>
      <c r="L53" s="15">
        <v>19460.459999999995</v>
      </c>
      <c r="M53" s="15">
        <v>14.339466160326499</v>
      </c>
      <c r="N53" s="15">
        <v>834.49408637873819</v>
      </c>
      <c r="O53" s="15">
        <v>11966.199712620495</v>
      </c>
      <c r="P53" s="15">
        <v>7.6605338396735014</v>
      </c>
      <c r="Q53" s="15">
        <v>50.072277257625274</v>
      </c>
      <c r="R53" s="15">
        <v>7494.2602873795004</v>
      </c>
      <c r="S53" s="15">
        <v>1101.590099667756</v>
      </c>
      <c r="T53" s="15">
        <v>6392.6701877117457</v>
      </c>
      <c r="U53" s="17">
        <v>1.5342272685762994</v>
      </c>
      <c r="V53" s="17">
        <v>0.53333333333333333</v>
      </c>
      <c r="W53" s="17">
        <v>0.41293990399572006</v>
      </c>
      <c r="X53" s="17">
        <v>0.80547112462006076</v>
      </c>
      <c r="Y53" s="17">
        <v>0.94600059331948905</v>
      </c>
      <c r="Z53" s="73">
        <v>0</v>
      </c>
      <c r="AA53" s="73">
        <v>0</v>
      </c>
      <c r="AB53"/>
    </row>
    <row r="54" spans="1:28" collapsed="1" x14ac:dyDescent="0.25">
      <c r="A54" s="21" t="s">
        <v>22</v>
      </c>
      <c r="B54" s="21" t="s">
        <v>42</v>
      </c>
      <c r="C54" s="21" t="s">
        <v>67</v>
      </c>
      <c r="D54" s="15">
        <v>17.391304347826086</v>
      </c>
      <c r="E54" s="57">
        <v>969.39532500000041</v>
      </c>
      <c r="F54" s="15">
        <v>16859.049130434789</v>
      </c>
      <c r="G54" s="15">
        <v>11.74074074074074</v>
      </c>
      <c r="H54" s="57">
        <v>915.63429022081982</v>
      </c>
      <c r="I54" s="15">
        <v>10750.22481481481</v>
      </c>
      <c r="J54" s="15">
        <v>15</v>
      </c>
      <c r="K54" s="14">
        <v>1329.6906666666666</v>
      </c>
      <c r="L54" s="15">
        <v>19945.36</v>
      </c>
      <c r="M54" s="15">
        <v>12.434725041285636</v>
      </c>
      <c r="N54" s="15">
        <v>831.2742045722589</v>
      </c>
      <c r="O54" s="15">
        <v>10336.666167769466</v>
      </c>
      <c r="P54" s="15">
        <v>2.5652749587143635</v>
      </c>
      <c r="Q54" s="15">
        <v>498.41646209440773</v>
      </c>
      <c r="R54" s="15">
        <v>9608.6938322305341</v>
      </c>
      <c r="S54" s="15">
        <v>7476.2469314161162</v>
      </c>
      <c r="T54" s="15">
        <v>2132.4469008144169</v>
      </c>
      <c r="U54" s="17">
        <v>1.2062992909129207</v>
      </c>
      <c r="V54" s="17">
        <v>-0.13749999999999996</v>
      </c>
      <c r="W54" s="17">
        <v>0.18306553624033581</v>
      </c>
      <c r="X54" s="17">
        <v>0.27760252365930604</v>
      </c>
      <c r="Y54" s="17">
        <v>0.85534352477107634</v>
      </c>
      <c r="Z54" s="73">
        <v>0</v>
      </c>
      <c r="AA54" s="73">
        <v>0</v>
      </c>
      <c r="AB54"/>
    </row>
    <row r="55" spans="1:28" collapsed="1" x14ac:dyDescent="0.25">
      <c r="A55" s="21" t="s">
        <v>22</v>
      </c>
      <c r="B55" s="21" t="s">
        <v>42</v>
      </c>
      <c r="C55" s="21" t="s">
        <v>68</v>
      </c>
      <c r="D55" s="15">
        <v>5.5652173913043477</v>
      </c>
      <c r="E55" s="57">
        <v>784.31867187499961</v>
      </c>
      <c r="F55" s="15">
        <v>4364.9039130434758</v>
      </c>
      <c r="G55" s="15">
        <v>7.6296296296296289</v>
      </c>
      <c r="H55" s="57">
        <v>728.94461165048574</v>
      </c>
      <c r="I55" s="15">
        <v>5561.5774074074088</v>
      </c>
      <c r="J55" s="15">
        <v>6</v>
      </c>
      <c r="K55" s="14">
        <v>1071.1066666666668</v>
      </c>
      <c r="L55" s="15">
        <v>6426.64</v>
      </c>
      <c r="M55" s="15">
        <v>9.3080745251242192</v>
      </c>
      <c r="N55" s="15">
        <v>732.93751515151553</v>
      </c>
      <c r="O55" s="15">
        <v>6822.2370132896676</v>
      </c>
      <c r="P55" s="15">
        <v>-3.3080745251242192</v>
      </c>
      <c r="Q55" s="15">
        <v>338.16915151515127</v>
      </c>
      <c r="R55" s="15">
        <v>-395.5970132896673</v>
      </c>
      <c r="S55" s="15">
        <v>2029.0149090909076</v>
      </c>
      <c r="T55" s="15">
        <v>-2424.6119223805749</v>
      </c>
      <c r="U55" s="17">
        <v>0.64460162881215521</v>
      </c>
      <c r="V55" s="17">
        <v>7.8125000000000028E-2</v>
      </c>
      <c r="W55" s="17">
        <v>0.47234398008064216</v>
      </c>
      <c r="X55" s="17">
        <v>-0.21359223300970867</v>
      </c>
      <c r="Y55" s="17">
        <v>0.15554266878321668</v>
      </c>
      <c r="Z55" s="73">
        <v>0</v>
      </c>
      <c r="AA55" s="73">
        <v>0</v>
      </c>
      <c r="AB55"/>
    </row>
    <row r="56" spans="1:28" collapsed="1" x14ac:dyDescent="0.25">
      <c r="A56" s="21" t="s">
        <v>22</v>
      </c>
      <c r="B56" s="21" t="s">
        <v>42</v>
      </c>
      <c r="C56" s="21" t="s">
        <v>69</v>
      </c>
      <c r="D56" s="15">
        <v>3.652173913043478</v>
      </c>
      <c r="E56" s="57">
        <v>864.44869047619034</v>
      </c>
      <c r="F56" s="15">
        <v>3157.1169565217383</v>
      </c>
      <c r="G56" s="15">
        <v>11.518518518518517</v>
      </c>
      <c r="H56" s="57">
        <v>602.0223151125399</v>
      </c>
      <c r="I56" s="15">
        <v>6934.4051851851809</v>
      </c>
      <c r="J56" s="15">
        <v>13</v>
      </c>
      <c r="K56" s="14">
        <v>464.58384615384614</v>
      </c>
      <c r="L56" s="15">
        <v>6039.59</v>
      </c>
      <c r="M56" s="15">
        <v>10.350291363844692</v>
      </c>
      <c r="N56" s="15">
        <v>770.97279720279766</v>
      </c>
      <c r="O56" s="15">
        <v>7979.7930846473009</v>
      </c>
      <c r="P56" s="15">
        <v>2.6497086361553084</v>
      </c>
      <c r="Q56" s="15">
        <v>-306.38895104895153</v>
      </c>
      <c r="R56" s="15">
        <v>-1940.2030846473008</v>
      </c>
      <c r="S56" s="15">
        <v>-3983.05636363637</v>
      </c>
      <c r="T56" s="15">
        <v>2042.8532789890683</v>
      </c>
      <c r="U56" s="17">
        <v>1.2560032894736843</v>
      </c>
      <c r="V56" s="17">
        <v>2.5595238095238098</v>
      </c>
      <c r="W56" s="17">
        <v>0.91300800165919183</v>
      </c>
      <c r="X56" s="17">
        <v>0.12861736334405158</v>
      </c>
      <c r="Y56" s="17">
        <v>-0.12903993367691927</v>
      </c>
      <c r="Z56" s="73">
        <v>0</v>
      </c>
      <c r="AA56" s="73">
        <v>0</v>
      </c>
      <c r="AB56"/>
    </row>
    <row r="57" spans="1:28" collapsed="1" x14ac:dyDescent="0.25">
      <c r="A57" s="21" t="s">
        <v>22</v>
      </c>
      <c r="B57" s="21" t="s">
        <v>43</v>
      </c>
      <c r="C57" s="21" t="s">
        <v>70</v>
      </c>
      <c r="D57" s="15">
        <v>0</v>
      </c>
      <c r="E57" s="57" t="s">
        <v>364</v>
      </c>
      <c r="F57" s="15">
        <v>0</v>
      </c>
      <c r="G57" s="15">
        <v>0</v>
      </c>
      <c r="H57" s="57" t="s">
        <v>364</v>
      </c>
      <c r="I57" s="15">
        <v>0</v>
      </c>
      <c r="J57" s="15">
        <v>4</v>
      </c>
      <c r="K57" s="14">
        <v>752.755</v>
      </c>
      <c r="L57" s="15">
        <v>3011.02</v>
      </c>
      <c r="M57" s="15">
        <v>3.2592592592592591</v>
      </c>
      <c r="N57" s="15">
        <v>763.09124999999995</v>
      </c>
      <c r="O57" s="15">
        <v>2487.112222222222</v>
      </c>
      <c r="P57" s="15">
        <v>0.74074074074074092</v>
      </c>
      <c r="Q57" s="15">
        <v>-10.33624999999995</v>
      </c>
      <c r="R57" s="15">
        <v>523.90777777777794</v>
      </c>
      <c r="S57" s="15">
        <v>-41.3449999999998</v>
      </c>
      <c r="T57" s="15">
        <v>565.25277777777785</v>
      </c>
      <c r="U57" s="17">
        <v>1.2272727272727273</v>
      </c>
      <c r="V57" s="17" t="s">
        <v>364</v>
      </c>
      <c r="W57" s="17" t="s">
        <v>364</v>
      </c>
      <c r="X57" s="17" t="s">
        <v>364</v>
      </c>
      <c r="Y57" s="17" t="s">
        <v>364</v>
      </c>
      <c r="Z57" s="73">
        <v>0</v>
      </c>
      <c r="AA57" s="73">
        <v>0</v>
      </c>
      <c r="AB57"/>
    </row>
    <row r="58" spans="1:28" collapsed="1" x14ac:dyDescent="0.25">
      <c r="A58" s="21" t="s">
        <v>22</v>
      </c>
      <c r="B58" s="21" t="s">
        <v>44</v>
      </c>
      <c r="C58" s="21" t="s">
        <v>71</v>
      </c>
      <c r="D58" s="15">
        <v>23.913043478260867</v>
      </c>
      <c r="E58" s="57">
        <v>797.76041818181864</v>
      </c>
      <c r="F58" s="15">
        <v>19076.879565217401</v>
      </c>
      <c r="G58" s="15">
        <v>23.62962962962963</v>
      </c>
      <c r="H58" s="57">
        <v>839.19692789968781</v>
      </c>
      <c r="I58" s="15">
        <v>19829.912592592624</v>
      </c>
      <c r="J58" s="15">
        <v>27</v>
      </c>
      <c r="K58" s="14">
        <v>891.90000000000009</v>
      </c>
      <c r="L58" s="15">
        <v>24081.300000000003</v>
      </c>
      <c r="M58" s="15">
        <v>25.555555555555554</v>
      </c>
      <c r="N58" s="15">
        <v>803.53062068965596</v>
      </c>
      <c r="O58" s="15">
        <v>20534.67141762454</v>
      </c>
      <c r="P58" s="15">
        <v>1.4444444444444464</v>
      </c>
      <c r="Q58" s="15">
        <v>88.369379310344129</v>
      </c>
      <c r="R58" s="15">
        <v>3546.6285823754624</v>
      </c>
      <c r="S58" s="15">
        <v>2385.9732413792917</v>
      </c>
      <c r="T58" s="15">
        <v>1160.6553409961714</v>
      </c>
      <c r="U58" s="17">
        <v>1.0565217391304349</v>
      </c>
      <c r="V58" s="17">
        <v>0.1290909090909092</v>
      </c>
      <c r="W58" s="17">
        <v>0.26232908886771444</v>
      </c>
      <c r="X58" s="17">
        <v>0.14263322884012539</v>
      </c>
      <c r="Y58" s="17">
        <v>0.21439264482665779</v>
      </c>
      <c r="Z58" s="73">
        <v>0</v>
      </c>
      <c r="AA58" s="73">
        <v>0</v>
      </c>
      <c r="AB58"/>
    </row>
    <row r="59" spans="1:28" collapsed="1" x14ac:dyDescent="0.25">
      <c r="A59" s="21" t="s">
        <v>22</v>
      </c>
      <c r="B59" s="21" t="s">
        <v>46</v>
      </c>
      <c r="C59" s="21" t="s">
        <v>72</v>
      </c>
      <c r="D59" s="15">
        <v>13.347826086956522</v>
      </c>
      <c r="E59" s="57">
        <v>440.37739413680799</v>
      </c>
      <c r="F59" s="15">
        <v>5878.0808695652195</v>
      </c>
      <c r="G59" s="15">
        <v>14.962962962962962</v>
      </c>
      <c r="H59" s="57">
        <v>352.35324257425742</v>
      </c>
      <c r="I59" s="15">
        <v>5272.2485185185178</v>
      </c>
      <c r="J59" s="15">
        <v>28</v>
      </c>
      <c r="K59" s="14">
        <v>391.28535714285709</v>
      </c>
      <c r="L59" s="15">
        <v>10955.989999999998</v>
      </c>
      <c r="M59" s="15">
        <v>17.307072835473232</v>
      </c>
      <c r="N59" s="15">
        <v>445.89611111111077</v>
      </c>
      <c r="O59" s="15">
        <v>7717.1564720542592</v>
      </c>
      <c r="P59" s="15">
        <v>10.692927164526768</v>
      </c>
      <c r="Q59" s="15">
        <v>-54.610753968253675</v>
      </c>
      <c r="R59" s="15">
        <v>3238.8335279457388</v>
      </c>
      <c r="S59" s="15">
        <v>-1529.1011111111029</v>
      </c>
      <c r="T59" s="15">
        <v>4767.9346390568426</v>
      </c>
      <c r="U59" s="17">
        <v>1.6178356829128344</v>
      </c>
      <c r="V59" s="17">
        <v>1.0977198697068404</v>
      </c>
      <c r="W59" s="17">
        <v>0.86387194104908138</v>
      </c>
      <c r="X59" s="17">
        <v>0.87128712871287139</v>
      </c>
      <c r="Y59" s="17">
        <v>1.0780488555343348</v>
      </c>
      <c r="Z59" s="73">
        <v>0</v>
      </c>
      <c r="AA59" s="73">
        <v>0</v>
      </c>
      <c r="AB59"/>
    </row>
    <row r="60" spans="1:28" collapsed="1" x14ac:dyDescent="0.25">
      <c r="A60" s="21" t="s">
        <v>22</v>
      </c>
      <c r="B60" s="21" t="s">
        <v>46</v>
      </c>
      <c r="C60" s="21" t="s">
        <v>73</v>
      </c>
      <c r="D60" s="15">
        <v>15.086956521739131</v>
      </c>
      <c r="E60" s="57">
        <v>496.78726224783856</v>
      </c>
      <c r="F60" s="15">
        <v>7495.0078260869559</v>
      </c>
      <c r="G60" s="15">
        <v>14.888888888888888</v>
      </c>
      <c r="H60" s="57">
        <v>422.86962686567153</v>
      </c>
      <c r="I60" s="15">
        <v>6296.0588888888869</v>
      </c>
      <c r="J60" s="15">
        <v>15</v>
      </c>
      <c r="K60" s="14">
        <v>295.02066666666667</v>
      </c>
      <c r="L60" s="15">
        <v>4425.3100000000004</v>
      </c>
      <c r="M60" s="15">
        <v>16.323671181375719</v>
      </c>
      <c r="N60" s="15">
        <v>455.66178082191817</v>
      </c>
      <c r="O60" s="15">
        <v>7438.0730800570846</v>
      </c>
      <c r="P60" s="15">
        <v>-1.3236711813757189</v>
      </c>
      <c r="Q60" s="15">
        <v>-160.6411141552515</v>
      </c>
      <c r="R60" s="15">
        <v>-3012.7630800570842</v>
      </c>
      <c r="S60" s="15">
        <v>-2409.6167123287723</v>
      </c>
      <c r="T60" s="15">
        <v>-603.14636772831238</v>
      </c>
      <c r="U60" s="17">
        <v>0.91891093819103975</v>
      </c>
      <c r="V60" s="17">
        <v>-5.7636887608069421E-3</v>
      </c>
      <c r="W60" s="17">
        <v>-0.40956565987865073</v>
      </c>
      <c r="X60" s="17">
        <v>7.4626865671642726E-3</v>
      </c>
      <c r="Y60" s="17">
        <v>-0.29713014473075106</v>
      </c>
      <c r="Z60" s="73">
        <v>0</v>
      </c>
      <c r="AA60" s="73">
        <v>0</v>
      </c>
      <c r="AB60"/>
    </row>
    <row r="61" spans="1:28" collapsed="1" x14ac:dyDescent="0.25">
      <c r="A61" s="21" t="s">
        <v>22</v>
      </c>
      <c r="B61" s="21" t="s">
        <v>46</v>
      </c>
      <c r="C61" s="21" t="s">
        <v>74</v>
      </c>
      <c r="D61" s="15">
        <v>2.6086956521739131</v>
      </c>
      <c r="E61" s="57">
        <v>757.23350000000016</v>
      </c>
      <c r="F61" s="15">
        <v>1975.3917391304351</v>
      </c>
      <c r="G61" s="15">
        <v>5.9259259259259256</v>
      </c>
      <c r="H61" s="57">
        <v>757.44343749999973</v>
      </c>
      <c r="I61" s="15">
        <v>4488.553703703702</v>
      </c>
      <c r="J61" s="15">
        <v>2</v>
      </c>
      <c r="K61" s="14">
        <v>1736.48</v>
      </c>
      <c r="L61" s="15">
        <v>3472.96</v>
      </c>
      <c r="M61" s="15">
        <v>12.52222222222222</v>
      </c>
      <c r="N61" s="15">
        <v>723.49709090909073</v>
      </c>
      <c r="O61" s="15">
        <v>9059.7913494949462</v>
      </c>
      <c r="P61" s="15">
        <v>-10.52222222222222</v>
      </c>
      <c r="Q61" s="15">
        <v>1012.9829090909093</v>
      </c>
      <c r="R61" s="15">
        <v>-5586.8313494949462</v>
      </c>
      <c r="S61" s="15">
        <v>2025.9658181818186</v>
      </c>
      <c r="T61" s="15">
        <v>-7612.7971676767647</v>
      </c>
      <c r="U61" s="17">
        <v>0.15971606033717836</v>
      </c>
      <c r="V61" s="17">
        <v>-0.23333333333333334</v>
      </c>
      <c r="W61" s="17">
        <v>0.75811203985736653</v>
      </c>
      <c r="X61" s="17">
        <v>-0.66249999999999998</v>
      </c>
      <c r="Y61" s="17">
        <v>-0.22626301716423514</v>
      </c>
      <c r="Z61" s="73">
        <v>0</v>
      </c>
      <c r="AA61" s="73">
        <v>0</v>
      </c>
      <c r="AB61"/>
    </row>
    <row r="62" spans="1:28" collapsed="1" x14ac:dyDescent="0.25">
      <c r="A62" s="21" t="s">
        <v>22</v>
      </c>
      <c r="B62" s="21" t="s">
        <v>46</v>
      </c>
      <c r="C62" s="21" t="s">
        <v>75</v>
      </c>
      <c r="D62" s="15">
        <v>2.3043478260869565</v>
      </c>
      <c r="E62" s="57">
        <v>653.96018867924533</v>
      </c>
      <c r="F62" s="15">
        <v>1506.9517391304348</v>
      </c>
      <c r="G62" s="15">
        <v>2.2592592592592591</v>
      </c>
      <c r="H62" s="57">
        <v>636.59180327868864</v>
      </c>
      <c r="I62" s="15">
        <v>1438.225925925926</v>
      </c>
      <c r="J62" s="15">
        <v>0</v>
      </c>
      <c r="K62" s="14" t="s">
        <v>364</v>
      </c>
      <c r="L62" s="15">
        <v>222.28000000000003</v>
      </c>
      <c r="M62" s="15">
        <v>3.1269783770371937</v>
      </c>
      <c r="N62" s="15">
        <v>920.98399999999992</v>
      </c>
      <c r="O62" s="15">
        <v>2879.8970535972226</v>
      </c>
      <c r="P62" s="15">
        <v>-3.1269783770371937</v>
      </c>
      <c r="Q62" s="15" t="s">
        <v>364</v>
      </c>
      <c r="R62" s="15">
        <v>-2657.6170535972224</v>
      </c>
      <c r="S62" s="15" t="s">
        <v>364</v>
      </c>
      <c r="T62" s="15">
        <v>-2879.8970535972226</v>
      </c>
      <c r="U62" s="17">
        <v>0</v>
      </c>
      <c r="V62" s="17">
        <v>-1</v>
      </c>
      <c r="W62" s="17">
        <v>-0.8524969352182018</v>
      </c>
      <c r="X62" s="17">
        <v>-1</v>
      </c>
      <c r="Y62" s="17">
        <v>-0.84544848205479495</v>
      </c>
      <c r="Z62" s="73">
        <v>0</v>
      </c>
      <c r="AA62" s="73">
        <v>0</v>
      </c>
      <c r="AB62"/>
    </row>
    <row r="63" spans="1:28" collapsed="1" x14ac:dyDescent="0.25">
      <c r="A63" s="21" t="s">
        <v>22</v>
      </c>
      <c r="B63" s="21" t="s">
        <v>47</v>
      </c>
      <c r="C63" s="21" t="s">
        <v>76</v>
      </c>
      <c r="D63" s="15">
        <v>11.478260869565217</v>
      </c>
      <c r="E63" s="57">
        <v>309.62428030303039</v>
      </c>
      <c r="F63" s="15">
        <v>3553.9482608695662</v>
      </c>
      <c r="G63" s="15">
        <v>9</v>
      </c>
      <c r="H63" s="57">
        <v>268.31106995884755</v>
      </c>
      <c r="I63" s="15">
        <v>2414.7996296296278</v>
      </c>
      <c r="J63" s="15">
        <v>15</v>
      </c>
      <c r="K63" s="14">
        <v>242.77266666666668</v>
      </c>
      <c r="L63" s="15">
        <v>3641.59</v>
      </c>
      <c r="M63" s="15">
        <v>7.7777777777777777</v>
      </c>
      <c r="N63" s="15">
        <v>360.25926199261966</v>
      </c>
      <c r="O63" s="15">
        <v>2802.0164821648195</v>
      </c>
      <c r="P63" s="15">
        <v>7.2222222222222223</v>
      </c>
      <c r="Q63" s="15">
        <v>-117.48659532595298</v>
      </c>
      <c r="R63" s="15">
        <v>839.57351783518061</v>
      </c>
      <c r="S63" s="15">
        <v>-1762.2989298892946</v>
      </c>
      <c r="T63" s="15">
        <v>2601.8724477244755</v>
      </c>
      <c r="U63" s="17">
        <v>1.9285714285714286</v>
      </c>
      <c r="V63" s="17">
        <v>0.30681818181818188</v>
      </c>
      <c r="W63" s="17">
        <v>2.4660386898539183E-2</v>
      </c>
      <c r="X63" s="17">
        <v>0.66666666666666663</v>
      </c>
      <c r="Y63" s="17">
        <v>0.50802988178300013</v>
      </c>
      <c r="Z63" s="73">
        <v>0</v>
      </c>
      <c r="AA63" s="73">
        <v>0</v>
      </c>
      <c r="AB63"/>
    </row>
    <row r="64" spans="1:28" collapsed="1" x14ac:dyDescent="0.25">
      <c r="A64" s="21" t="s">
        <v>22</v>
      </c>
      <c r="B64" s="21" t="s">
        <v>47</v>
      </c>
      <c r="C64" s="21" t="s">
        <v>77</v>
      </c>
      <c r="D64" s="15">
        <v>0.95652173913043481</v>
      </c>
      <c r="E64" s="57">
        <v>181.32227272727272</v>
      </c>
      <c r="F64" s="15">
        <v>173.43869565217392</v>
      </c>
      <c r="G64" s="15">
        <v>1.6666666666666665</v>
      </c>
      <c r="H64" s="57">
        <v>178.99555555555551</v>
      </c>
      <c r="I64" s="15">
        <v>298.32592592592584</v>
      </c>
      <c r="J64" s="15">
        <v>0</v>
      </c>
      <c r="K64" s="14" t="s">
        <v>364</v>
      </c>
      <c r="L64" s="15">
        <v>0</v>
      </c>
      <c r="M64" s="15">
        <v>2.8518518518518516</v>
      </c>
      <c r="N64" s="15">
        <v>196.44441176470596</v>
      </c>
      <c r="O64" s="15">
        <v>560.23035947712435</v>
      </c>
      <c r="P64" s="15">
        <v>-2.8518518518518516</v>
      </c>
      <c r="Q64" s="15" t="s">
        <v>364</v>
      </c>
      <c r="R64" s="15">
        <v>-560.23035947712435</v>
      </c>
      <c r="S64" s="15" t="s">
        <v>364</v>
      </c>
      <c r="T64" s="15">
        <v>-560.23035947712435</v>
      </c>
      <c r="U64" s="17">
        <v>0</v>
      </c>
      <c r="V64" s="17">
        <v>-1</v>
      </c>
      <c r="W64" s="17">
        <v>-1</v>
      </c>
      <c r="X64" s="17">
        <v>-1</v>
      </c>
      <c r="Y64" s="17">
        <v>-1</v>
      </c>
      <c r="Z64" s="73">
        <v>0</v>
      </c>
      <c r="AA64" s="73">
        <v>0</v>
      </c>
      <c r="AB64"/>
    </row>
    <row r="65" spans="1:28" collapsed="1" x14ac:dyDescent="0.25">
      <c r="A65" s="21" t="s">
        <v>22</v>
      </c>
      <c r="B65" s="21" t="s">
        <v>154</v>
      </c>
      <c r="C65" s="21" t="s">
        <v>78</v>
      </c>
      <c r="D65" s="15">
        <v>5.2608695652173916</v>
      </c>
      <c r="E65" s="57">
        <v>856.72892561983463</v>
      </c>
      <c r="F65" s="15">
        <v>4507.1391304347826</v>
      </c>
      <c r="G65" s="15">
        <v>6</v>
      </c>
      <c r="H65" s="57">
        <v>1151.7150617283951</v>
      </c>
      <c r="I65" s="15">
        <v>6910.2903703703705</v>
      </c>
      <c r="J65" s="15">
        <v>8</v>
      </c>
      <c r="K65" s="14">
        <v>680.85500000000002</v>
      </c>
      <c r="L65" s="15">
        <v>5446.84</v>
      </c>
      <c r="M65" s="15">
        <v>7.0810185185185182</v>
      </c>
      <c r="N65" s="15">
        <v>921.37204938271634</v>
      </c>
      <c r="O65" s="15">
        <v>6524.2525441243733</v>
      </c>
      <c r="P65" s="15">
        <v>0.91898148148148184</v>
      </c>
      <c r="Q65" s="15">
        <v>-240.51704938271632</v>
      </c>
      <c r="R65" s="15">
        <v>-1077.4125441243732</v>
      </c>
      <c r="S65" s="15">
        <v>-1924.1363950617306</v>
      </c>
      <c r="T65" s="15">
        <v>846.72385093735772</v>
      </c>
      <c r="U65" s="17">
        <v>1.1297809741745668</v>
      </c>
      <c r="V65" s="17">
        <v>0.52066115702479332</v>
      </c>
      <c r="W65" s="17">
        <v>0.208491648997436</v>
      </c>
      <c r="X65" s="17">
        <v>0.33333333333333331</v>
      </c>
      <c r="Y65" s="17">
        <v>-0.21177841913058915</v>
      </c>
      <c r="Z65" s="73">
        <v>0</v>
      </c>
      <c r="AA65" s="73">
        <v>0</v>
      </c>
      <c r="AB65"/>
    </row>
    <row r="66" spans="1:28" collapsed="1" x14ac:dyDescent="0.25">
      <c r="A66" s="21" t="s">
        <v>22</v>
      </c>
      <c r="B66" s="21" t="s">
        <v>48</v>
      </c>
      <c r="C66" s="21" t="s">
        <v>79</v>
      </c>
      <c r="D66" s="15">
        <v>12.130434782608695</v>
      </c>
      <c r="E66" s="57">
        <v>755.73824372759839</v>
      </c>
      <c r="F66" s="15">
        <v>9167.4334782608676</v>
      </c>
      <c r="G66" s="15">
        <v>11.037037037037036</v>
      </c>
      <c r="H66" s="57">
        <v>786.54637583892668</v>
      </c>
      <c r="I66" s="15">
        <v>8681.1414814814871</v>
      </c>
      <c r="J66" s="15">
        <v>19</v>
      </c>
      <c r="K66" s="14">
        <v>798.38684210526333</v>
      </c>
      <c r="L66" s="15">
        <v>15169.350000000002</v>
      </c>
      <c r="M66" s="15">
        <v>10.733333333333333</v>
      </c>
      <c r="N66" s="15">
        <v>811.6001140684416</v>
      </c>
      <c r="O66" s="15">
        <v>8711.1745576679386</v>
      </c>
      <c r="P66" s="15">
        <v>8.2666666666666675</v>
      </c>
      <c r="Q66" s="15">
        <v>-13.213271963178272</v>
      </c>
      <c r="R66" s="15">
        <v>6458.1754423320635</v>
      </c>
      <c r="S66" s="15">
        <v>-251.05216730038717</v>
      </c>
      <c r="T66" s="15">
        <v>6709.2276096324513</v>
      </c>
      <c r="U66" s="17">
        <v>1.7701863354037268</v>
      </c>
      <c r="V66" s="17">
        <v>0.56630824372759858</v>
      </c>
      <c r="W66" s="17">
        <v>0.65469976258586871</v>
      </c>
      <c r="X66" s="17">
        <v>0.72147651006711422</v>
      </c>
      <c r="Y66" s="17">
        <v>0.74739117342564776</v>
      </c>
      <c r="Z66" s="73">
        <v>0</v>
      </c>
      <c r="AA66" s="73">
        <v>0</v>
      </c>
      <c r="AB66"/>
    </row>
    <row r="67" spans="1:28" collapsed="1" x14ac:dyDescent="0.25">
      <c r="A67" s="21" t="s">
        <v>22</v>
      </c>
      <c r="B67" s="21" t="s">
        <v>48</v>
      </c>
      <c r="C67" s="21" t="s">
        <v>80</v>
      </c>
      <c r="D67" s="15">
        <v>12.304347826086957</v>
      </c>
      <c r="E67" s="57">
        <v>691.55321554770308</v>
      </c>
      <c r="F67" s="15">
        <v>8509.1113043478254</v>
      </c>
      <c r="G67" s="15">
        <v>8.1111111111111107</v>
      </c>
      <c r="H67" s="57">
        <v>669.15073059360759</v>
      </c>
      <c r="I67" s="15">
        <v>5427.555925925928</v>
      </c>
      <c r="J67" s="15">
        <v>13</v>
      </c>
      <c r="K67" s="14">
        <v>677.64769230769218</v>
      </c>
      <c r="L67" s="15">
        <v>8809.4199999999983</v>
      </c>
      <c r="M67" s="15">
        <v>10.777777777777777</v>
      </c>
      <c r="N67" s="15">
        <v>817.91034722222173</v>
      </c>
      <c r="O67" s="15">
        <v>8815.2559645061665</v>
      </c>
      <c r="P67" s="15">
        <v>2.2222222222222232</v>
      </c>
      <c r="Q67" s="15">
        <v>-140.26265491452955</v>
      </c>
      <c r="R67" s="15">
        <v>-5.8359645061682386</v>
      </c>
      <c r="S67" s="15">
        <v>-1823.4145138888841</v>
      </c>
      <c r="T67" s="15">
        <v>1817.5785493827157</v>
      </c>
      <c r="U67" s="17">
        <v>1.2061855670103094</v>
      </c>
      <c r="V67" s="17">
        <v>5.6537102473498191E-2</v>
      </c>
      <c r="W67" s="17">
        <v>3.5292603999518356E-2</v>
      </c>
      <c r="X67" s="17">
        <v>0.60273972602739734</v>
      </c>
      <c r="Y67" s="17">
        <v>0.62309152042447769</v>
      </c>
      <c r="Z67" s="73">
        <v>0</v>
      </c>
      <c r="AA67" s="73">
        <v>0</v>
      </c>
      <c r="AB67"/>
    </row>
    <row r="68" spans="1:28" collapsed="1" x14ac:dyDescent="0.25">
      <c r="A68" s="21" t="s">
        <v>22</v>
      </c>
      <c r="B68" s="21" t="s">
        <v>48</v>
      </c>
      <c r="C68" s="21" t="s">
        <v>81</v>
      </c>
      <c r="D68" s="15">
        <v>3.8695652173913042</v>
      </c>
      <c r="E68" s="57">
        <v>782.6519101123597</v>
      </c>
      <c r="F68" s="15">
        <v>3028.5226086956527</v>
      </c>
      <c r="G68" s="15">
        <v>7.2962962962962958</v>
      </c>
      <c r="H68" s="57">
        <v>844.64406091370472</v>
      </c>
      <c r="I68" s="15">
        <v>6162.7733333333263</v>
      </c>
      <c r="J68" s="15">
        <v>18</v>
      </c>
      <c r="K68" s="14">
        <v>1081.2899999999993</v>
      </c>
      <c r="L68" s="15">
        <v>19463.219999999987</v>
      </c>
      <c r="M68" s="15">
        <v>6.6711263389436883</v>
      </c>
      <c r="N68" s="15">
        <v>929.61950000000002</v>
      </c>
      <c r="O68" s="15">
        <v>6201.6091316456623</v>
      </c>
      <c r="P68" s="15">
        <v>11.328873661056312</v>
      </c>
      <c r="Q68" s="15">
        <v>151.67049999999927</v>
      </c>
      <c r="R68" s="15">
        <v>13261.610868354324</v>
      </c>
      <c r="S68" s="15">
        <v>2730.0689999999868</v>
      </c>
      <c r="T68" s="15">
        <v>10531.541868354338</v>
      </c>
      <c r="U68" s="17">
        <v>2.6981950401572119</v>
      </c>
      <c r="V68" s="17">
        <v>3.6516853932584272</v>
      </c>
      <c r="W68" s="17">
        <v>5.426638501596841</v>
      </c>
      <c r="X68" s="17">
        <v>1.467005076142132</v>
      </c>
      <c r="Y68" s="17">
        <v>2.1581917664774313</v>
      </c>
      <c r="Z68" s="73">
        <v>0</v>
      </c>
      <c r="AA68" s="73">
        <v>0</v>
      </c>
      <c r="AB68"/>
    </row>
    <row r="69" spans="1:28" collapsed="1" x14ac:dyDescent="0.25">
      <c r="A69" s="21" t="s">
        <v>22</v>
      </c>
      <c r="B69" s="21" t="s">
        <v>48</v>
      </c>
      <c r="C69" s="21" t="s">
        <v>82</v>
      </c>
      <c r="D69" s="15">
        <v>0</v>
      </c>
      <c r="E69" s="57" t="s">
        <v>364</v>
      </c>
      <c r="F69" s="15">
        <v>0</v>
      </c>
      <c r="G69" s="15">
        <v>5.2222222222222223</v>
      </c>
      <c r="H69" s="57">
        <v>651.70595744680804</v>
      </c>
      <c r="I69" s="15">
        <v>3403.3533333333312</v>
      </c>
      <c r="J69" s="15">
        <v>0</v>
      </c>
      <c r="K69" s="14" t="s">
        <v>364</v>
      </c>
      <c r="L69" s="15">
        <v>0</v>
      </c>
      <c r="M69" s="15">
        <v>9.2399999999999984</v>
      </c>
      <c r="N69" s="15">
        <v>643.10314285714298</v>
      </c>
      <c r="O69" s="15">
        <v>5942.27304</v>
      </c>
      <c r="P69" s="15">
        <v>-9.2399999999999984</v>
      </c>
      <c r="Q69" s="15" t="s">
        <v>364</v>
      </c>
      <c r="R69" s="15">
        <v>-5942.27304</v>
      </c>
      <c r="S69" s="15" t="s">
        <v>364</v>
      </c>
      <c r="T69" s="15">
        <v>-5942.27304</v>
      </c>
      <c r="U69" s="17">
        <v>0</v>
      </c>
      <c r="V69" s="17" t="s">
        <v>364</v>
      </c>
      <c r="W69" s="17" t="s">
        <v>364</v>
      </c>
      <c r="X69" s="17">
        <v>-1</v>
      </c>
      <c r="Y69" s="17">
        <v>-1</v>
      </c>
      <c r="Z69" s="73">
        <v>0</v>
      </c>
      <c r="AA69" s="73">
        <v>0</v>
      </c>
      <c r="AB69"/>
    </row>
    <row r="70" spans="1:28" collapsed="1" x14ac:dyDescent="0.25">
      <c r="A70" s="21" t="s">
        <v>22</v>
      </c>
      <c r="B70" s="21" t="s">
        <v>50</v>
      </c>
      <c r="C70" s="21" t="s">
        <v>83</v>
      </c>
      <c r="D70" s="15">
        <v>9.695652173913043</v>
      </c>
      <c r="E70" s="57">
        <v>522.17484304932691</v>
      </c>
      <c r="F70" s="15">
        <v>5062.8256521739086</v>
      </c>
      <c r="G70" s="15">
        <v>9.9259259259259256</v>
      </c>
      <c r="H70" s="57">
        <v>562.95332089552278</v>
      </c>
      <c r="I70" s="15">
        <v>5587.832962962967</v>
      </c>
      <c r="J70" s="15">
        <v>16</v>
      </c>
      <c r="K70" s="14">
        <v>469.07124999999996</v>
      </c>
      <c r="L70" s="15">
        <v>7505.1399999999994</v>
      </c>
      <c r="M70" s="15">
        <v>11.540558936561387</v>
      </c>
      <c r="N70" s="15">
        <v>532.33654545454567</v>
      </c>
      <c r="O70" s="15">
        <v>6143.4612769036739</v>
      </c>
      <c r="P70" s="15">
        <v>4.4594410634386126</v>
      </c>
      <c r="Q70" s="15">
        <v>-63.265295454545708</v>
      </c>
      <c r="R70" s="15">
        <v>1361.6787230963255</v>
      </c>
      <c r="S70" s="15">
        <v>-1012.2447272727313</v>
      </c>
      <c r="T70" s="15">
        <v>2373.9234503690564</v>
      </c>
      <c r="U70" s="17">
        <v>1.3864146518337823</v>
      </c>
      <c r="V70" s="17">
        <v>0.65022421524663687</v>
      </c>
      <c r="W70" s="17">
        <v>0.48240143264214408</v>
      </c>
      <c r="X70" s="17">
        <v>0.61194029850746279</v>
      </c>
      <c r="Y70" s="17">
        <v>0.34312175216139135</v>
      </c>
      <c r="Z70" s="73">
        <v>0</v>
      </c>
      <c r="AA70" s="73">
        <v>0</v>
      </c>
      <c r="AB70"/>
    </row>
    <row r="71" spans="1:28" collapsed="1" x14ac:dyDescent="0.25">
      <c r="A71" s="21" t="s">
        <v>22</v>
      </c>
      <c r="B71" s="21" t="s">
        <v>50</v>
      </c>
      <c r="C71" s="21" t="s">
        <v>84</v>
      </c>
      <c r="D71" s="15">
        <v>4.9130434782608692</v>
      </c>
      <c r="E71" s="57">
        <v>395.99265486725676</v>
      </c>
      <c r="F71" s="15">
        <v>1945.5291304347832</v>
      </c>
      <c r="G71" s="15">
        <v>7.333333333333333</v>
      </c>
      <c r="H71" s="57">
        <v>387.46404040404036</v>
      </c>
      <c r="I71" s="15">
        <v>2841.4029629629626</v>
      </c>
      <c r="J71" s="15">
        <v>0</v>
      </c>
      <c r="K71" s="14" t="s">
        <v>364</v>
      </c>
      <c r="L71" s="15">
        <v>0</v>
      </c>
      <c r="M71" s="15">
        <v>9.6689444444444419</v>
      </c>
      <c r="N71" s="15">
        <v>453.22798076923118</v>
      </c>
      <c r="O71" s="15">
        <v>4382.2361667254299</v>
      </c>
      <c r="P71" s="15">
        <v>-9.6689444444444419</v>
      </c>
      <c r="Q71" s="15" t="s">
        <v>364</v>
      </c>
      <c r="R71" s="15">
        <v>-4382.2361667254299</v>
      </c>
      <c r="S71" s="15" t="s">
        <v>364</v>
      </c>
      <c r="T71" s="15">
        <v>-4382.2361667254299</v>
      </c>
      <c r="U71" s="17">
        <v>0</v>
      </c>
      <c r="V71" s="17">
        <v>-1</v>
      </c>
      <c r="W71" s="17">
        <v>-1</v>
      </c>
      <c r="X71" s="17">
        <v>-1</v>
      </c>
      <c r="Y71" s="17">
        <v>-1</v>
      </c>
      <c r="Z71" s="73">
        <v>0</v>
      </c>
      <c r="AA71" s="73">
        <v>0</v>
      </c>
      <c r="AB71"/>
    </row>
    <row r="72" spans="1:28" collapsed="1" x14ac:dyDescent="0.25">
      <c r="A72" s="21" t="s">
        <v>22</v>
      </c>
      <c r="B72" s="21" t="s">
        <v>50</v>
      </c>
      <c r="C72" s="21" t="s">
        <v>85</v>
      </c>
      <c r="D72" s="15">
        <v>6.5217391304347823</v>
      </c>
      <c r="E72" s="57">
        <v>413.40486666666618</v>
      </c>
      <c r="F72" s="15">
        <v>2696.1186956521706</v>
      </c>
      <c r="G72" s="15">
        <v>9.2592592592592595</v>
      </c>
      <c r="H72" s="57">
        <v>351.11367999999965</v>
      </c>
      <c r="I72" s="15">
        <v>3251.0525925925895</v>
      </c>
      <c r="J72" s="15">
        <v>7</v>
      </c>
      <c r="K72" s="14">
        <v>311.33857142857141</v>
      </c>
      <c r="L72" s="15">
        <v>2179.37</v>
      </c>
      <c r="M72" s="15">
        <v>9.3022222222222215</v>
      </c>
      <c r="N72" s="15">
        <v>425.85917391304315</v>
      </c>
      <c r="O72" s="15">
        <v>3961.4366711111079</v>
      </c>
      <c r="P72" s="15">
        <v>-2.3022222222222215</v>
      </c>
      <c r="Q72" s="15">
        <v>-114.52060248447174</v>
      </c>
      <c r="R72" s="15">
        <v>-1782.066671111108</v>
      </c>
      <c r="S72" s="15">
        <v>-801.64421739130216</v>
      </c>
      <c r="T72" s="15">
        <v>-980.42245371980573</v>
      </c>
      <c r="U72" s="17">
        <v>0.75250836120401343</v>
      </c>
      <c r="V72" s="17">
        <v>7.3333333333333389E-2</v>
      </c>
      <c r="W72" s="17">
        <v>-0.19166392654948491</v>
      </c>
      <c r="X72" s="17">
        <v>-0.24400000000000002</v>
      </c>
      <c r="Y72" s="17">
        <v>-0.32964172743141135</v>
      </c>
      <c r="Z72" s="73">
        <v>0</v>
      </c>
      <c r="AA72" s="73">
        <v>0</v>
      </c>
      <c r="AB72"/>
    </row>
    <row r="73" spans="1:28" collapsed="1" x14ac:dyDescent="0.25">
      <c r="A73" s="21" t="s">
        <v>22</v>
      </c>
      <c r="B73" s="21" t="s">
        <v>50</v>
      </c>
      <c r="C73" s="21" t="s">
        <v>86</v>
      </c>
      <c r="D73" s="15">
        <v>2.8260869565217392</v>
      </c>
      <c r="E73" s="57">
        <v>884.30461538461566</v>
      </c>
      <c r="F73" s="15">
        <v>2499.1217391304358</v>
      </c>
      <c r="G73" s="15">
        <v>4.5185185185185182</v>
      </c>
      <c r="H73" s="57">
        <v>704.79499999999973</v>
      </c>
      <c r="I73" s="15">
        <v>3184.6292592592577</v>
      </c>
      <c r="J73" s="15">
        <v>16</v>
      </c>
      <c r="K73" s="14">
        <v>382.198125</v>
      </c>
      <c r="L73" s="15">
        <v>6115.17</v>
      </c>
      <c r="M73" s="15">
        <v>6.0374999999999996</v>
      </c>
      <c r="N73" s="15">
        <v>752.42329824561295</v>
      </c>
      <c r="O73" s="15">
        <v>4542.7556631578882</v>
      </c>
      <c r="P73" s="15">
        <v>9.9625000000000004</v>
      </c>
      <c r="Q73" s="15">
        <v>-370.22517324561295</v>
      </c>
      <c r="R73" s="15">
        <v>1572.4143368421119</v>
      </c>
      <c r="S73" s="15">
        <v>-5923.6027719298072</v>
      </c>
      <c r="T73" s="15">
        <v>7496.0171087719191</v>
      </c>
      <c r="U73" s="17">
        <v>2.650103519668737</v>
      </c>
      <c r="V73" s="17">
        <v>4.6615384615384619</v>
      </c>
      <c r="W73" s="17">
        <v>1.4469276163104245</v>
      </c>
      <c r="X73" s="17">
        <v>2.540983606557377</v>
      </c>
      <c r="Y73" s="17">
        <v>0.92021409783265762</v>
      </c>
      <c r="Z73" s="73">
        <v>0</v>
      </c>
      <c r="AA73" s="73">
        <v>0</v>
      </c>
      <c r="AB73"/>
    </row>
    <row r="74" spans="1:28" collapsed="1" x14ac:dyDescent="0.25">
      <c r="A74" s="21" t="s">
        <v>22</v>
      </c>
      <c r="B74" s="21" t="s">
        <v>154</v>
      </c>
      <c r="C74" s="21" t="s">
        <v>87</v>
      </c>
      <c r="D74" s="15">
        <v>9.1304347826086953</v>
      </c>
      <c r="E74" s="57">
        <v>349.39695238095237</v>
      </c>
      <c r="F74" s="15">
        <v>3190.1460869565217</v>
      </c>
      <c r="G74" s="15">
        <v>8.9629629629629619</v>
      </c>
      <c r="H74" s="57">
        <v>328.86454545454563</v>
      </c>
      <c r="I74" s="15">
        <v>2947.6007407407419</v>
      </c>
      <c r="J74" s="15">
        <v>10</v>
      </c>
      <c r="K74" s="14">
        <v>476.95799999999997</v>
      </c>
      <c r="L74" s="15">
        <v>4769.58</v>
      </c>
      <c r="M74" s="15">
        <v>7.0810185185185182</v>
      </c>
      <c r="N74" s="15">
        <v>402.99401574803119</v>
      </c>
      <c r="O74" s="15">
        <v>2853.608088363952</v>
      </c>
      <c r="P74" s="15">
        <v>2.9189814814814818</v>
      </c>
      <c r="Q74" s="15">
        <v>73.963984251968782</v>
      </c>
      <c r="R74" s="15">
        <v>1915.9719116360479</v>
      </c>
      <c r="S74" s="15">
        <v>739.63984251968782</v>
      </c>
      <c r="T74" s="15">
        <v>1176.3320691163597</v>
      </c>
      <c r="U74" s="17">
        <v>1.4122262177182086</v>
      </c>
      <c r="V74" s="17">
        <v>9.5238095238095274E-2</v>
      </c>
      <c r="W74" s="17">
        <v>0.4950976757776937</v>
      </c>
      <c r="X74" s="17">
        <v>0.1157024793388431</v>
      </c>
      <c r="Y74" s="17">
        <v>0.61812281225081678</v>
      </c>
      <c r="Z74" s="73">
        <v>0</v>
      </c>
      <c r="AA74" s="73">
        <v>0</v>
      </c>
      <c r="AB74"/>
    </row>
    <row r="75" spans="1:28" collapsed="1" x14ac:dyDescent="0.25">
      <c r="A75" s="21" t="s">
        <v>22</v>
      </c>
      <c r="B75" s="21" t="s">
        <v>51</v>
      </c>
      <c r="C75" s="21" t="s">
        <v>88</v>
      </c>
      <c r="D75" s="15">
        <v>10.956521739130434</v>
      </c>
      <c r="E75" s="57">
        <v>351.389761904762</v>
      </c>
      <c r="F75" s="15">
        <v>3850.0095652173918</v>
      </c>
      <c r="G75" s="15">
        <v>10.037037037037036</v>
      </c>
      <c r="H75" s="57">
        <v>401.81313653136533</v>
      </c>
      <c r="I75" s="15">
        <v>4033.0133333333333</v>
      </c>
      <c r="J75" s="15">
        <v>6</v>
      </c>
      <c r="K75" s="14">
        <v>302.96666666666664</v>
      </c>
      <c r="L75" s="15">
        <v>1817.8</v>
      </c>
      <c r="M75" s="15">
        <v>8.4972222222222218</v>
      </c>
      <c r="N75" s="15">
        <v>411.98977477477484</v>
      </c>
      <c r="O75" s="15">
        <v>3500.768669544545</v>
      </c>
      <c r="P75" s="15">
        <v>-2.4972222222222218</v>
      </c>
      <c r="Q75" s="15">
        <v>-109.0231081081082</v>
      </c>
      <c r="R75" s="15">
        <v>-1682.968669544545</v>
      </c>
      <c r="S75" s="15">
        <v>-654.13864864864922</v>
      </c>
      <c r="T75" s="15">
        <v>-1028.8300208958958</v>
      </c>
      <c r="U75" s="17">
        <v>0.70611310885910428</v>
      </c>
      <c r="V75" s="17">
        <v>-0.45238095238095233</v>
      </c>
      <c r="W75" s="17">
        <v>-0.52784532889923941</v>
      </c>
      <c r="X75" s="17">
        <v>-0.40221402214022134</v>
      </c>
      <c r="Y75" s="17">
        <v>-0.5492700247292347</v>
      </c>
      <c r="Z75" s="73">
        <v>0</v>
      </c>
      <c r="AA75" s="73">
        <v>0</v>
      </c>
      <c r="AB75"/>
    </row>
    <row r="76" spans="1:28" collapsed="1" x14ac:dyDescent="0.25">
      <c r="A76" s="21" t="s">
        <v>22</v>
      </c>
      <c r="B76" s="21" t="s">
        <v>154</v>
      </c>
      <c r="C76" s="21" t="s">
        <v>89</v>
      </c>
      <c r="D76" s="15">
        <v>0</v>
      </c>
      <c r="E76" s="57" t="s">
        <v>364</v>
      </c>
      <c r="F76" s="15">
        <v>0</v>
      </c>
      <c r="G76" s="15">
        <v>7.2222222222222214</v>
      </c>
      <c r="H76" s="57">
        <v>232.35112820512828</v>
      </c>
      <c r="I76" s="15">
        <v>1678.0914814814819</v>
      </c>
      <c r="J76" s="15">
        <v>0</v>
      </c>
      <c r="K76" s="14" t="s">
        <v>364</v>
      </c>
      <c r="L76" s="15">
        <v>0</v>
      </c>
      <c r="M76" s="15">
        <v>9.8518518518518512</v>
      </c>
      <c r="N76" s="15">
        <v>253.19862068965514</v>
      </c>
      <c r="O76" s="15">
        <v>2494.4753001277136</v>
      </c>
      <c r="P76" s="15">
        <v>-9.8518518518518512</v>
      </c>
      <c r="Q76" s="15" t="s">
        <v>364</v>
      </c>
      <c r="R76" s="15">
        <v>-2494.4753001277136</v>
      </c>
      <c r="S76" s="15" t="s">
        <v>364</v>
      </c>
      <c r="T76" s="15">
        <v>-2494.4753001277136</v>
      </c>
      <c r="U76" s="17">
        <v>0</v>
      </c>
      <c r="V76" s="17" t="s">
        <v>364</v>
      </c>
      <c r="W76" s="17" t="s">
        <v>364</v>
      </c>
      <c r="X76" s="17">
        <v>-1</v>
      </c>
      <c r="Y76" s="17">
        <v>-1</v>
      </c>
      <c r="Z76" s="73">
        <v>0</v>
      </c>
      <c r="AA76" s="73">
        <v>0</v>
      </c>
      <c r="AB76"/>
    </row>
    <row r="77" spans="1:28" collapsed="1" x14ac:dyDescent="0.25">
      <c r="A77" s="21" t="s">
        <v>22</v>
      </c>
      <c r="B77" s="21" t="s">
        <v>154</v>
      </c>
      <c r="C77" s="21" t="s">
        <v>90</v>
      </c>
      <c r="D77" s="15">
        <v>2.7391304347826084</v>
      </c>
      <c r="E77" s="57">
        <v>372.16666666666669</v>
      </c>
      <c r="F77" s="15">
        <v>1019.4130434782609</v>
      </c>
      <c r="G77" s="15">
        <v>2.7777777777777777</v>
      </c>
      <c r="H77" s="57">
        <v>317.12119999999999</v>
      </c>
      <c r="I77" s="15">
        <v>880.89222222222213</v>
      </c>
      <c r="J77" s="15">
        <v>0</v>
      </c>
      <c r="K77" s="14" t="s">
        <v>364</v>
      </c>
      <c r="L77" s="15">
        <v>0</v>
      </c>
      <c r="M77" s="15">
        <v>4.2486111111111109</v>
      </c>
      <c r="N77" s="15">
        <v>337.30666666666667</v>
      </c>
      <c r="O77" s="15">
        <v>1433.0848518518517</v>
      </c>
      <c r="P77" s="15">
        <v>-4.2486111111111109</v>
      </c>
      <c r="Q77" s="15" t="s">
        <v>364</v>
      </c>
      <c r="R77" s="15">
        <v>-1433.0848518518517</v>
      </c>
      <c r="S77" s="15" t="s">
        <v>364</v>
      </c>
      <c r="T77" s="15">
        <v>-1433.0848518518519</v>
      </c>
      <c r="U77" s="17">
        <v>0</v>
      </c>
      <c r="V77" s="17">
        <v>-1</v>
      </c>
      <c r="W77" s="17">
        <v>-1</v>
      </c>
      <c r="X77" s="17">
        <v>-1</v>
      </c>
      <c r="Y77" s="17">
        <v>-1</v>
      </c>
      <c r="Z77" s="73">
        <v>0</v>
      </c>
      <c r="AA77" s="73">
        <v>0</v>
      </c>
      <c r="AB77"/>
    </row>
    <row r="78" spans="1:28" collapsed="1" x14ac:dyDescent="0.25">
      <c r="A78" s="21" t="s">
        <v>22</v>
      </c>
      <c r="B78" s="21" t="s">
        <v>52</v>
      </c>
      <c r="C78" s="21" t="s">
        <v>91</v>
      </c>
      <c r="D78" s="15">
        <v>13.739130434782608</v>
      </c>
      <c r="E78" s="57">
        <v>1103.6398734177233</v>
      </c>
      <c r="F78" s="15">
        <v>15163.052173913067</v>
      </c>
      <c r="G78" s="15">
        <v>13.074074074074073</v>
      </c>
      <c r="H78" s="57">
        <v>873.32286118980198</v>
      </c>
      <c r="I78" s="15">
        <v>11417.88777777778</v>
      </c>
      <c r="J78" s="15">
        <v>19</v>
      </c>
      <c r="K78" s="14">
        <v>1264.0857894736844</v>
      </c>
      <c r="L78" s="15">
        <v>24017.630000000005</v>
      </c>
      <c r="M78" s="15">
        <v>11.925925925925926</v>
      </c>
      <c r="N78" s="15">
        <v>931.93886274509794</v>
      </c>
      <c r="O78" s="15">
        <v>11114.233844589686</v>
      </c>
      <c r="P78" s="15">
        <v>7.0740740740740744</v>
      </c>
      <c r="Q78" s="15">
        <v>332.14692672858644</v>
      </c>
      <c r="R78" s="15">
        <v>12903.396155410319</v>
      </c>
      <c r="S78" s="15">
        <v>6310.7916078431426</v>
      </c>
      <c r="T78" s="15">
        <v>6592.6045475671744</v>
      </c>
      <c r="U78" s="17">
        <v>1.5931677018633541</v>
      </c>
      <c r="V78" s="17">
        <v>0.38291139240506339</v>
      </c>
      <c r="W78" s="17">
        <v>0.58395748590251484</v>
      </c>
      <c r="X78" s="17">
        <v>0.45325779036827213</v>
      </c>
      <c r="Y78" s="17">
        <v>1.1035090261391993</v>
      </c>
      <c r="Z78" s="73">
        <v>0</v>
      </c>
      <c r="AA78" s="73">
        <v>0</v>
      </c>
      <c r="AB78"/>
    </row>
    <row r="79" spans="1:28" collapsed="1" x14ac:dyDescent="0.25">
      <c r="A79" s="21" t="s">
        <v>22</v>
      </c>
      <c r="B79" s="21" t="s">
        <v>53</v>
      </c>
      <c r="C79" s="21" t="s">
        <v>92</v>
      </c>
      <c r="D79" s="15">
        <v>4.2608695652173916</v>
      </c>
      <c r="E79" s="57">
        <v>621.38826530612232</v>
      </c>
      <c r="F79" s="15">
        <v>2647.6543478260865</v>
      </c>
      <c r="G79" s="15">
        <v>3.5925925925925926</v>
      </c>
      <c r="H79" s="57">
        <v>653.2324742268039</v>
      </c>
      <c r="I79" s="15">
        <v>2346.7981481481474</v>
      </c>
      <c r="J79" s="15">
        <v>2</v>
      </c>
      <c r="K79" s="14">
        <v>291.07499999999999</v>
      </c>
      <c r="L79" s="15">
        <v>582.15</v>
      </c>
      <c r="M79" s="15">
        <v>3.9259259259259256</v>
      </c>
      <c r="N79" s="15">
        <v>761.92797872340429</v>
      </c>
      <c r="O79" s="15">
        <v>2991.2728053585502</v>
      </c>
      <c r="P79" s="15">
        <v>-1.9259259259259256</v>
      </c>
      <c r="Q79" s="15">
        <v>-470.85297872340431</v>
      </c>
      <c r="R79" s="15">
        <v>-2409.1228053585501</v>
      </c>
      <c r="S79" s="15">
        <v>-941.70595744680861</v>
      </c>
      <c r="T79" s="15">
        <v>-1467.4168479117413</v>
      </c>
      <c r="U79" s="17">
        <v>0.50943396226415094</v>
      </c>
      <c r="V79" s="17">
        <v>-0.53061224489795922</v>
      </c>
      <c r="W79" s="17">
        <v>-0.78012613297578404</v>
      </c>
      <c r="X79" s="17">
        <v>-0.44329896907216493</v>
      </c>
      <c r="Y79" s="17">
        <v>-0.75193861455047883</v>
      </c>
      <c r="Z79" s="73">
        <v>0</v>
      </c>
      <c r="AA79" s="73">
        <v>0</v>
      </c>
      <c r="AB79"/>
    </row>
    <row r="80" spans="1:28" collapsed="1" x14ac:dyDescent="0.25">
      <c r="A80" s="21" t="s">
        <v>22</v>
      </c>
      <c r="B80" s="21" t="s">
        <v>49</v>
      </c>
      <c r="C80" s="21" t="s">
        <v>93</v>
      </c>
      <c r="D80" s="15">
        <v>3.3913043478260869</v>
      </c>
      <c r="E80" s="57">
        <v>917.02256410256325</v>
      </c>
      <c r="F80" s="15">
        <v>3109.9026086956492</v>
      </c>
      <c r="G80" s="15">
        <v>1.4814814814814814</v>
      </c>
      <c r="H80" s="57">
        <v>831.79750000000024</v>
      </c>
      <c r="I80" s="15">
        <v>1232.2925925925929</v>
      </c>
      <c r="J80" s="15">
        <v>2</v>
      </c>
      <c r="K80" s="14">
        <v>598.125</v>
      </c>
      <c r="L80" s="15">
        <v>1196.25</v>
      </c>
      <c r="M80" s="15" t="s">
        <v>364</v>
      </c>
      <c r="N80" s="15" t="s">
        <v>364</v>
      </c>
      <c r="O80" s="15" t="s">
        <v>364</v>
      </c>
      <c r="P80" s="15" t="s">
        <v>364</v>
      </c>
      <c r="Q80" s="15" t="s">
        <v>364</v>
      </c>
      <c r="R80" s="15" t="s">
        <v>364</v>
      </c>
      <c r="S80" s="15" t="s">
        <v>364</v>
      </c>
      <c r="T80" s="15" t="s">
        <v>364</v>
      </c>
      <c r="U80" s="17" t="s">
        <v>364</v>
      </c>
      <c r="V80" s="17">
        <v>-0.41025641025641024</v>
      </c>
      <c r="W80" s="17">
        <v>-0.61534165196841017</v>
      </c>
      <c r="X80" s="17">
        <v>0.35000000000000009</v>
      </c>
      <c r="Y80" s="17">
        <v>-2.9248404810065177E-2</v>
      </c>
      <c r="Z80" s="73">
        <v>0</v>
      </c>
      <c r="AA80" s="73">
        <v>0</v>
      </c>
      <c r="AB80"/>
    </row>
    <row r="81" spans="1:39" collapsed="1" x14ac:dyDescent="0.25">
      <c r="A81" s="21" t="s">
        <v>22</v>
      </c>
      <c r="B81" s="21" t="s">
        <v>49</v>
      </c>
      <c r="C81" s="21" t="s">
        <v>94</v>
      </c>
      <c r="D81" s="15">
        <v>0.78260869565217384</v>
      </c>
      <c r="E81" s="57">
        <v>423.60388888888895</v>
      </c>
      <c r="F81" s="15">
        <v>331.51608695652175</v>
      </c>
      <c r="G81" s="15">
        <v>0.81481481481481477</v>
      </c>
      <c r="H81" s="57">
        <v>439.53727272727275</v>
      </c>
      <c r="I81" s="15">
        <v>358.14148148148149</v>
      </c>
      <c r="J81" s="15">
        <v>2</v>
      </c>
      <c r="K81" s="14">
        <v>120</v>
      </c>
      <c r="L81" s="15">
        <v>240</v>
      </c>
      <c r="M81" s="15" t="s">
        <v>364</v>
      </c>
      <c r="N81" s="15" t="s">
        <v>364</v>
      </c>
      <c r="O81" s="15" t="s">
        <v>364</v>
      </c>
      <c r="P81" s="15" t="s">
        <v>364</v>
      </c>
      <c r="Q81" s="15" t="s">
        <v>364</v>
      </c>
      <c r="R81" s="15" t="s">
        <v>364</v>
      </c>
      <c r="S81" s="15" t="s">
        <v>364</v>
      </c>
      <c r="T81" s="15" t="s">
        <v>364</v>
      </c>
      <c r="U81" s="17" t="s">
        <v>364</v>
      </c>
      <c r="V81" s="17">
        <v>1.5555555555555558</v>
      </c>
      <c r="W81" s="17">
        <v>-0.27605323107148055</v>
      </c>
      <c r="X81" s="17">
        <v>1.4545454545454546</v>
      </c>
      <c r="Y81" s="17">
        <v>-0.32987377221085812</v>
      </c>
      <c r="Z81" s="73">
        <v>0</v>
      </c>
      <c r="AA81" s="73">
        <v>0</v>
      </c>
      <c r="AB81"/>
    </row>
    <row r="82" spans="1:39" collapsed="1" x14ac:dyDescent="0.25">
      <c r="A82" s="21" t="s">
        <v>22</v>
      </c>
      <c r="B82" s="21" t="s">
        <v>49</v>
      </c>
      <c r="C82" s="21" t="s">
        <v>95</v>
      </c>
      <c r="D82" s="15">
        <v>0</v>
      </c>
      <c r="E82" s="57" t="s">
        <v>364</v>
      </c>
      <c r="F82" s="15">
        <v>0</v>
      </c>
      <c r="G82" s="15">
        <v>6.4444444444444438</v>
      </c>
      <c r="H82" s="57">
        <v>706.30120689655189</v>
      </c>
      <c r="I82" s="15">
        <v>4551.7188888888895</v>
      </c>
      <c r="J82" s="15">
        <v>6</v>
      </c>
      <c r="K82" s="14">
        <v>1034.1416666666667</v>
      </c>
      <c r="L82" s="15">
        <v>6204.85</v>
      </c>
      <c r="M82" s="15" t="s">
        <v>364</v>
      </c>
      <c r="N82" s="15" t="s">
        <v>364</v>
      </c>
      <c r="O82" s="15" t="s">
        <v>364</v>
      </c>
      <c r="P82" s="15" t="s">
        <v>364</v>
      </c>
      <c r="Q82" s="15" t="s">
        <v>364</v>
      </c>
      <c r="R82" s="15" t="s">
        <v>364</v>
      </c>
      <c r="S82" s="15" t="s">
        <v>364</v>
      </c>
      <c r="T82" s="15" t="s">
        <v>364</v>
      </c>
      <c r="U82" s="17" t="s">
        <v>364</v>
      </c>
      <c r="V82" s="17" t="s">
        <v>364</v>
      </c>
      <c r="W82" s="17" t="s">
        <v>364</v>
      </c>
      <c r="X82" s="17">
        <v>-6.8965517241379212E-2</v>
      </c>
      <c r="Y82" s="17">
        <v>0.36318831445117061</v>
      </c>
      <c r="Z82" s="73">
        <v>0</v>
      </c>
      <c r="AA82" s="73">
        <v>0</v>
      </c>
      <c r="AB82"/>
    </row>
    <row r="83" spans="1:39" collapsed="1" x14ac:dyDescent="0.25">
      <c r="A83" s="21" t="s">
        <v>22</v>
      </c>
      <c r="B83" s="21" t="s">
        <v>49</v>
      </c>
      <c r="C83" s="21" t="s">
        <v>96</v>
      </c>
      <c r="D83" s="15">
        <v>0.39130434782608692</v>
      </c>
      <c r="E83" s="57">
        <v>689.46000000000015</v>
      </c>
      <c r="F83" s="15">
        <v>269.78869565217394</v>
      </c>
      <c r="G83" s="15">
        <v>0.85185185185185186</v>
      </c>
      <c r="H83" s="57">
        <v>642.27913043478259</v>
      </c>
      <c r="I83" s="15">
        <v>547.12666666666667</v>
      </c>
      <c r="J83" s="15">
        <v>5</v>
      </c>
      <c r="K83" s="14">
        <v>244.96800000000002</v>
      </c>
      <c r="L83" s="15">
        <v>1224.8400000000001</v>
      </c>
      <c r="M83" s="15" t="s">
        <v>364</v>
      </c>
      <c r="N83" s="15" t="s">
        <v>364</v>
      </c>
      <c r="O83" s="15" t="s">
        <v>364</v>
      </c>
      <c r="P83" s="15" t="s">
        <v>364</v>
      </c>
      <c r="Q83" s="15" t="s">
        <v>364</v>
      </c>
      <c r="R83" s="15" t="s">
        <v>364</v>
      </c>
      <c r="S83" s="15" t="s">
        <v>364</v>
      </c>
      <c r="T83" s="15" t="s">
        <v>364</v>
      </c>
      <c r="U83" s="17" t="s">
        <v>364</v>
      </c>
      <c r="V83" s="17">
        <v>11.777777777777779</v>
      </c>
      <c r="W83" s="17">
        <v>3.5399974859551921</v>
      </c>
      <c r="X83" s="17">
        <v>4.8695652173913038</v>
      </c>
      <c r="Y83" s="17">
        <v>1.2386772106398278</v>
      </c>
      <c r="Z83" s="73">
        <v>0</v>
      </c>
      <c r="AA83" s="73">
        <v>0</v>
      </c>
      <c r="AB83"/>
    </row>
    <row r="84" spans="1:39" collapsed="1" x14ac:dyDescent="0.25">
      <c r="A84" s="21" t="s">
        <v>22</v>
      </c>
      <c r="B84" s="21" t="s">
        <v>49</v>
      </c>
      <c r="C84" s="21" t="s">
        <v>97</v>
      </c>
      <c r="D84" s="15">
        <v>5.0869565217391299</v>
      </c>
      <c r="E84" s="57">
        <v>560.70974358974365</v>
      </c>
      <c r="F84" s="15">
        <v>2852.306086956522</v>
      </c>
      <c r="G84" s="15">
        <v>4.7407407407407405</v>
      </c>
      <c r="H84" s="57">
        <v>492.44304687499994</v>
      </c>
      <c r="I84" s="15">
        <v>2334.5448148148143</v>
      </c>
      <c r="J84" s="15">
        <v>0</v>
      </c>
      <c r="K84" s="14" t="s">
        <v>364</v>
      </c>
      <c r="L84" s="15">
        <v>353.15</v>
      </c>
      <c r="M84" s="15" t="s">
        <v>364</v>
      </c>
      <c r="N84" s="15" t="s">
        <v>364</v>
      </c>
      <c r="O84" s="15" t="s">
        <v>364</v>
      </c>
      <c r="P84" s="15" t="s">
        <v>364</v>
      </c>
      <c r="Q84" s="15" t="s">
        <v>364</v>
      </c>
      <c r="R84" s="15" t="s">
        <v>364</v>
      </c>
      <c r="S84" s="15" t="s">
        <v>364</v>
      </c>
      <c r="T84" s="15" t="s">
        <v>364</v>
      </c>
      <c r="U84" s="17" t="s">
        <v>364</v>
      </c>
      <c r="V84" s="17">
        <v>-1</v>
      </c>
      <c r="W84" s="17">
        <v>-0.87618790226794363</v>
      </c>
      <c r="X84" s="17">
        <v>-1</v>
      </c>
      <c r="Y84" s="17">
        <v>-0.84872854110191354</v>
      </c>
      <c r="Z84" s="73">
        <v>0</v>
      </c>
      <c r="AA84" s="73">
        <v>0</v>
      </c>
      <c r="AB84"/>
    </row>
    <row r="85" spans="1:39" collapsed="1" x14ac:dyDescent="0.25">
      <c r="A85" s="21" t="s">
        <v>22</v>
      </c>
      <c r="B85" s="21" t="s">
        <v>49</v>
      </c>
      <c r="C85" s="21" t="s">
        <v>98</v>
      </c>
      <c r="D85" s="15">
        <v>0</v>
      </c>
      <c r="E85" s="57" t="s">
        <v>364</v>
      </c>
      <c r="F85" s="15">
        <v>0</v>
      </c>
      <c r="G85" s="15">
        <v>0</v>
      </c>
      <c r="H85" s="57" t="s">
        <v>364</v>
      </c>
      <c r="I85" s="15">
        <v>0</v>
      </c>
      <c r="J85" s="15">
        <v>0</v>
      </c>
      <c r="K85" s="14" t="s">
        <v>364</v>
      </c>
      <c r="L85" s="15">
        <v>0</v>
      </c>
      <c r="M85" s="15" t="s">
        <v>364</v>
      </c>
      <c r="N85" s="15" t="s">
        <v>364</v>
      </c>
      <c r="O85" s="15" t="s">
        <v>364</v>
      </c>
      <c r="P85" s="15" t="s">
        <v>364</v>
      </c>
      <c r="Q85" s="15" t="s">
        <v>364</v>
      </c>
      <c r="R85" s="15" t="s">
        <v>364</v>
      </c>
      <c r="S85" s="15" t="s">
        <v>364</v>
      </c>
      <c r="T85" s="15" t="s">
        <v>364</v>
      </c>
      <c r="U85" s="17" t="s">
        <v>364</v>
      </c>
      <c r="V85" s="17" t="s">
        <v>364</v>
      </c>
      <c r="W85" s="17" t="s">
        <v>364</v>
      </c>
      <c r="X85" s="17" t="s">
        <v>364</v>
      </c>
      <c r="Y85" s="17" t="s">
        <v>364</v>
      </c>
      <c r="Z85" s="73">
        <v>0</v>
      </c>
      <c r="AA85" s="73">
        <v>0</v>
      </c>
      <c r="AB85"/>
    </row>
    <row r="86" spans="1:39" collapsed="1" x14ac:dyDescent="0.25">
      <c r="A86" s="21" t="s">
        <v>22</v>
      </c>
      <c r="B86" s="21" t="s">
        <v>49</v>
      </c>
      <c r="C86" s="21" t="s">
        <v>99</v>
      </c>
      <c r="D86" s="15">
        <v>0</v>
      </c>
      <c r="E86" s="57" t="s">
        <v>364</v>
      </c>
      <c r="F86" s="15">
        <v>0</v>
      </c>
      <c r="G86" s="15">
        <v>0.37037037037037035</v>
      </c>
      <c r="H86" s="57">
        <v>288.61600000000004</v>
      </c>
      <c r="I86" s="15">
        <v>106.89481481481482</v>
      </c>
      <c r="J86" s="15">
        <v>1</v>
      </c>
      <c r="K86" s="14">
        <v>0</v>
      </c>
      <c r="L86" s="15">
        <v>0</v>
      </c>
      <c r="M86" s="15" t="s">
        <v>364</v>
      </c>
      <c r="N86" s="15" t="s">
        <v>364</v>
      </c>
      <c r="O86" s="15" t="s">
        <v>364</v>
      </c>
      <c r="P86" s="15" t="s">
        <v>364</v>
      </c>
      <c r="Q86" s="15" t="s">
        <v>364</v>
      </c>
      <c r="R86" s="15" t="s">
        <v>364</v>
      </c>
      <c r="S86" s="15" t="s">
        <v>364</v>
      </c>
      <c r="T86" s="15" t="s">
        <v>364</v>
      </c>
      <c r="U86" s="17" t="s">
        <v>364</v>
      </c>
      <c r="V86" s="17" t="s">
        <v>364</v>
      </c>
      <c r="W86" s="17" t="s">
        <v>364</v>
      </c>
      <c r="X86" s="17">
        <v>1.7000000000000002</v>
      </c>
      <c r="Y86" s="17">
        <v>-1</v>
      </c>
      <c r="Z86" s="73">
        <v>0</v>
      </c>
      <c r="AA86" s="73">
        <v>0</v>
      </c>
      <c r="AB86"/>
    </row>
    <row r="87" spans="1:39" collapsed="1" x14ac:dyDescent="0.25">
      <c r="A87" s="21" t="s">
        <v>22</v>
      </c>
      <c r="B87" s="21" t="s">
        <v>49</v>
      </c>
      <c r="C87" s="21" t="s">
        <v>100</v>
      </c>
      <c r="D87" s="15">
        <v>7.5217391304347823</v>
      </c>
      <c r="E87" s="57">
        <v>877.15936416185002</v>
      </c>
      <c r="F87" s="15">
        <v>6597.76391304348</v>
      </c>
      <c r="G87" s="15">
        <v>6.1111111111111107</v>
      </c>
      <c r="H87" s="57">
        <v>801.67951515151458</v>
      </c>
      <c r="I87" s="15">
        <v>4899.1525925925889</v>
      </c>
      <c r="J87" s="15">
        <v>4</v>
      </c>
      <c r="K87" s="14">
        <v>915.66</v>
      </c>
      <c r="L87" s="15">
        <v>3662.64</v>
      </c>
      <c r="M87" s="15" t="s">
        <v>364</v>
      </c>
      <c r="N87" s="15" t="s">
        <v>364</v>
      </c>
      <c r="O87" s="15" t="s">
        <v>364</v>
      </c>
      <c r="P87" s="15" t="s">
        <v>364</v>
      </c>
      <c r="Q87" s="15" t="s">
        <v>364</v>
      </c>
      <c r="R87" s="15" t="s">
        <v>364</v>
      </c>
      <c r="S87" s="15" t="s">
        <v>364</v>
      </c>
      <c r="T87" s="15" t="s">
        <v>364</v>
      </c>
      <c r="U87" s="17" t="s">
        <v>364</v>
      </c>
      <c r="V87" s="17">
        <v>-0.46820809248554912</v>
      </c>
      <c r="W87" s="17">
        <v>-0.44486646562797938</v>
      </c>
      <c r="X87" s="17">
        <v>-0.3454545454545454</v>
      </c>
      <c r="Y87" s="17">
        <v>-0.252393157637541</v>
      </c>
      <c r="Z87" s="73">
        <v>0</v>
      </c>
      <c r="AA87" s="73">
        <v>0</v>
      </c>
      <c r="AB87"/>
    </row>
    <row r="88" spans="1:39" collapsed="1" x14ac:dyDescent="0.25">
      <c r="A88" s="21" t="s">
        <v>22</v>
      </c>
      <c r="B88" s="21" t="s">
        <v>49</v>
      </c>
      <c r="C88" s="21" t="s">
        <v>101</v>
      </c>
      <c r="D88" s="15">
        <v>0.60869565217391308</v>
      </c>
      <c r="E88" s="57">
        <v>2308.8821428571428</v>
      </c>
      <c r="F88" s="15">
        <v>1405.4065217391305</v>
      </c>
      <c r="G88" s="15">
        <v>1.074074074074074</v>
      </c>
      <c r="H88" s="57">
        <v>1038.1693103448279</v>
      </c>
      <c r="I88" s="15">
        <v>1115.070740740741</v>
      </c>
      <c r="J88" s="15">
        <v>0</v>
      </c>
      <c r="K88" s="14" t="s">
        <v>364</v>
      </c>
      <c r="L88" s="15">
        <v>0</v>
      </c>
      <c r="M88" s="15" t="s">
        <v>364</v>
      </c>
      <c r="N88" s="15" t="s">
        <v>364</v>
      </c>
      <c r="O88" s="15" t="s">
        <v>364</v>
      </c>
      <c r="P88" s="15" t="s">
        <v>364</v>
      </c>
      <c r="Q88" s="15" t="s">
        <v>364</v>
      </c>
      <c r="R88" s="15" t="s">
        <v>364</v>
      </c>
      <c r="S88" s="15" t="s">
        <v>364</v>
      </c>
      <c r="T88" s="15" t="s">
        <v>364</v>
      </c>
      <c r="U88" s="17" t="s">
        <v>364</v>
      </c>
      <c r="V88" s="17">
        <v>-1</v>
      </c>
      <c r="W88" s="17">
        <v>-1</v>
      </c>
      <c r="X88" s="17">
        <v>-1</v>
      </c>
      <c r="Y88" s="17">
        <v>-1</v>
      </c>
      <c r="Z88" s="73">
        <v>0</v>
      </c>
      <c r="AA88" s="73">
        <v>0</v>
      </c>
      <c r="AB88"/>
    </row>
    <row r="89" spans="1:39" collapsed="1" x14ac:dyDescent="0.25">
      <c r="A89" s="21" t="s">
        <v>22</v>
      </c>
      <c r="B89" s="21" t="s">
        <v>49</v>
      </c>
      <c r="C89" s="21" t="s">
        <v>102</v>
      </c>
      <c r="D89" s="15">
        <v>0</v>
      </c>
      <c r="E89" s="57" t="s">
        <v>364</v>
      </c>
      <c r="F89" s="15">
        <v>4995.4913043478255</v>
      </c>
      <c r="G89" s="15">
        <v>0</v>
      </c>
      <c r="H89" s="57" t="s">
        <v>364</v>
      </c>
      <c r="I89" s="15">
        <v>7906.5277777777756</v>
      </c>
      <c r="J89" s="15">
        <v>0</v>
      </c>
      <c r="K89" s="14" t="s">
        <v>364</v>
      </c>
      <c r="L89" s="15">
        <v>8339.75</v>
      </c>
      <c r="M89" s="15" t="s">
        <v>364</v>
      </c>
      <c r="N89" s="15" t="s">
        <v>364</v>
      </c>
      <c r="O89" s="15" t="s">
        <v>364</v>
      </c>
      <c r="P89" s="15" t="s">
        <v>364</v>
      </c>
      <c r="Q89" s="15" t="s">
        <v>364</v>
      </c>
      <c r="R89" s="15" t="s">
        <v>364</v>
      </c>
      <c r="S89" s="15" t="s">
        <v>364</v>
      </c>
      <c r="T89" s="15" t="s">
        <v>364</v>
      </c>
      <c r="U89" s="17" t="s">
        <v>364</v>
      </c>
      <c r="V89" s="17" t="s">
        <v>364</v>
      </c>
      <c r="W89" s="17">
        <v>0.66945541327266433</v>
      </c>
      <c r="X89" s="17" t="s">
        <v>364</v>
      </c>
      <c r="Y89" s="17">
        <v>5.4792980483777766E-2</v>
      </c>
      <c r="Z89" s="73">
        <v>0</v>
      </c>
      <c r="AA89" s="73">
        <v>0</v>
      </c>
      <c r="AB89"/>
    </row>
    <row r="90" spans="1:39" collapsed="1" x14ac:dyDescent="0.25">
      <c r="A90" s="21" t="s">
        <v>22</v>
      </c>
      <c r="B90" s="21" t="s">
        <v>49</v>
      </c>
      <c r="C90" s="21" t="s">
        <v>103</v>
      </c>
      <c r="D90" s="15">
        <v>0</v>
      </c>
      <c r="E90" s="57" t="s">
        <v>364</v>
      </c>
      <c r="F90" s="15">
        <v>0</v>
      </c>
      <c r="G90" s="15">
        <v>3.4444444444444442</v>
      </c>
      <c r="H90" s="57">
        <v>623.93623655913984</v>
      </c>
      <c r="I90" s="15">
        <v>2149.1137037037038</v>
      </c>
      <c r="J90" s="15">
        <v>0</v>
      </c>
      <c r="K90" s="14" t="s">
        <v>364</v>
      </c>
      <c r="L90" s="15">
        <v>0</v>
      </c>
      <c r="M90" s="15" t="s">
        <v>364</v>
      </c>
      <c r="N90" s="15" t="s">
        <v>364</v>
      </c>
      <c r="O90" s="15" t="s">
        <v>364</v>
      </c>
      <c r="P90" s="15" t="s">
        <v>364</v>
      </c>
      <c r="Q90" s="15" t="s">
        <v>364</v>
      </c>
      <c r="R90" s="15" t="s">
        <v>364</v>
      </c>
      <c r="S90" s="15" t="s">
        <v>364</v>
      </c>
      <c r="T90" s="15" t="s">
        <v>364</v>
      </c>
      <c r="U90" s="17" t="s">
        <v>364</v>
      </c>
      <c r="V90" s="17" t="s">
        <v>364</v>
      </c>
      <c r="W90" s="17" t="s">
        <v>364</v>
      </c>
      <c r="X90" s="17">
        <v>-1</v>
      </c>
      <c r="Y90" s="17">
        <v>-1</v>
      </c>
      <c r="Z90" s="73">
        <v>0</v>
      </c>
      <c r="AA90" s="73">
        <v>0</v>
      </c>
    </row>
    <row r="91" spans="1:39" collapsed="1" x14ac:dyDescent="0.25">
      <c r="A91" s="21" t="s">
        <v>22</v>
      </c>
      <c r="B91" s="21" t="s">
        <v>49</v>
      </c>
      <c r="C91" s="21" t="s">
        <v>104</v>
      </c>
      <c r="D91" s="15">
        <v>9.8260869565217384</v>
      </c>
      <c r="E91" s="57">
        <v>635.10805309734531</v>
      </c>
      <c r="F91" s="15">
        <v>6240.6269565217408</v>
      </c>
      <c r="G91" s="15">
        <v>8.5555555555555554</v>
      </c>
      <c r="H91" s="57">
        <v>613.0750649350648</v>
      </c>
      <c r="I91" s="15">
        <v>5245.1977777777765</v>
      </c>
      <c r="J91" s="15">
        <v>4</v>
      </c>
      <c r="K91" s="14">
        <v>1129.5400000000002</v>
      </c>
      <c r="L91" s="15">
        <v>4518.1600000000008</v>
      </c>
      <c r="M91" s="15" t="s">
        <v>364</v>
      </c>
      <c r="N91" s="15" t="s">
        <v>364</v>
      </c>
      <c r="O91" s="15" t="s">
        <v>364</v>
      </c>
      <c r="P91" s="15" t="s">
        <v>364</v>
      </c>
      <c r="Q91" s="15" t="s">
        <v>364</v>
      </c>
      <c r="R91" s="15" t="s">
        <v>364</v>
      </c>
      <c r="S91" s="15" t="s">
        <v>364</v>
      </c>
      <c r="T91" s="15" t="s">
        <v>364</v>
      </c>
      <c r="U91" s="17" t="s">
        <v>364</v>
      </c>
      <c r="V91" s="17">
        <v>-0.59292035398230081</v>
      </c>
      <c r="W91" s="17">
        <v>-0.27600863960017402</v>
      </c>
      <c r="X91" s="17">
        <v>-0.53246753246753242</v>
      </c>
      <c r="Y91" s="17">
        <v>-0.1386101742164999</v>
      </c>
      <c r="Z91" s="73">
        <v>0</v>
      </c>
      <c r="AA91" s="73">
        <v>0</v>
      </c>
    </row>
    <row r="92" spans="1:39" collapsed="1" x14ac:dyDescent="0.25">
      <c r="A92" s="21" t="s">
        <v>22</v>
      </c>
      <c r="B92" s="21" t="s">
        <v>49</v>
      </c>
      <c r="C92" s="21" t="s">
        <v>105</v>
      </c>
      <c r="D92" s="15">
        <v>0</v>
      </c>
      <c r="E92" s="57" t="s">
        <v>364</v>
      </c>
      <c r="F92" s="15">
        <v>0</v>
      </c>
      <c r="G92" s="15">
        <v>8.2962962962962958</v>
      </c>
      <c r="H92" s="57">
        <v>258.94642857142821</v>
      </c>
      <c r="I92" s="15">
        <v>2148.2962962962933</v>
      </c>
      <c r="J92" s="15">
        <v>0</v>
      </c>
      <c r="K92" s="14" t="s">
        <v>364</v>
      </c>
      <c r="L92" s="15">
        <v>0</v>
      </c>
      <c r="M92" s="15" t="s">
        <v>364</v>
      </c>
      <c r="N92" s="15" t="s">
        <v>364</v>
      </c>
      <c r="O92" s="15" t="s">
        <v>364</v>
      </c>
      <c r="P92" s="15" t="s">
        <v>364</v>
      </c>
      <c r="Q92" s="15" t="s">
        <v>364</v>
      </c>
      <c r="R92" s="15" t="s">
        <v>364</v>
      </c>
      <c r="S92" s="15" t="s">
        <v>364</v>
      </c>
      <c r="T92" s="15" t="s">
        <v>364</v>
      </c>
      <c r="U92" s="17" t="s">
        <v>364</v>
      </c>
      <c r="V92" s="17" t="s">
        <v>364</v>
      </c>
      <c r="W92" s="17" t="s">
        <v>364</v>
      </c>
      <c r="X92" s="17">
        <v>-1</v>
      </c>
      <c r="Y92" s="17">
        <v>-1</v>
      </c>
      <c r="Z92" s="73">
        <v>0</v>
      </c>
      <c r="AA92" s="73">
        <v>0</v>
      </c>
    </row>
    <row r="93" spans="1:39" s="3" customFormat="1" collapsed="1" x14ac:dyDescent="0.25">
      <c r="A93" s="21" t="s">
        <v>22</v>
      </c>
      <c r="B93" s="21" t="s">
        <v>49</v>
      </c>
      <c r="C93" s="21" t="s">
        <v>106</v>
      </c>
      <c r="D93" s="15">
        <v>5.4347826086956523</v>
      </c>
      <c r="E93" s="57">
        <v>466.65904000000012</v>
      </c>
      <c r="F93" s="15">
        <v>2536.1904347826094</v>
      </c>
      <c r="G93" s="15">
        <v>8.2962962962962958</v>
      </c>
      <c r="H93" s="57">
        <v>512.40504464285721</v>
      </c>
      <c r="I93" s="15">
        <v>4251.0640740740746</v>
      </c>
      <c r="J93" s="15">
        <v>0</v>
      </c>
      <c r="K93" s="14" t="s">
        <v>364</v>
      </c>
      <c r="L93" s="15">
        <v>0</v>
      </c>
      <c r="M93" s="15" t="s">
        <v>364</v>
      </c>
      <c r="N93" s="15" t="s">
        <v>364</v>
      </c>
      <c r="O93" s="15" t="s">
        <v>364</v>
      </c>
      <c r="P93" s="15" t="s">
        <v>364</v>
      </c>
      <c r="Q93" s="15" t="s">
        <v>364</v>
      </c>
      <c r="R93" s="15" t="s">
        <v>364</v>
      </c>
      <c r="S93" s="15" t="s">
        <v>364</v>
      </c>
      <c r="T93" s="15" t="s">
        <v>364</v>
      </c>
      <c r="U93" s="17" t="s">
        <v>364</v>
      </c>
      <c r="V93" s="17">
        <v>-1</v>
      </c>
      <c r="W93" s="17">
        <v>-1</v>
      </c>
      <c r="X93" s="17">
        <v>-1</v>
      </c>
      <c r="Y93" s="17">
        <v>-1</v>
      </c>
      <c r="Z93" s="73">
        <v>0</v>
      </c>
      <c r="AA93" s="73">
        <v>0</v>
      </c>
      <c r="AC93"/>
      <c r="AD93"/>
      <c r="AE93"/>
      <c r="AF93"/>
      <c r="AG93"/>
      <c r="AH93"/>
      <c r="AI93"/>
      <c r="AJ93"/>
      <c r="AK93"/>
      <c r="AL93"/>
      <c r="AM93"/>
    </row>
    <row r="94" spans="1:39" s="3" customFormat="1" collapsed="1" x14ac:dyDescent="0.25">
      <c r="A94" s="21" t="s">
        <v>22</v>
      </c>
      <c r="B94" s="21" t="s">
        <v>49</v>
      </c>
      <c r="C94" s="21" t="s">
        <v>107</v>
      </c>
      <c r="D94" s="15">
        <v>0</v>
      </c>
      <c r="E94" s="57" t="s">
        <v>364</v>
      </c>
      <c r="F94" s="15">
        <v>0</v>
      </c>
      <c r="G94" s="15">
        <v>0</v>
      </c>
      <c r="H94" s="57" t="s">
        <v>364</v>
      </c>
      <c r="I94" s="15">
        <v>0</v>
      </c>
      <c r="J94" s="15">
        <v>7</v>
      </c>
      <c r="K94" s="14">
        <v>1234.264285714286</v>
      </c>
      <c r="L94" s="15">
        <v>8639.8500000000022</v>
      </c>
      <c r="M94" s="15" t="s">
        <v>364</v>
      </c>
      <c r="N94" s="15" t="s">
        <v>364</v>
      </c>
      <c r="O94" s="15" t="s">
        <v>364</v>
      </c>
      <c r="P94" s="15" t="s">
        <v>364</v>
      </c>
      <c r="Q94" s="15" t="s">
        <v>364</v>
      </c>
      <c r="R94" s="15" t="s">
        <v>364</v>
      </c>
      <c r="S94" s="15" t="s">
        <v>364</v>
      </c>
      <c r="T94" s="15" t="s">
        <v>364</v>
      </c>
      <c r="U94" s="17" t="s">
        <v>364</v>
      </c>
      <c r="V94" s="17" t="s">
        <v>364</v>
      </c>
      <c r="W94" s="17" t="s">
        <v>364</v>
      </c>
      <c r="X94" s="17" t="s">
        <v>364</v>
      </c>
      <c r="Y94" s="17" t="s">
        <v>364</v>
      </c>
      <c r="Z94" s="73">
        <v>0</v>
      </c>
      <c r="AA94" s="73">
        <v>0</v>
      </c>
      <c r="AC94"/>
      <c r="AD94"/>
      <c r="AE94"/>
      <c r="AF94"/>
      <c r="AG94"/>
      <c r="AH94"/>
      <c r="AI94"/>
      <c r="AJ94"/>
      <c r="AK94"/>
      <c r="AL94"/>
      <c r="AM94"/>
    </row>
    <row r="95" spans="1:39" s="3" customFormat="1" collapsed="1" x14ac:dyDescent="0.25">
      <c r="A95" s="21" t="s">
        <v>22</v>
      </c>
      <c r="B95" s="21" t="s">
        <v>49</v>
      </c>
      <c r="C95" s="21" t="s">
        <v>108</v>
      </c>
      <c r="D95" s="15">
        <v>0</v>
      </c>
      <c r="E95" s="57" t="s">
        <v>364</v>
      </c>
      <c r="F95" s="15">
        <v>2509.4169565217389</v>
      </c>
      <c r="G95" s="15">
        <v>0</v>
      </c>
      <c r="H95" s="57" t="s">
        <v>364</v>
      </c>
      <c r="I95" s="15">
        <v>3689.3811111111108</v>
      </c>
      <c r="J95" s="15">
        <v>0</v>
      </c>
      <c r="K95" s="14" t="s">
        <v>364</v>
      </c>
      <c r="L95" s="15">
        <v>5876.75</v>
      </c>
      <c r="M95" s="15" t="s">
        <v>364</v>
      </c>
      <c r="N95" s="15" t="s">
        <v>364</v>
      </c>
      <c r="O95" s="15" t="s">
        <v>364</v>
      </c>
      <c r="P95" s="15" t="s">
        <v>364</v>
      </c>
      <c r="Q95" s="15" t="s">
        <v>364</v>
      </c>
      <c r="R95" s="15" t="s">
        <v>364</v>
      </c>
      <c r="S95" s="15" t="s">
        <v>364</v>
      </c>
      <c r="T95" s="15" t="s">
        <v>364</v>
      </c>
      <c r="U95" s="17" t="s">
        <v>364</v>
      </c>
      <c r="V95" s="17" t="s">
        <v>364</v>
      </c>
      <c r="W95" s="17">
        <v>1.3418786522211379</v>
      </c>
      <c r="X95" s="17" t="s">
        <v>364</v>
      </c>
      <c r="Y95" s="17">
        <v>0.59288233527875656</v>
      </c>
      <c r="Z95" s="73">
        <v>0</v>
      </c>
      <c r="AA95" s="73">
        <v>0</v>
      </c>
      <c r="AC95"/>
      <c r="AD95"/>
      <c r="AE95"/>
      <c r="AF95"/>
      <c r="AG95"/>
      <c r="AH95"/>
      <c r="AI95"/>
      <c r="AJ95"/>
      <c r="AK95"/>
      <c r="AL95"/>
      <c r="AM95"/>
    </row>
    <row r="96" spans="1:39" s="3" customFormat="1" collapsed="1" x14ac:dyDescent="0.25">
      <c r="A96" s="21" t="s">
        <v>22</v>
      </c>
      <c r="B96" s="21" t="s">
        <v>49</v>
      </c>
      <c r="C96" s="21" t="s">
        <v>109</v>
      </c>
      <c r="D96" s="15">
        <v>0</v>
      </c>
      <c r="E96" s="57" t="s">
        <v>364</v>
      </c>
      <c r="F96" s="15">
        <v>0</v>
      </c>
      <c r="G96" s="15">
        <v>4.4444444444444446</v>
      </c>
      <c r="H96" s="57">
        <v>618.04750000000013</v>
      </c>
      <c r="I96" s="15">
        <v>2746.8777777777786</v>
      </c>
      <c r="J96" s="15">
        <v>0</v>
      </c>
      <c r="K96" s="14" t="s">
        <v>364</v>
      </c>
      <c r="L96" s="15">
        <v>99</v>
      </c>
      <c r="M96" s="15" t="s">
        <v>364</v>
      </c>
      <c r="N96" s="15" t="s">
        <v>364</v>
      </c>
      <c r="O96" s="15" t="s">
        <v>364</v>
      </c>
      <c r="P96" s="15" t="s">
        <v>364</v>
      </c>
      <c r="Q96" s="15" t="s">
        <v>364</v>
      </c>
      <c r="R96" s="15" t="s">
        <v>364</v>
      </c>
      <c r="S96" s="15" t="s">
        <v>364</v>
      </c>
      <c r="T96" s="15" t="s">
        <v>364</v>
      </c>
      <c r="U96" s="17" t="s">
        <v>364</v>
      </c>
      <c r="V96" s="17" t="s">
        <v>364</v>
      </c>
      <c r="W96" s="17" t="s">
        <v>364</v>
      </c>
      <c r="X96" s="17">
        <v>-1</v>
      </c>
      <c r="Y96" s="17">
        <v>-0.96395908081498594</v>
      </c>
      <c r="Z96" s="73">
        <v>0</v>
      </c>
      <c r="AA96" s="73">
        <v>0</v>
      </c>
      <c r="AC96"/>
      <c r="AD96"/>
      <c r="AE96"/>
      <c r="AF96"/>
      <c r="AG96"/>
      <c r="AH96"/>
      <c r="AI96"/>
      <c r="AJ96"/>
      <c r="AK96"/>
      <c r="AL96"/>
      <c r="AM96"/>
    </row>
    <row r="97" spans="1:39" s="3" customFormat="1" collapsed="1" x14ac:dyDescent="0.25">
      <c r="A97" s="21" t="s">
        <v>22</v>
      </c>
      <c r="B97" s="21" t="s">
        <v>49</v>
      </c>
      <c r="C97" s="21" t="s">
        <v>110</v>
      </c>
      <c r="D97" s="15">
        <v>0</v>
      </c>
      <c r="E97" s="57" t="s">
        <v>364</v>
      </c>
      <c r="F97" s="15">
        <v>305.30956521739131</v>
      </c>
      <c r="G97" s="15">
        <v>0</v>
      </c>
      <c r="H97" s="57" t="s">
        <v>364</v>
      </c>
      <c r="I97" s="15">
        <v>105.09777777777776</v>
      </c>
      <c r="J97" s="15">
        <v>0</v>
      </c>
      <c r="K97" s="14" t="s">
        <v>364</v>
      </c>
      <c r="L97" s="15">
        <v>120</v>
      </c>
      <c r="M97" s="15" t="s">
        <v>364</v>
      </c>
      <c r="N97" s="15" t="s">
        <v>364</v>
      </c>
      <c r="O97" s="15" t="s">
        <v>364</v>
      </c>
      <c r="P97" s="15" t="s">
        <v>364</v>
      </c>
      <c r="Q97" s="15" t="s">
        <v>364</v>
      </c>
      <c r="R97" s="15" t="s">
        <v>364</v>
      </c>
      <c r="S97" s="15" t="s">
        <v>364</v>
      </c>
      <c r="T97" s="15" t="s">
        <v>364</v>
      </c>
      <c r="U97" s="17" t="s">
        <v>364</v>
      </c>
      <c r="V97" s="17" t="s">
        <v>364</v>
      </c>
      <c r="W97" s="17">
        <v>-0.60695630379429577</v>
      </c>
      <c r="X97" s="17" t="s">
        <v>364</v>
      </c>
      <c r="Y97" s="17">
        <v>0.1417938850594157</v>
      </c>
      <c r="Z97" s="73">
        <v>0</v>
      </c>
      <c r="AA97" s="73">
        <v>0</v>
      </c>
      <c r="AC97"/>
      <c r="AD97"/>
      <c r="AE97"/>
      <c r="AF97"/>
      <c r="AG97"/>
      <c r="AH97"/>
      <c r="AI97"/>
      <c r="AJ97"/>
      <c r="AK97"/>
      <c r="AL97"/>
      <c r="AM97"/>
    </row>
    <row r="98" spans="1:39" s="3" customFormat="1" collapsed="1" x14ac:dyDescent="0.25">
      <c r="A98" s="21" t="s">
        <v>22</v>
      </c>
      <c r="B98" s="21" t="s">
        <v>49</v>
      </c>
      <c r="C98" s="21" t="s">
        <v>111</v>
      </c>
      <c r="D98" s="15">
        <v>0</v>
      </c>
      <c r="E98" s="57" t="s">
        <v>364</v>
      </c>
      <c r="F98" s="15">
        <v>0</v>
      </c>
      <c r="G98" s="15">
        <v>2.6296296296296293</v>
      </c>
      <c r="H98" s="57">
        <v>393.85732394366198</v>
      </c>
      <c r="I98" s="15">
        <v>1035.6988888888889</v>
      </c>
      <c r="J98" s="15">
        <v>3</v>
      </c>
      <c r="K98" s="14">
        <v>360</v>
      </c>
      <c r="L98" s="15">
        <v>1080</v>
      </c>
      <c r="M98" s="15" t="s">
        <v>364</v>
      </c>
      <c r="N98" s="15" t="s">
        <v>364</v>
      </c>
      <c r="O98" s="15" t="s">
        <v>364</v>
      </c>
      <c r="P98" s="15" t="s">
        <v>364</v>
      </c>
      <c r="Q98" s="15" t="s">
        <v>364</v>
      </c>
      <c r="R98" s="15" t="s">
        <v>364</v>
      </c>
      <c r="S98" s="15" t="s">
        <v>364</v>
      </c>
      <c r="T98" s="15" t="s">
        <v>364</v>
      </c>
      <c r="U98" s="17" t="s">
        <v>364</v>
      </c>
      <c r="V98" s="17" t="s">
        <v>364</v>
      </c>
      <c r="W98" s="17" t="s">
        <v>364</v>
      </c>
      <c r="X98" s="17">
        <v>0.14084507042253536</v>
      </c>
      <c r="Y98" s="17">
        <v>4.27741224658819E-2</v>
      </c>
      <c r="Z98" s="73">
        <v>0</v>
      </c>
      <c r="AA98" s="73">
        <v>0</v>
      </c>
      <c r="AC98"/>
      <c r="AD98"/>
      <c r="AE98"/>
      <c r="AF98"/>
      <c r="AG98"/>
      <c r="AH98"/>
      <c r="AI98"/>
      <c r="AJ98"/>
      <c r="AK98"/>
      <c r="AL98"/>
      <c r="AM98"/>
    </row>
    <row r="99" spans="1:39" s="3" customFormat="1" collapsed="1" x14ac:dyDescent="0.25">
      <c r="A99" s="21" t="s">
        <v>22</v>
      </c>
      <c r="B99" s="21" t="s">
        <v>49</v>
      </c>
      <c r="C99" s="21" t="s">
        <v>112</v>
      </c>
      <c r="D99" s="15">
        <v>0</v>
      </c>
      <c r="E99" s="57" t="s">
        <v>364</v>
      </c>
      <c r="F99" s="15">
        <v>0</v>
      </c>
      <c r="G99" s="15">
        <v>0.25925925925925924</v>
      </c>
      <c r="H99" s="57">
        <v>385.59</v>
      </c>
      <c r="I99" s="15">
        <v>99.967777777777769</v>
      </c>
      <c r="J99" s="15">
        <v>0</v>
      </c>
      <c r="K99" s="14" t="s">
        <v>364</v>
      </c>
      <c r="L99" s="15">
        <v>0</v>
      </c>
      <c r="M99" s="15" t="s">
        <v>364</v>
      </c>
      <c r="N99" s="15" t="s">
        <v>364</v>
      </c>
      <c r="O99" s="15" t="s">
        <v>364</v>
      </c>
      <c r="P99" s="15" t="s">
        <v>364</v>
      </c>
      <c r="Q99" s="15" t="s">
        <v>364</v>
      </c>
      <c r="R99" s="15" t="s">
        <v>364</v>
      </c>
      <c r="S99" s="15" t="s">
        <v>364</v>
      </c>
      <c r="T99" s="15" t="s">
        <v>364</v>
      </c>
      <c r="U99" s="17" t="s">
        <v>364</v>
      </c>
      <c r="V99" s="17" t="s">
        <v>364</v>
      </c>
      <c r="W99" s="17" t="s">
        <v>364</v>
      </c>
      <c r="X99" s="17">
        <v>-1</v>
      </c>
      <c r="Y99" s="17">
        <v>-1</v>
      </c>
      <c r="Z99" s="73">
        <v>0</v>
      </c>
      <c r="AA99" s="73">
        <v>0</v>
      </c>
      <c r="AC99"/>
      <c r="AD99"/>
      <c r="AE99"/>
      <c r="AF99"/>
      <c r="AG99"/>
      <c r="AH99"/>
      <c r="AI99"/>
      <c r="AJ99"/>
      <c r="AK99"/>
      <c r="AL99"/>
      <c r="AM99"/>
    </row>
    <row r="100" spans="1:39" s="3" customFormat="1" collapsed="1" x14ac:dyDescent="0.25">
      <c r="A100" s="21" t="s">
        <v>22</v>
      </c>
      <c r="B100" s="21" t="s">
        <v>49</v>
      </c>
      <c r="C100" s="21" t="s">
        <v>113</v>
      </c>
      <c r="D100" s="15">
        <v>3.043478260869565</v>
      </c>
      <c r="E100" s="57">
        <v>1168.1242857142856</v>
      </c>
      <c r="F100" s="15">
        <v>3555.1608695652171</v>
      </c>
      <c r="G100" s="15">
        <v>2.2962962962962963</v>
      </c>
      <c r="H100" s="57">
        <v>796.28596774193522</v>
      </c>
      <c r="I100" s="15">
        <v>1828.508518518518</v>
      </c>
      <c r="J100" s="15">
        <v>8</v>
      </c>
      <c r="K100" s="14">
        <v>654.14875000000018</v>
      </c>
      <c r="L100" s="15">
        <v>5233.1900000000014</v>
      </c>
      <c r="M100" s="15" t="s">
        <v>364</v>
      </c>
      <c r="N100" s="15" t="s">
        <v>364</v>
      </c>
      <c r="O100" s="15" t="s">
        <v>364</v>
      </c>
      <c r="P100" s="15" t="s">
        <v>364</v>
      </c>
      <c r="Q100" s="15" t="s">
        <v>364</v>
      </c>
      <c r="R100" s="15" t="s">
        <v>364</v>
      </c>
      <c r="S100" s="15" t="s">
        <v>364</v>
      </c>
      <c r="T100" s="15" t="s">
        <v>364</v>
      </c>
      <c r="U100" s="17" t="s">
        <v>364</v>
      </c>
      <c r="V100" s="17">
        <v>1.628571428571429</v>
      </c>
      <c r="W100" s="17">
        <v>0.47199808728767906</v>
      </c>
      <c r="X100" s="17">
        <v>2.4838709677419355</v>
      </c>
      <c r="Y100" s="17">
        <v>1.8619992452865364</v>
      </c>
      <c r="Z100" s="73">
        <v>0</v>
      </c>
      <c r="AA100" s="73">
        <v>0</v>
      </c>
      <c r="AC100"/>
      <c r="AD100"/>
      <c r="AE100"/>
      <c r="AF100"/>
      <c r="AG100"/>
      <c r="AH100"/>
      <c r="AI100"/>
      <c r="AJ100"/>
      <c r="AK100"/>
      <c r="AL100"/>
      <c r="AM100"/>
    </row>
    <row r="101" spans="1:39" s="3" customFormat="1" collapsed="1" x14ac:dyDescent="0.25">
      <c r="A101" s="21" t="s">
        <v>22</v>
      </c>
      <c r="B101" s="21" t="s">
        <v>49</v>
      </c>
      <c r="C101" s="21" t="s">
        <v>114</v>
      </c>
      <c r="D101" s="15">
        <v>10.086956521739131</v>
      </c>
      <c r="E101" s="57">
        <v>239.80030172413819</v>
      </c>
      <c r="F101" s="15">
        <v>2418.8552173913072</v>
      </c>
      <c r="G101" s="15">
        <v>8.7407407407407405</v>
      </c>
      <c r="H101" s="57">
        <v>229.48165254237279</v>
      </c>
      <c r="I101" s="15">
        <v>2005.8396296296287</v>
      </c>
      <c r="J101" s="15">
        <v>12</v>
      </c>
      <c r="K101" s="14">
        <v>248.01916666666668</v>
      </c>
      <c r="L101" s="15">
        <v>2976.23</v>
      </c>
      <c r="M101" s="15" t="s">
        <v>364</v>
      </c>
      <c r="N101" s="15" t="s">
        <v>364</v>
      </c>
      <c r="O101" s="15" t="s">
        <v>364</v>
      </c>
      <c r="P101" s="15" t="s">
        <v>364</v>
      </c>
      <c r="Q101" s="15" t="s">
        <v>364</v>
      </c>
      <c r="R101" s="15" t="s">
        <v>364</v>
      </c>
      <c r="S101" s="15" t="s">
        <v>364</v>
      </c>
      <c r="T101" s="15" t="s">
        <v>364</v>
      </c>
      <c r="U101" s="17" t="s">
        <v>364</v>
      </c>
      <c r="V101" s="17">
        <v>0.18965517241379307</v>
      </c>
      <c r="W101" s="17">
        <v>0.23042916277139222</v>
      </c>
      <c r="X101" s="17">
        <v>0.37288135593220345</v>
      </c>
      <c r="Y101" s="17">
        <v>0.48378262949643214</v>
      </c>
      <c r="Z101" s="73">
        <v>0</v>
      </c>
      <c r="AA101" s="73">
        <v>0</v>
      </c>
      <c r="AC101"/>
      <c r="AD101"/>
      <c r="AE101"/>
      <c r="AF101"/>
      <c r="AG101"/>
      <c r="AH101"/>
      <c r="AI101"/>
      <c r="AJ101"/>
      <c r="AK101"/>
      <c r="AL101"/>
      <c r="AM101"/>
    </row>
    <row r="102" spans="1:39" s="3" customFormat="1" collapsed="1" x14ac:dyDescent="0.25">
      <c r="A102" s="21" t="s">
        <v>22</v>
      </c>
      <c r="B102" s="21" t="s">
        <v>49</v>
      </c>
      <c r="C102" s="21" t="s">
        <v>115</v>
      </c>
      <c r="D102" s="15">
        <v>6</v>
      </c>
      <c r="E102" s="57">
        <v>668.8168840579707</v>
      </c>
      <c r="F102" s="15">
        <v>4012.9013043478244</v>
      </c>
      <c r="G102" s="15">
        <v>7.2592592592592586</v>
      </c>
      <c r="H102" s="57">
        <v>660.86836734693895</v>
      </c>
      <c r="I102" s="15">
        <v>4797.4148148148161</v>
      </c>
      <c r="J102" s="15">
        <v>3</v>
      </c>
      <c r="K102" s="14">
        <v>929.75333333333322</v>
      </c>
      <c r="L102" s="15">
        <v>2789.2599999999998</v>
      </c>
      <c r="M102" s="15" t="s">
        <v>364</v>
      </c>
      <c r="N102" s="15" t="s">
        <v>364</v>
      </c>
      <c r="O102" s="15" t="s">
        <v>364</v>
      </c>
      <c r="P102" s="15" t="s">
        <v>364</v>
      </c>
      <c r="Q102" s="15" t="s">
        <v>364</v>
      </c>
      <c r="R102" s="15" t="s">
        <v>364</v>
      </c>
      <c r="S102" s="15" t="s">
        <v>364</v>
      </c>
      <c r="T102" s="15" t="s">
        <v>364</v>
      </c>
      <c r="U102" s="17" t="s">
        <v>364</v>
      </c>
      <c r="V102" s="17">
        <v>-0.5</v>
      </c>
      <c r="W102" s="17">
        <v>-0.30492683760302208</v>
      </c>
      <c r="X102" s="17">
        <v>-0.58673469387755095</v>
      </c>
      <c r="Y102" s="17">
        <v>-0.41859103128073627</v>
      </c>
      <c r="Z102" s="73">
        <v>0</v>
      </c>
      <c r="AA102" s="73">
        <v>0</v>
      </c>
      <c r="AC102"/>
      <c r="AD102"/>
      <c r="AE102"/>
      <c r="AF102"/>
      <c r="AG102"/>
      <c r="AH102"/>
      <c r="AI102"/>
      <c r="AJ102"/>
      <c r="AK102"/>
      <c r="AL102"/>
      <c r="AM102"/>
    </row>
    <row r="103" spans="1:39" s="3" customFormat="1" collapsed="1" x14ac:dyDescent="0.25">
      <c r="A103" s="21" t="s">
        <v>22</v>
      </c>
      <c r="B103" s="21" t="s">
        <v>49</v>
      </c>
      <c r="C103" s="21" t="s">
        <v>116</v>
      </c>
      <c r="D103" s="15">
        <v>6.2173913043478262</v>
      </c>
      <c r="E103" s="57">
        <v>392.89314685314667</v>
      </c>
      <c r="F103" s="15">
        <v>2442.7704347826075</v>
      </c>
      <c r="G103" s="15">
        <v>7.333333333333333</v>
      </c>
      <c r="H103" s="57">
        <v>455.8660606060605</v>
      </c>
      <c r="I103" s="15">
        <v>3343.0177777777767</v>
      </c>
      <c r="J103" s="15">
        <v>6</v>
      </c>
      <c r="K103" s="14">
        <v>243.78333333333333</v>
      </c>
      <c r="L103" s="15">
        <v>1462.7</v>
      </c>
      <c r="M103" s="15" t="s">
        <v>364</v>
      </c>
      <c r="N103" s="15" t="s">
        <v>364</v>
      </c>
      <c r="O103" s="15" t="s">
        <v>364</v>
      </c>
      <c r="P103" s="15" t="s">
        <v>364</v>
      </c>
      <c r="Q103" s="15" t="s">
        <v>364</v>
      </c>
      <c r="R103" s="15" t="s">
        <v>364</v>
      </c>
      <c r="S103" s="15" t="s">
        <v>364</v>
      </c>
      <c r="T103" s="15" t="s">
        <v>364</v>
      </c>
      <c r="U103" s="17" t="s">
        <v>364</v>
      </c>
      <c r="V103" s="17">
        <v>-3.4965034965034975E-2</v>
      </c>
      <c r="W103" s="17">
        <v>-0.40121266445155257</v>
      </c>
      <c r="X103" s="17">
        <v>-0.1818181818181818</v>
      </c>
      <c r="Y103" s="17">
        <v>-0.56246119607167955</v>
      </c>
      <c r="Z103" s="73">
        <v>0</v>
      </c>
      <c r="AA103" s="73">
        <v>0</v>
      </c>
      <c r="AC103"/>
      <c r="AD103"/>
      <c r="AE103"/>
      <c r="AF103"/>
      <c r="AG103"/>
      <c r="AH103"/>
      <c r="AI103"/>
      <c r="AJ103"/>
      <c r="AK103"/>
      <c r="AL103"/>
      <c r="AM103"/>
    </row>
    <row r="104" spans="1:39" s="3" customFormat="1" collapsed="1" x14ac:dyDescent="0.25">
      <c r="A104" s="21" t="s">
        <v>22</v>
      </c>
      <c r="B104" s="21" t="s">
        <v>49</v>
      </c>
      <c r="C104" s="21" t="s">
        <v>117</v>
      </c>
      <c r="D104" s="15">
        <v>18.826086956521738</v>
      </c>
      <c r="E104" s="57">
        <v>431.70286374133968</v>
      </c>
      <c r="F104" s="15">
        <v>8127.2756521739166</v>
      </c>
      <c r="G104" s="15">
        <v>13.222222222222221</v>
      </c>
      <c r="H104" s="57">
        <v>336.38215686274521</v>
      </c>
      <c r="I104" s="15">
        <v>4447.7196296296306</v>
      </c>
      <c r="J104" s="15">
        <v>18</v>
      </c>
      <c r="K104" s="14">
        <v>282.07666666666665</v>
      </c>
      <c r="L104" s="15">
        <v>5077.38</v>
      </c>
      <c r="M104" s="15" t="s">
        <v>364</v>
      </c>
      <c r="N104" s="15" t="s">
        <v>364</v>
      </c>
      <c r="O104" s="15" t="s">
        <v>364</v>
      </c>
      <c r="P104" s="15" t="s">
        <v>364</v>
      </c>
      <c r="Q104" s="15" t="s">
        <v>364</v>
      </c>
      <c r="R104" s="15" t="s">
        <v>364</v>
      </c>
      <c r="S104" s="15" t="s">
        <v>364</v>
      </c>
      <c r="T104" s="15" t="s">
        <v>364</v>
      </c>
      <c r="U104" s="17" t="s">
        <v>364</v>
      </c>
      <c r="V104" s="17">
        <v>-4.3879907621247077E-2</v>
      </c>
      <c r="W104" s="17">
        <v>-0.37526666778653167</v>
      </c>
      <c r="X104" s="17">
        <v>0.36134453781512615</v>
      </c>
      <c r="Y104" s="17">
        <v>0.14156925858719255</v>
      </c>
      <c r="Z104" s="73">
        <v>0</v>
      </c>
      <c r="AA104" s="73">
        <v>0</v>
      </c>
      <c r="AC104"/>
      <c r="AD104"/>
      <c r="AE104"/>
      <c r="AF104"/>
      <c r="AG104"/>
      <c r="AH104"/>
      <c r="AI104"/>
      <c r="AJ104"/>
      <c r="AK104"/>
      <c r="AL104"/>
      <c r="AM104"/>
    </row>
    <row r="105" spans="1:39" s="3" customFormat="1" collapsed="1" x14ac:dyDescent="0.25">
      <c r="A105" s="21" t="s">
        <v>22</v>
      </c>
      <c r="B105" s="21" t="s">
        <v>49</v>
      </c>
      <c r="C105" s="21" t="s">
        <v>118</v>
      </c>
      <c r="D105" s="15">
        <v>13.826086956521738</v>
      </c>
      <c r="E105" s="57">
        <v>367.5606603773586</v>
      </c>
      <c r="F105" s="15">
        <v>5081.9256521739144</v>
      </c>
      <c r="G105" s="15">
        <v>17.592592592592592</v>
      </c>
      <c r="H105" s="57">
        <v>337.78873684210606</v>
      </c>
      <c r="I105" s="15">
        <v>5942.579629629643</v>
      </c>
      <c r="J105" s="15">
        <v>11</v>
      </c>
      <c r="K105" s="14">
        <v>319.69818181818187</v>
      </c>
      <c r="L105" s="15">
        <v>3516.6800000000003</v>
      </c>
      <c r="M105" s="15" t="s">
        <v>364</v>
      </c>
      <c r="N105" s="15" t="s">
        <v>364</v>
      </c>
      <c r="O105" s="15" t="s">
        <v>364</v>
      </c>
      <c r="P105" s="15" t="s">
        <v>364</v>
      </c>
      <c r="Q105" s="15" t="s">
        <v>364</v>
      </c>
      <c r="R105" s="15" t="s">
        <v>364</v>
      </c>
      <c r="S105" s="15" t="s">
        <v>364</v>
      </c>
      <c r="T105" s="15" t="s">
        <v>364</v>
      </c>
      <c r="U105" s="17" t="s">
        <v>364</v>
      </c>
      <c r="V105" s="17">
        <v>-0.20440251572327039</v>
      </c>
      <c r="W105" s="17">
        <v>-0.3080024697929894</v>
      </c>
      <c r="X105" s="17">
        <v>-0.37473684210526315</v>
      </c>
      <c r="Y105" s="17">
        <v>-0.40822332738027289</v>
      </c>
      <c r="Z105" s="73">
        <v>0</v>
      </c>
      <c r="AA105" s="73">
        <v>0</v>
      </c>
      <c r="AC105"/>
      <c r="AD105"/>
      <c r="AE105"/>
      <c r="AF105"/>
      <c r="AG105"/>
      <c r="AH105"/>
      <c r="AI105"/>
      <c r="AJ105"/>
      <c r="AK105"/>
      <c r="AL105"/>
      <c r="AM105"/>
    </row>
    <row r="106" spans="1:39" s="3" customFormat="1" collapsed="1" x14ac:dyDescent="0.25">
      <c r="A106" s="21" t="s">
        <v>22</v>
      </c>
      <c r="B106" s="21" t="s">
        <v>49</v>
      </c>
      <c r="C106" s="21" t="s">
        <v>119</v>
      </c>
      <c r="D106" s="15">
        <v>1.826086956521739</v>
      </c>
      <c r="E106" s="57">
        <v>1239.7895238095236</v>
      </c>
      <c r="F106" s="15">
        <v>2263.9634782608691</v>
      </c>
      <c r="G106" s="15">
        <v>2.6666666666666665</v>
      </c>
      <c r="H106" s="57">
        <v>1400.8473611111112</v>
      </c>
      <c r="I106" s="15">
        <v>3735.5929629629632</v>
      </c>
      <c r="J106" s="15">
        <v>0</v>
      </c>
      <c r="K106" s="14" t="s">
        <v>364</v>
      </c>
      <c r="L106" s="15">
        <v>0</v>
      </c>
      <c r="M106" s="15" t="s">
        <v>364</v>
      </c>
      <c r="N106" s="15" t="s">
        <v>364</v>
      </c>
      <c r="O106" s="15" t="s">
        <v>364</v>
      </c>
      <c r="P106" s="15" t="s">
        <v>364</v>
      </c>
      <c r="Q106" s="15" t="s">
        <v>364</v>
      </c>
      <c r="R106" s="15" t="s">
        <v>364</v>
      </c>
      <c r="S106" s="15" t="s">
        <v>364</v>
      </c>
      <c r="T106" s="15" t="s">
        <v>364</v>
      </c>
      <c r="U106" s="17" t="s">
        <v>364</v>
      </c>
      <c r="V106" s="17">
        <v>-1</v>
      </c>
      <c r="W106" s="17">
        <v>-1</v>
      </c>
      <c r="X106" s="17">
        <v>-1</v>
      </c>
      <c r="Y106" s="17">
        <v>-1</v>
      </c>
      <c r="Z106" s="73">
        <v>0</v>
      </c>
      <c r="AA106" s="73">
        <v>0</v>
      </c>
      <c r="AC106"/>
      <c r="AD106"/>
      <c r="AE106"/>
      <c r="AF106"/>
      <c r="AG106"/>
      <c r="AH106"/>
      <c r="AI106"/>
      <c r="AJ106"/>
      <c r="AK106"/>
      <c r="AL106"/>
      <c r="AM106"/>
    </row>
    <row r="107" spans="1:39" s="3" customFormat="1" collapsed="1" x14ac:dyDescent="0.25">
      <c r="A107" s="21" t="s">
        <v>22</v>
      </c>
      <c r="B107" s="21" t="s">
        <v>49</v>
      </c>
      <c r="C107" s="21" t="s">
        <v>120</v>
      </c>
      <c r="D107" s="15">
        <v>0</v>
      </c>
      <c r="E107" s="57" t="s">
        <v>364</v>
      </c>
      <c r="F107" s="15">
        <v>0</v>
      </c>
      <c r="G107" s="15">
        <v>0</v>
      </c>
      <c r="H107" s="57" t="s">
        <v>364</v>
      </c>
      <c r="I107" s="15">
        <v>7.5</v>
      </c>
      <c r="J107" s="15">
        <v>0</v>
      </c>
      <c r="K107" s="14" t="s">
        <v>364</v>
      </c>
      <c r="L107" s="15">
        <v>0</v>
      </c>
      <c r="M107" s="15" t="s">
        <v>364</v>
      </c>
      <c r="N107" s="15" t="s">
        <v>364</v>
      </c>
      <c r="O107" s="15" t="s">
        <v>364</v>
      </c>
      <c r="P107" s="15" t="s">
        <v>364</v>
      </c>
      <c r="Q107" s="15" t="s">
        <v>364</v>
      </c>
      <c r="R107" s="15" t="s">
        <v>364</v>
      </c>
      <c r="S107" s="15" t="s">
        <v>364</v>
      </c>
      <c r="T107" s="15" t="s">
        <v>364</v>
      </c>
      <c r="U107" s="17" t="s">
        <v>364</v>
      </c>
      <c r="V107" s="17" t="s">
        <v>364</v>
      </c>
      <c r="W107" s="17" t="s">
        <v>364</v>
      </c>
      <c r="X107" s="17" t="s">
        <v>364</v>
      </c>
      <c r="Y107" s="17">
        <v>-1</v>
      </c>
      <c r="Z107" s="73">
        <v>0</v>
      </c>
      <c r="AA107" s="73">
        <v>0</v>
      </c>
      <c r="AC107"/>
      <c r="AD107"/>
      <c r="AE107"/>
      <c r="AF107"/>
      <c r="AG107"/>
      <c r="AH107"/>
      <c r="AI107"/>
      <c r="AJ107"/>
      <c r="AK107"/>
      <c r="AL107"/>
      <c r="AM107"/>
    </row>
    <row r="108" spans="1:39" s="3" customFormat="1" collapsed="1" x14ac:dyDescent="0.25">
      <c r="A108" s="21" t="s">
        <v>22</v>
      </c>
      <c r="B108" s="21" t="s">
        <v>49</v>
      </c>
      <c r="C108" s="21" t="s">
        <v>121</v>
      </c>
      <c r="D108" s="15">
        <v>0</v>
      </c>
      <c r="E108" s="57" t="s">
        <v>364</v>
      </c>
      <c r="F108" s="15">
        <v>0</v>
      </c>
      <c r="G108" s="15">
        <v>7.407407407407407E-2</v>
      </c>
      <c r="H108" s="57">
        <v>3140.2299999999996</v>
      </c>
      <c r="I108" s="15">
        <v>232.60962962962958</v>
      </c>
      <c r="J108" s="15">
        <v>0</v>
      </c>
      <c r="K108" s="14" t="s">
        <v>364</v>
      </c>
      <c r="L108" s="15">
        <v>0</v>
      </c>
      <c r="M108" s="15" t="s">
        <v>364</v>
      </c>
      <c r="N108" s="15" t="s">
        <v>364</v>
      </c>
      <c r="O108" s="15" t="s">
        <v>364</v>
      </c>
      <c r="P108" s="15" t="s">
        <v>364</v>
      </c>
      <c r="Q108" s="15" t="s">
        <v>364</v>
      </c>
      <c r="R108" s="15" t="s">
        <v>364</v>
      </c>
      <c r="S108" s="15" t="s">
        <v>364</v>
      </c>
      <c r="T108" s="15" t="s">
        <v>364</v>
      </c>
      <c r="U108" s="17" t="s">
        <v>364</v>
      </c>
      <c r="V108" s="17" t="s">
        <v>364</v>
      </c>
      <c r="W108" s="17" t="s">
        <v>364</v>
      </c>
      <c r="X108" s="17">
        <v>-1</v>
      </c>
      <c r="Y108" s="17">
        <v>-1</v>
      </c>
      <c r="Z108" s="73">
        <v>0</v>
      </c>
      <c r="AA108" s="73">
        <v>0</v>
      </c>
      <c r="AC108"/>
      <c r="AD108"/>
      <c r="AE108"/>
      <c r="AF108"/>
      <c r="AG108"/>
      <c r="AH108"/>
      <c r="AI108"/>
      <c r="AJ108"/>
      <c r="AK108"/>
      <c r="AL108"/>
      <c r="AM108"/>
    </row>
    <row r="109" spans="1:39" s="3" customFormat="1" collapsed="1" x14ac:dyDescent="0.25">
      <c r="A109" s="21" t="s">
        <v>22</v>
      </c>
      <c r="B109" s="21" t="s">
        <v>49</v>
      </c>
      <c r="C109" s="21" t="s">
        <v>122</v>
      </c>
      <c r="D109" s="15">
        <v>0</v>
      </c>
      <c r="E109" s="57" t="s">
        <v>364</v>
      </c>
      <c r="F109" s="15">
        <v>0</v>
      </c>
      <c r="G109" s="15">
        <v>0</v>
      </c>
      <c r="H109" s="57" t="s">
        <v>364</v>
      </c>
      <c r="I109" s="15">
        <v>0</v>
      </c>
      <c r="J109" s="15">
        <v>0</v>
      </c>
      <c r="K109" s="14" t="s">
        <v>364</v>
      </c>
      <c r="L109" s="15">
        <v>0</v>
      </c>
      <c r="M109" s="15" t="s">
        <v>364</v>
      </c>
      <c r="N109" s="15" t="s">
        <v>364</v>
      </c>
      <c r="O109" s="15" t="s">
        <v>364</v>
      </c>
      <c r="P109" s="15" t="s">
        <v>364</v>
      </c>
      <c r="Q109" s="15" t="s">
        <v>364</v>
      </c>
      <c r="R109" s="15" t="s">
        <v>364</v>
      </c>
      <c r="S109" s="15" t="s">
        <v>364</v>
      </c>
      <c r="T109" s="15" t="s">
        <v>364</v>
      </c>
      <c r="U109" s="17" t="s">
        <v>364</v>
      </c>
      <c r="V109" s="17" t="s">
        <v>364</v>
      </c>
      <c r="W109" s="17" t="s">
        <v>364</v>
      </c>
      <c r="X109" s="17" t="s">
        <v>364</v>
      </c>
      <c r="Y109" s="17" t="s">
        <v>364</v>
      </c>
      <c r="Z109" s="73">
        <v>0</v>
      </c>
      <c r="AA109" s="73">
        <v>0</v>
      </c>
      <c r="AC109"/>
      <c r="AD109"/>
      <c r="AE109"/>
      <c r="AF109"/>
      <c r="AG109"/>
      <c r="AH109"/>
      <c r="AI109"/>
      <c r="AJ109"/>
      <c r="AK109"/>
      <c r="AL109"/>
      <c r="AM109"/>
    </row>
    <row r="110" spans="1:39" s="3" customFormat="1" collapsed="1" x14ac:dyDescent="0.25">
      <c r="A110" s="21" t="s">
        <v>22</v>
      </c>
      <c r="B110" s="21" t="s">
        <v>49</v>
      </c>
      <c r="C110" s="21" t="s">
        <v>123</v>
      </c>
      <c r="D110" s="15">
        <v>0.21739130434782608</v>
      </c>
      <c r="E110" s="57">
        <v>1788.5920000000001</v>
      </c>
      <c r="F110" s="15">
        <v>388.82434782608698</v>
      </c>
      <c r="G110" s="15">
        <v>3.7037037037037035E-2</v>
      </c>
      <c r="H110" s="57">
        <v>831.69999999999993</v>
      </c>
      <c r="I110" s="15">
        <v>30.8037037037037</v>
      </c>
      <c r="J110" s="15">
        <v>0</v>
      </c>
      <c r="K110" s="14" t="s">
        <v>364</v>
      </c>
      <c r="L110" s="15">
        <v>0</v>
      </c>
      <c r="M110" s="15" t="s">
        <v>364</v>
      </c>
      <c r="N110" s="15" t="s">
        <v>364</v>
      </c>
      <c r="O110" s="15" t="s">
        <v>364</v>
      </c>
      <c r="P110" s="15" t="s">
        <v>364</v>
      </c>
      <c r="Q110" s="15" t="s">
        <v>364</v>
      </c>
      <c r="R110" s="15" t="s">
        <v>364</v>
      </c>
      <c r="S110" s="15" t="s">
        <v>364</v>
      </c>
      <c r="T110" s="15" t="s">
        <v>364</v>
      </c>
      <c r="U110" s="17" t="s">
        <v>364</v>
      </c>
      <c r="V110" s="17">
        <v>-1</v>
      </c>
      <c r="W110" s="17">
        <v>-1</v>
      </c>
      <c r="X110" s="17">
        <v>-1</v>
      </c>
      <c r="Y110" s="17">
        <v>-1</v>
      </c>
      <c r="Z110" s="73">
        <v>0</v>
      </c>
      <c r="AA110" s="73">
        <v>0</v>
      </c>
      <c r="AC110"/>
      <c r="AD110"/>
      <c r="AE110"/>
      <c r="AF110"/>
      <c r="AG110"/>
      <c r="AH110"/>
      <c r="AI110"/>
      <c r="AJ110"/>
      <c r="AK110"/>
      <c r="AL110"/>
      <c r="AM110"/>
    </row>
    <row r="111" spans="1:39" s="3" customFormat="1" collapsed="1" x14ac:dyDescent="0.25">
      <c r="A111" s="21" t="s">
        <v>22</v>
      </c>
      <c r="B111" s="21" t="s">
        <v>49</v>
      </c>
      <c r="C111" s="21" t="s">
        <v>124</v>
      </c>
      <c r="D111" s="15">
        <v>2</v>
      </c>
      <c r="E111" s="57">
        <v>2808.836956521739</v>
      </c>
      <c r="F111" s="15">
        <v>5617.673913043478</v>
      </c>
      <c r="G111" s="15">
        <v>2.2222222222222223</v>
      </c>
      <c r="H111" s="57">
        <v>2099.7499999999995</v>
      </c>
      <c r="I111" s="15">
        <v>4666.1111111111104</v>
      </c>
      <c r="J111" s="15">
        <v>2</v>
      </c>
      <c r="K111" s="14">
        <v>403.75</v>
      </c>
      <c r="L111" s="15">
        <v>807.5</v>
      </c>
      <c r="M111" s="15" t="s">
        <v>364</v>
      </c>
      <c r="N111" s="15" t="s">
        <v>364</v>
      </c>
      <c r="O111" s="15" t="s">
        <v>364</v>
      </c>
      <c r="P111" s="15" t="s">
        <v>364</v>
      </c>
      <c r="Q111" s="15" t="s">
        <v>364</v>
      </c>
      <c r="R111" s="15" t="s">
        <v>364</v>
      </c>
      <c r="S111" s="15" t="s">
        <v>364</v>
      </c>
      <c r="T111" s="15" t="s">
        <v>364</v>
      </c>
      <c r="U111" s="17" t="s">
        <v>364</v>
      </c>
      <c r="V111" s="17">
        <v>0</v>
      </c>
      <c r="W111" s="17">
        <v>-0.85625723164082301</v>
      </c>
      <c r="X111" s="17">
        <v>-0.10000000000000003</v>
      </c>
      <c r="Y111" s="17">
        <v>-0.82694368377187755</v>
      </c>
      <c r="Z111" s="73">
        <v>0</v>
      </c>
      <c r="AA111" s="73">
        <v>0</v>
      </c>
      <c r="AC111"/>
      <c r="AD111"/>
      <c r="AE111"/>
      <c r="AF111"/>
      <c r="AG111"/>
      <c r="AH111"/>
      <c r="AI111"/>
      <c r="AJ111"/>
      <c r="AK111"/>
      <c r="AL111"/>
      <c r="AM111"/>
    </row>
    <row r="112" spans="1:39" s="3" customFormat="1" collapsed="1" x14ac:dyDescent="0.25">
      <c r="A112" s="21" t="s">
        <v>22</v>
      </c>
      <c r="B112" s="21" t="s">
        <v>49</v>
      </c>
      <c r="C112" s="21" t="s">
        <v>125</v>
      </c>
      <c r="D112" s="15">
        <v>1.5652173913043477</v>
      </c>
      <c r="E112" s="57">
        <v>563.64666666666665</v>
      </c>
      <c r="F112" s="15">
        <v>882.22956521739127</v>
      </c>
      <c r="G112" s="15">
        <v>0.62962962962962954</v>
      </c>
      <c r="H112" s="57">
        <v>769.08764705882345</v>
      </c>
      <c r="I112" s="15">
        <v>484.24037037037027</v>
      </c>
      <c r="J112" s="15">
        <v>4</v>
      </c>
      <c r="K112" s="14">
        <v>227.2525</v>
      </c>
      <c r="L112" s="15">
        <v>909.01</v>
      </c>
      <c r="M112" s="15" t="s">
        <v>364</v>
      </c>
      <c r="N112" s="15" t="s">
        <v>364</v>
      </c>
      <c r="O112" s="15" t="s">
        <v>364</v>
      </c>
      <c r="P112" s="15" t="s">
        <v>364</v>
      </c>
      <c r="Q112" s="15" t="s">
        <v>364</v>
      </c>
      <c r="R112" s="15" t="s">
        <v>364</v>
      </c>
      <c r="S112" s="15" t="s">
        <v>364</v>
      </c>
      <c r="T112" s="15" t="s">
        <v>364</v>
      </c>
      <c r="U112" s="17" t="s">
        <v>364</v>
      </c>
      <c r="V112" s="17">
        <v>1.5555555555555558</v>
      </c>
      <c r="W112" s="17">
        <v>3.0355403897634879E-2</v>
      </c>
      <c r="X112" s="17">
        <v>5.3529411764705888</v>
      </c>
      <c r="Y112" s="17">
        <v>0.8771875614268706</v>
      </c>
      <c r="Z112" s="73">
        <v>0</v>
      </c>
      <c r="AA112" s="73">
        <v>0</v>
      </c>
      <c r="AC112"/>
      <c r="AD112"/>
      <c r="AE112"/>
      <c r="AF112"/>
      <c r="AG112"/>
      <c r="AH112"/>
      <c r="AI112"/>
      <c r="AJ112"/>
      <c r="AK112"/>
      <c r="AL112"/>
      <c r="AM112"/>
    </row>
    <row r="113" spans="1:39" s="3" customFormat="1" collapsed="1" x14ac:dyDescent="0.25">
      <c r="A113" s="21" t="s">
        <v>22</v>
      </c>
      <c r="B113" s="21" t="s">
        <v>49</v>
      </c>
      <c r="C113" s="21" t="s">
        <v>126</v>
      </c>
      <c r="D113" s="15">
        <v>0</v>
      </c>
      <c r="E113" s="57" t="s">
        <v>364</v>
      </c>
      <c r="F113" s="15">
        <v>0</v>
      </c>
      <c r="G113" s="15">
        <v>1.7037037037037037</v>
      </c>
      <c r="H113" s="57">
        <v>421.4204347826086</v>
      </c>
      <c r="I113" s="15">
        <v>717.97555555555539</v>
      </c>
      <c r="J113" s="15">
        <v>1</v>
      </c>
      <c r="K113" s="14">
        <v>138</v>
      </c>
      <c r="L113" s="15">
        <v>138</v>
      </c>
      <c r="M113" s="15" t="s">
        <v>364</v>
      </c>
      <c r="N113" s="15" t="s">
        <v>364</v>
      </c>
      <c r="O113" s="15" t="s">
        <v>364</v>
      </c>
      <c r="P113" s="15" t="s">
        <v>364</v>
      </c>
      <c r="Q113" s="15" t="s">
        <v>364</v>
      </c>
      <c r="R113" s="15" t="s">
        <v>364</v>
      </c>
      <c r="S113" s="15" t="s">
        <v>364</v>
      </c>
      <c r="T113" s="15" t="s">
        <v>364</v>
      </c>
      <c r="U113" s="17" t="s">
        <v>364</v>
      </c>
      <c r="V113" s="17" t="s">
        <v>364</v>
      </c>
      <c r="W113" s="17" t="s">
        <v>364</v>
      </c>
      <c r="X113" s="17">
        <v>-0.41304347826086957</v>
      </c>
      <c r="Y113" s="17">
        <v>-0.80779289917019759</v>
      </c>
      <c r="Z113" s="73">
        <v>0</v>
      </c>
      <c r="AA113" s="73">
        <v>0</v>
      </c>
      <c r="AC113"/>
      <c r="AD113"/>
      <c r="AE113"/>
      <c r="AF113"/>
      <c r="AG113"/>
      <c r="AH113"/>
      <c r="AI113"/>
      <c r="AJ113"/>
      <c r="AK113"/>
      <c r="AL113"/>
      <c r="AM113"/>
    </row>
    <row r="114" spans="1:39" s="3" customFormat="1" collapsed="1" x14ac:dyDescent="0.25">
      <c r="A114" s="21" t="s">
        <v>22</v>
      </c>
      <c r="B114" s="21" t="s">
        <v>49</v>
      </c>
      <c r="C114" s="21" t="s">
        <v>127</v>
      </c>
      <c r="D114" s="15">
        <v>0</v>
      </c>
      <c r="E114" s="57" t="s">
        <v>364</v>
      </c>
      <c r="F114" s="15">
        <v>0</v>
      </c>
      <c r="G114" s="15">
        <v>1.8518518518518516</v>
      </c>
      <c r="H114" s="57">
        <v>342.7808</v>
      </c>
      <c r="I114" s="15">
        <v>634.77925925925922</v>
      </c>
      <c r="J114" s="15">
        <v>0</v>
      </c>
      <c r="K114" s="14" t="s">
        <v>364</v>
      </c>
      <c r="L114" s="15">
        <v>0</v>
      </c>
      <c r="M114" s="15" t="s">
        <v>364</v>
      </c>
      <c r="N114" s="15" t="s">
        <v>364</v>
      </c>
      <c r="O114" s="15" t="s">
        <v>364</v>
      </c>
      <c r="P114" s="15" t="s">
        <v>364</v>
      </c>
      <c r="Q114" s="15" t="s">
        <v>364</v>
      </c>
      <c r="R114" s="15" t="s">
        <v>364</v>
      </c>
      <c r="S114" s="15" t="s">
        <v>364</v>
      </c>
      <c r="T114" s="15" t="s">
        <v>364</v>
      </c>
      <c r="U114" s="17" t="s">
        <v>364</v>
      </c>
      <c r="V114" s="17" t="s">
        <v>364</v>
      </c>
      <c r="W114" s="17" t="s">
        <v>364</v>
      </c>
      <c r="X114" s="17">
        <v>-1</v>
      </c>
      <c r="Y114" s="17">
        <v>-1</v>
      </c>
      <c r="Z114" s="73">
        <v>0</v>
      </c>
      <c r="AA114" s="73">
        <v>0</v>
      </c>
      <c r="AC114"/>
      <c r="AD114"/>
      <c r="AE114"/>
      <c r="AF114"/>
      <c r="AG114"/>
      <c r="AH114"/>
      <c r="AI114"/>
      <c r="AJ114"/>
      <c r="AK114"/>
      <c r="AL114"/>
      <c r="AM114"/>
    </row>
    <row r="115" spans="1:39" s="3" customFormat="1" collapsed="1" x14ac:dyDescent="0.25">
      <c r="A115" s="21" t="s">
        <v>22</v>
      </c>
      <c r="B115" s="21" t="s">
        <v>49</v>
      </c>
      <c r="C115" s="21" t="s">
        <v>128</v>
      </c>
      <c r="D115" s="15">
        <v>1.7391304347826086</v>
      </c>
      <c r="E115" s="57">
        <v>362.93124999999998</v>
      </c>
      <c r="F115" s="15">
        <v>631.18478260869563</v>
      </c>
      <c r="G115" s="15">
        <v>1.6666666666666665</v>
      </c>
      <c r="H115" s="57">
        <v>372.834888888889</v>
      </c>
      <c r="I115" s="15">
        <v>621.39148148148161</v>
      </c>
      <c r="J115" s="15">
        <v>1</v>
      </c>
      <c r="K115" s="14">
        <v>304.60000000000002</v>
      </c>
      <c r="L115" s="15">
        <v>304.60000000000002</v>
      </c>
      <c r="M115" s="15" t="s">
        <v>364</v>
      </c>
      <c r="N115" s="15" t="s">
        <v>364</v>
      </c>
      <c r="O115" s="15" t="s">
        <v>364</v>
      </c>
      <c r="P115" s="15" t="s">
        <v>364</v>
      </c>
      <c r="Q115" s="15" t="s">
        <v>364</v>
      </c>
      <c r="R115" s="15" t="s">
        <v>364</v>
      </c>
      <c r="S115" s="15" t="s">
        <v>364</v>
      </c>
      <c r="T115" s="15" t="s">
        <v>364</v>
      </c>
      <c r="U115" s="17" t="s">
        <v>364</v>
      </c>
      <c r="V115" s="17">
        <v>-0.42499999999999999</v>
      </c>
      <c r="W115" s="17">
        <v>-0.51741548847061247</v>
      </c>
      <c r="X115" s="17">
        <v>-0.39999999999999997</v>
      </c>
      <c r="Y115" s="17">
        <v>-0.50980982347264836</v>
      </c>
      <c r="Z115" s="73">
        <v>0</v>
      </c>
      <c r="AA115" s="73">
        <v>0</v>
      </c>
      <c r="AC115"/>
      <c r="AD115"/>
      <c r="AE115"/>
      <c r="AF115"/>
      <c r="AG115"/>
      <c r="AH115"/>
      <c r="AI115"/>
      <c r="AJ115"/>
      <c r="AK115"/>
      <c r="AL115"/>
      <c r="AM115"/>
    </row>
    <row r="116" spans="1:39" s="3" customFormat="1" collapsed="1" x14ac:dyDescent="0.25">
      <c r="A116" s="21" t="s">
        <v>22</v>
      </c>
      <c r="B116" s="21" t="s">
        <v>49</v>
      </c>
      <c r="C116" s="21" t="s">
        <v>129</v>
      </c>
      <c r="D116" s="15">
        <v>0</v>
      </c>
      <c r="E116" s="57" t="s">
        <v>364</v>
      </c>
      <c r="F116" s="15">
        <v>0</v>
      </c>
      <c r="G116" s="15">
        <v>11.407407407407407</v>
      </c>
      <c r="H116" s="57">
        <v>74.428409090909057</v>
      </c>
      <c r="I116" s="15">
        <v>849.03518518518467</v>
      </c>
      <c r="J116" s="15">
        <v>3</v>
      </c>
      <c r="K116" s="14">
        <v>645.5</v>
      </c>
      <c r="L116" s="15">
        <v>1936.5</v>
      </c>
      <c r="M116" s="15" t="s">
        <v>364</v>
      </c>
      <c r="N116" s="15" t="s">
        <v>364</v>
      </c>
      <c r="O116" s="15" t="s">
        <v>364</v>
      </c>
      <c r="P116" s="15" t="s">
        <v>364</v>
      </c>
      <c r="Q116" s="15" t="s">
        <v>364</v>
      </c>
      <c r="R116" s="15" t="s">
        <v>364</v>
      </c>
      <c r="S116" s="15" t="s">
        <v>364</v>
      </c>
      <c r="T116" s="15" t="s">
        <v>364</v>
      </c>
      <c r="U116" s="17" t="s">
        <v>364</v>
      </c>
      <c r="V116" s="17" t="s">
        <v>364</v>
      </c>
      <c r="W116" s="17" t="s">
        <v>364</v>
      </c>
      <c r="X116" s="17">
        <v>-0.73701298701298701</v>
      </c>
      <c r="Y116" s="17">
        <v>1.2808242035076867</v>
      </c>
      <c r="Z116" s="73">
        <v>0</v>
      </c>
      <c r="AA116" s="73">
        <v>0</v>
      </c>
      <c r="AC116"/>
      <c r="AD116"/>
      <c r="AE116"/>
      <c r="AF116"/>
      <c r="AG116"/>
      <c r="AH116"/>
      <c r="AI116"/>
      <c r="AJ116"/>
      <c r="AK116"/>
      <c r="AL116"/>
      <c r="AM116"/>
    </row>
    <row r="117" spans="1:39" s="3" customFormat="1" collapsed="1" x14ac:dyDescent="0.25">
      <c r="A117" s="21" t="s">
        <v>22</v>
      </c>
      <c r="B117" s="21" t="s">
        <v>49</v>
      </c>
      <c r="C117" s="21" t="s">
        <v>130</v>
      </c>
      <c r="D117" s="15">
        <v>0.78260869565217384</v>
      </c>
      <c r="E117" s="57">
        <v>558.62666666666655</v>
      </c>
      <c r="F117" s="15">
        <v>437.18608695652165</v>
      </c>
      <c r="G117" s="15">
        <v>4.3703703703703702</v>
      </c>
      <c r="H117" s="57">
        <v>558.55338983050865</v>
      </c>
      <c r="I117" s="15">
        <v>2441.0851851851858</v>
      </c>
      <c r="J117" s="15">
        <v>3</v>
      </c>
      <c r="K117" s="14">
        <v>992</v>
      </c>
      <c r="L117" s="15">
        <v>2976</v>
      </c>
      <c r="M117" s="15" t="s">
        <v>364</v>
      </c>
      <c r="N117" s="15" t="s">
        <v>364</v>
      </c>
      <c r="O117" s="15" t="s">
        <v>364</v>
      </c>
      <c r="P117" s="15" t="s">
        <v>364</v>
      </c>
      <c r="Q117" s="15" t="s">
        <v>364</v>
      </c>
      <c r="R117" s="15" t="s">
        <v>364</v>
      </c>
      <c r="S117" s="15" t="s">
        <v>364</v>
      </c>
      <c r="T117" s="15" t="s">
        <v>364</v>
      </c>
      <c r="U117" s="17" t="s">
        <v>364</v>
      </c>
      <c r="V117" s="17">
        <v>2.8333333333333339</v>
      </c>
      <c r="W117" s="17">
        <v>5.8071699644365955</v>
      </c>
      <c r="X117" s="17">
        <v>-0.3135593220338983</v>
      </c>
      <c r="Y117" s="17">
        <v>0.21912992551885668</v>
      </c>
      <c r="Z117" s="73">
        <v>0</v>
      </c>
      <c r="AA117" s="73">
        <v>0</v>
      </c>
      <c r="AC117"/>
      <c r="AD117"/>
      <c r="AE117"/>
      <c r="AF117"/>
      <c r="AG117"/>
      <c r="AH117"/>
      <c r="AI117"/>
      <c r="AJ117"/>
      <c r="AK117"/>
      <c r="AL117"/>
      <c r="AM117"/>
    </row>
    <row r="118" spans="1:39" s="3" customFormat="1" collapsed="1" x14ac:dyDescent="0.25">
      <c r="A118" s="21" t="s">
        <v>22</v>
      </c>
      <c r="B118" s="21" t="s">
        <v>49</v>
      </c>
      <c r="C118" s="21" t="s">
        <v>131</v>
      </c>
      <c r="D118" s="15">
        <v>0.2608695652173913</v>
      </c>
      <c r="E118" s="57">
        <v>280.38999999999993</v>
      </c>
      <c r="F118" s="15">
        <v>73.145217391304328</v>
      </c>
      <c r="G118" s="15">
        <v>0.18518518518518517</v>
      </c>
      <c r="H118" s="57">
        <v>449.92</v>
      </c>
      <c r="I118" s="15">
        <v>83.318518518518516</v>
      </c>
      <c r="J118" s="15">
        <v>1</v>
      </c>
      <c r="K118" s="14">
        <v>150</v>
      </c>
      <c r="L118" s="15">
        <v>150</v>
      </c>
      <c r="M118" s="15" t="s">
        <v>364</v>
      </c>
      <c r="N118" s="15" t="s">
        <v>364</v>
      </c>
      <c r="O118" s="15" t="s">
        <v>364</v>
      </c>
      <c r="P118" s="15" t="s">
        <v>364</v>
      </c>
      <c r="Q118" s="15" t="s">
        <v>364</v>
      </c>
      <c r="R118" s="15" t="s">
        <v>364</v>
      </c>
      <c r="S118" s="15" t="s">
        <v>364</v>
      </c>
      <c r="T118" s="15" t="s">
        <v>364</v>
      </c>
      <c r="U118" s="17" t="s">
        <v>364</v>
      </c>
      <c r="V118" s="17">
        <v>2.833333333333333</v>
      </c>
      <c r="W118" s="17">
        <v>1.0507150754306507</v>
      </c>
      <c r="X118" s="17">
        <v>4.4000000000000004</v>
      </c>
      <c r="Y118" s="17">
        <v>0.80032005689900432</v>
      </c>
      <c r="Z118" s="73">
        <v>0</v>
      </c>
      <c r="AA118" s="73">
        <v>0</v>
      </c>
      <c r="AC118"/>
      <c r="AD118"/>
      <c r="AE118"/>
      <c r="AF118"/>
      <c r="AG118"/>
      <c r="AH118"/>
      <c r="AI118"/>
      <c r="AJ118"/>
      <c r="AK118"/>
      <c r="AL118"/>
      <c r="AM118"/>
    </row>
    <row r="119" spans="1:39" s="3" customFormat="1" collapsed="1" x14ac:dyDescent="0.25">
      <c r="A119" s="21" t="s">
        <v>22</v>
      </c>
      <c r="B119" s="21" t="s">
        <v>49</v>
      </c>
      <c r="C119" s="21" t="s">
        <v>132</v>
      </c>
      <c r="D119" s="15">
        <v>0.39130434782608692</v>
      </c>
      <c r="E119" s="57">
        <v>458.61222222222227</v>
      </c>
      <c r="F119" s="15">
        <v>179.45695652173913</v>
      </c>
      <c r="G119" s="15">
        <v>0.22222222222222221</v>
      </c>
      <c r="H119" s="57">
        <v>478.98166666666668</v>
      </c>
      <c r="I119" s="15">
        <v>106.44037037037037</v>
      </c>
      <c r="J119" s="15">
        <v>0</v>
      </c>
      <c r="K119" s="14" t="s">
        <v>364</v>
      </c>
      <c r="L119" s="15">
        <v>0</v>
      </c>
      <c r="M119" s="15" t="s">
        <v>364</v>
      </c>
      <c r="N119" s="15" t="s">
        <v>364</v>
      </c>
      <c r="O119" s="15" t="s">
        <v>364</v>
      </c>
      <c r="P119" s="15" t="s">
        <v>364</v>
      </c>
      <c r="Q119" s="15" t="s">
        <v>364</v>
      </c>
      <c r="R119" s="15" t="s">
        <v>364</v>
      </c>
      <c r="S119" s="15" t="s">
        <v>364</v>
      </c>
      <c r="T119" s="15" t="s">
        <v>364</v>
      </c>
      <c r="U119" s="17" t="s">
        <v>364</v>
      </c>
      <c r="V119" s="17">
        <v>-1</v>
      </c>
      <c r="W119" s="17">
        <v>-1</v>
      </c>
      <c r="X119" s="17">
        <v>-1</v>
      </c>
      <c r="Y119" s="17">
        <v>-1</v>
      </c>
      <c r="Z119" s="73">
        <v>0</v>
      </c>
      <c r="AA119" s="73">
        <v>0</v>
      </c>
      <c r="AC119"/>
      <c r="AD119"/>
      <c r="AE119"/>
      <c r="AF119"/>
      <c r="AG119"/>
      <c r="AH119"/>
      <c r="AI119"/>
      <c r="AJ119"/>
      <c r="AK119"/>
      <c r="AL119"/>
      <c r="AM119"/>
    </row>
    <row r="120" spans="1:39" s="3" customFormat="1" collapsed="1" x14ac:dyDescent="0.25">
      <c r="A120" s="21" t="s">
        <v>22</v>
      </c>
      <c r="B120" s="21" t="s">
        <v>49</v>
      </c>
      <c r="C120" s="21" t="s">
        <v>133</v>
      </c>
      <c r="D120" s="15">
        <v>0.47826086956521741</v>
      </c>
      <c r="E120" s="57">
        <v>339.84909090909088</v>
      </c>
      <c r="F120" s="15">
        <v>162.53652173913042</v>
      </c>
      <c r="G120" s="15">
        <v>0.55555555555555558</v>
      </c>
      <c r="H120" s="57">
        <v>461.81199999999995</v>
      </c>
      <c r="I120" s="15">
        <v>256.5622222222222</v>
      </c>
      <c r="J120" s="15">
        <v>0</v>
      </c>
      <c r="K120" s="14" t="s">
        <v>364</v>
      </c>
      <c r="L120" s="15">
        <v>0</v>
      </c>
      <c r="M120" s="15" t="s">
        <v>364</v>
      </c>
      <c r="N120" s="15" t="s">
        <v>364</v>
      </c>
      <c r="O120" s="15" t="s">
        <v>364</v>
      </c>
      <c r="P120" s="15" t="s">
        <v>364</v>
      </c>
      <c r="Q120" s="15" t="s">
        <v>364</v>
      </c>
      <c r="R120" s="15" t="s">
        <v>364</v>
      </c>
      <c r="S120" s="15" t="s">
        <v>364</v>
      </c>
      <c r="T120" s="15" t="s">
        <v>364</v>
      </c>
      <c r="U120" s="17" t="s">
        <v>364</v>
      </c>
      <c r="V120" s="17">
        <v>-1</v>
      </c>
      <c r="W120" s="17">
        <v>-1</v>
      </c>
      <c r="X120" s="17">
        <v>-1</v>
      </c>
      <c r="Y120" s="17">
        <v>-1</v>
      </c>
      <c r="Z120" s="73">
        <v>0</v>
      </c>
      <c r="AA120" s="73">
        <v>0</v>
      </c>
      <c r="AC120"/>
      <c r="AD120"/>
      <c r="AE120"/>
      <c r="AF120"/>
      <c r="AG120"/>
      <c r="AH120"/>
      <c r="AI120"/>
      <c r="AJ120"/>
      <c r="AK120"/>
      <c r="AL120"/>
      <c r="AM120"/>
    </row>
    <row r="121" spans="1:39" s="3" customFormat="1" collapsed="1" x14ac:dyDescent="0.25">
      <c r="A121" s="21" t="s">
        <v>22</v>
      </c>
      <c r="B121" s="21" t="s">
        <v>49</v>
      </c>
      <c r="C121" s="21" t="s">
        <v>134</v>
      </c>
      <c r="D121" s="15">
        <v>1.2608695652173914</v>
      </c>
      <c r="E121" s="57">
        <v>673.07827586206884</v>
      </c>
      <c r="F121" s="15">
        <v>848.66391304347815</v>
      </c>
      <c r="G121" s="15">
        <v>1</v>
      </c>
      <c r="H121" s="57">
        <v>787.04814814814813</v>
      </c>
      <c r="I121" s="15">
        <v>787.04814814814813</v>
      </c>
      <c r="J121" s="15">
        <v>0</v>
      </c>
      <c r="K121" s="14" t="s">
        <v>364</v>
      </c>
      <c r="L121" s="15">
        <v>0</v>
      </c>
      <c r="M121" s="15" t="s">
        <v>364</v>
      </c>
      <c r="N121" s="15" t="s">
        <v>364</v>
      </c>
      <c r="O121" s="15" t="s">
        <v>364</v>
      </c>
      <c r="P121" s="15" t="s">
        <v>364</v>
      </c>
      <c r="Q121" s="15" t="s">
        <v>364</v>
      </c>
      <c r="R121" s="15" t="s">
        <v>364</v>
      </c>
      <c r="S121" s="15" t="s">
        <v>364</v>
      </c>
      <c r="T121" s="15" t="s">
        <v>364</v>
      </c>
      <c r="U121" s="17" t="s">
        <v>364</v>
      </c>
      <c r="V121" s="17">
        <v>-1</v>
      </c>
      <c r="W121" s="17">
        <v>-1</v>
      </c>
      <c r="X121" s="17">
        <v>-1</v>
      </c>
      <c r="Y121" s="17">
        <v>-1</v>
      </c>
      <c r="Z121" s="73">
        <v>0</v>
      </c>
      <c r="AA121" s="73">
        <v>0</v>
      </c>
      <c r="AC121"/>
      <c r="AD121"/>
      <c r="AE121"/>
      <c r="AF121"/>
      <c r="AG121"/>
      <c r="AH121"/>
      <c r="AI121"/>
      <c r="AJ121"/>
      <c r="AK121"/>
      <c r="AL121"/>
      <c r="AM121"/>
    </row>
    <row r="122" spans="1:39" s="3" customFormat="1" collapsed="1" x14ac:dyDescent="0.25">
      <c r="A122" s="21" t="s">
        <v>22</v>
      </c>
      <c r="B122" s="21" t="s">
        <v>49</v>
      </c>
      <c r="C122" s="21" t="s">
        <v>135</v>
      </c>
      <c r="D122" s="15">
        <v>3.3478260869565215</v>
      </c>
      <c r="E122" s="57">
        <v>282.70818181818191</v>
      </c>
      <c r="F122" s="15">
        <v>946.45782608695674</v>
      </c>
      <c r="G122" s="15">
        <v>0.14814814814814814</v>
      </c>
      <c r="H122" s="57">
        <v>213.745</v>
      </c>
      <c r="I122" s="15">
        <v>31.665925925925926</v>
      </c>
      <c r="J122" s="15">
        <v>4</v>
      </c>
      <c r="K122" s="14">
        <v>178.74250000000001</v>
      </c>
      <c r="L122" s="15">
        <v>714.97</v>
      </c>
      <c r="M122" s="15" t="s">
        <v>364</v>
      </c>
      <c r="N122" s="15" t="s">
        <v>364</v>
      </c>
      <c r="O122" s="15" t="s">
        <v>364</v>
      </c>
      <c r="P122" s="15" t="s">
        <v>364</v>
      </c>
      <c r="Q122" s="15" t="s">
        <v>364</v>
      </c>
      <c r="R122" s="15" t="s">
        <v>364</v>
      </c>
      <c r="S122" s="15" t="s">
        <v>364</v>
      </c>
      <c r="T122" s="15" t="s">
        <v>364</v>
      </c>
      <c r="U122" s="17" t="s">
        <v>364</v>
      </c>
      <c r="V122" s="17">
        <v>0.1948051948051949</v>
      </c>
      <c r="W122" s="17">
        <v>-0.24458335036862863</v>
      </c>
      <c r="X122" s="17">
        <v>26.000000000000004</v>
      </c>
      <c r="Y122" s="17">
        <v>21.578528152705328</v>
      </c>
      <c r="Z122" s="73">
        <v>0</v>
      </c>
      <c r="AA122" s="73">
        <v>0</v>
      </c>
      <c r="AC122"/>
      <c r="AD122"/>
      <c r="AE122"/>
      <c r="AF122"/>
      <c r="AG122"/>
      <c r="AH122"/>
      <c r="AI122"/>
      <c r="AJ122"/>
      <c r="AK122"/>
      <c r="AL122"/>
      <c r="AM122"/>
    </row>
    <row r="123" spans="1:39" s="3" customFormat="1" collapsed="1" x14ac:dyDescent="0.25">
      <c r="A123" s="21" t="s">
        <v>22</v>
      </c>
      <c r="B123" s="21" t="s">
        <v>49</v>
      </c>
      <c r="C123" s="21" t="s">
        <v>136</v>
      </c>
      <c r="D123" s="15">
        <v>0</v>
      </c>
      <c r="E123" s="57" t="s">
        <v>364</v>
      </c>
      <c r="F123" s="15">
        <v>0</v>
      </c>
      <c r="G123" s="15">
        <v>1.7777777777777777</v>
      </c>
      <c r="H123" s="57">
        <v>332.49104166666666</v>
      </c>
      <c r="I123" s="15">
        <v>591.09518518518519</v>
      </c>
      <c r="J123" s="15">
        <v>0</v>
      </c>
      <c r="K123" s="14" t="s">
        <v>364</v>
      </c>
      <c r="L123" s="15">
        <v>0</v>
      </c>
      <c r="M123" s="15" t="s">
        <v>364</v>
      </c>
      <c r="N123" s="15" t="s">
        <v>364</v>
      </c>
      <c r="O123" s="15" t="s">
        <v>364</v>
      </c>
      <c r="P123" s="15" t="s">
        <v>364</v>
      </c>
      <c r="Q123" s="15" t="s">
        <v>364</v>
      </c>
      <c r="R123" s="15" t="s">
        <v>364</v>
      </c>
      <c r="S123" s="15" t="s">
        <v>364</v>
      </c>
      <c r="T123" s="15" t="s">
        <v>364</v>
      </c>
      <c r="U123" s="17" t="s">
        <v>364</v>
      </c>
      <c r="V123" s="17" t="s">
        <v>364</v>
      </c>
      <c r="W123" s="17" t="s">
        <v>364</v>
      </c>
      <c r="X123" s="17">
        <v>-1</v>
      </c>
      <c r="Y123" s="17">
        <v>-1</v>
      </c>
      <c r="Z123" s="73">
        <v>0</v>
      </c>
      <c r="AA123" s="73">
        <v>0</v>
      </c>
      <c r="AC123"/>
      <c r="AD123"/>
      <c r="AE123"/>
      <c r="AF123"/>
      <c r="AG123"/>
      <c r="AH123"/>
      <c r="AI123"/>
      <c r="AJ123"/>
      <c r="AK123"/>
      <c r="AL123"/>
      <c r="AM123"/>
    </row>
    <row r="124" spans="1:39" s="3" customFormat="1" collapsed="1" x14ac:dyDescent="0.25">
      <c r="A124" s="21" t="s">
        <v>22</v>
      </c>
      <c r="B124" s="21" t="s">
        <v>49</v>
      </c>
      <c r="C124" s="21" t="s">
        <v>137</v>
      </c>
      <c r="D124" s="15">
        <v>2.7391304347826084</v>
      </c>
      <c r="E124" s="57">
        <v>341.3020634920635</v>
      </c>
      <c r="F124" s="15">
        <v>934.87086956521728</v>
      </c>
      <c r="G124" s="15">
        <v>1.7777777777777777</v>
      </c>
      <c r="H124" s="57">
        <v>286.74604166666666</v>
      </c>
      <c r="I124" s="15">
        <v>509.77074074074068</v>
      </c>
      <c r="J124" s="15">
        <v>0</v>
      </c>
      <c r="K124" s="14" t="s">
        <v>364</v>
      </c>
      <c r="L124" s="15">
        <v>0</v>
      </c>
      <c r="M124" s="15" t="s">
        <v>364</v>
      </c>
      <c r="N124" s="15" t="s">
        <v>364</v>
      </c>
      <c r="O124" s="15" t="s">
        <v>364</v>
      </c>
      <c r="P124" s="15" t="s">
        <v>364</v>
      </c>
      <c r="Q124" s="15" t="s">
        <v>364</v>
      </c>
      <c r="R124" s="15" t="s">
        <v>364</v>
      </c>
      <c r="S124" s="15" t="s">
        <v>364</v>
      </c>
      <c r="T124" s="15" t="s">
        <v>364</v>
      </c>
      <c r="U124" s="17" t="s">
        <v>364</v>
      </c>
      <c r="V124" s="17">
        <v>-1</v>
      </c>
      <c r="W124" s="17">
        <v>-1</v>
      </c>
      <c r="X124" s="17">
        <v>-1</v>
      </c>
      <c r="Y124" s="17">
        <v>-1</v>
      </c>
      <c r="Z124" s="73">
        <v>0</v>
      </c>
      <c r="AA124" s="73">
        <v>0</v>
      </c>
      <c r="AC124"/>
      <c r="AD124"/>
      <c r="AE124"/>
      <c r="AF124"/>
      <c r="AG124"/>
      <c r="AH124"/>
      <c r="AI124"/>
      <c r="AJ124"/>
      <c r="AK124"/>
      <c r="AL124"/>
      <c r="AM124"/>
    </row>
    <row r="125" spans="1:39" s="3" customFormat="1" collapsed="1" x14ac:dyDescent="0.25">
      <c r="A125" s="21" t="s">
        <v>22</v>
      </c>
      <c r="B125" s="21" t="s">
        <v>49</v>
      </c>
      <c r="C125" s="21" t="s">
        <v>138</v>
      </c>
      <c r="D125" s="15">
        <v>0.52173913043478259</v>
      </c>
      <c r="E125" s="57">
        <v>402.38833333333326</v>
      </c>
      <c r="F125" s="15">
        <v>209.94173913043474</v>
      </c>
      <c r="G125" s="15">
        <v>1.7407407407407407</v>
      </c>
      <c r="H125" s="57">
        <v>401.30127659574481</v>
      </c>
      <c r="I125" s="15">
        <v>698.56148148148168</v>
      </c>
      <c r="J125" s="15">
        <v>0</v>
      </c>
      <c r="K125" s="14" t="s">
        <v>364</v>
      </c>
      <c r="L125" s="15">
        <v>0</v>
      </c>
      <c r="M125" s="15" t="s">
        <v>364</v>
      </c>
      <c r="N125" s="15" t="s">
        <v>364</v>
      </c>
      <c r="O125" s="15" t="s">
        <v>364</v>
      </c>
      <c r="P125" s="15" t="s">
        <v>364</v>
      </c>
      <c r="Q125" s="15" t="s">
        <v>364</v>
      </c>
      <c r="R125" s="15" t="s">
        <v>364</v>
      </c>
      <c r="S125" s="15" t="s">
        <v>364</v>
      </c>
      <c r="T125" s="15" t="s">
        <v>364</v>
      </c>
      <c r="U125" s="17" t="s">
        <v>364</v>
      </c>
      <c r="V125" s="17">
        <v>-1</v>
      </c>
      <c r="W125" s="17">
        <v>-1</v>
      </c>
      <c r="X125" s="17">
        <v>-1</v>
      </c>
      <c r="Y125" s="17">
        <v>-1</v>
      </c>
      <c r="Z125" s="73">
        <v>0</v>
      </c>
      <c r="AA125" s="73">
        <v>0</v>
      </c>
      <c r="AC125"/>
      <c r="AD125"/>
      <c r="AE125"/>
      <c r="AF125"/>
      <c r="AG125"/>
      <c r="AH125"/>
      <c r="AI125"/>
      <c r="AJ125"/>
      <c r="AK125"/>
      <c r="AL125"/>
      <c r="AM125"/>
    </row>
    <row r="126" spans="1:39" s="3" customFormat="1" collapsed="1" x14ac:dyDescent="0.25">
      <c r="A126" s="21" t="s">
        <v>22</v>
      </c>
      <c r="B126" s="21" t="s">
        <v>49</v>
      </c>
      <c r="C126" s="21" t="s">
        <v>139</v>
      </c>
      <c r="D126" s="15">
        <v>0</v>
      </c>
      <c r="E126" s="57" t="s">
        <v>364</v>
      </c>
      <c r="F126" s="15">
        <v>972.96086956521731</v>
      </c>
      <c r="G126" s="15">
        <v>0</v>
      </c>
      <c r="H126" s="57" t="s">
        <v>364</v>
      </c>
      <c r="I126" s="15">
        <v>194.97592592592594</v>
      </c>
      <c r="J126" s="15">
        <v>0</v>
      </c>
      <c r="K126" s="14" t="s">
        <v>364</v>
      </c>
      <c r="L126" s="15">
        <v>1794.1</v>
      </c>
      <c r="M126" s="15" t="s">
        <v>364</v>
      </c>
      <c r="N126" s="15" t="s">
        <v>364</v>
      </c>
      <c r="O126" s="15" t="s">
        <v>364</v>
      </c>
      <c r="P126" s="15" t="s">
        <v>364</v>
      </c>
      <c r="Q126" s="15" t="s">
        <v>364</v>
      </c>
      <c r="R126" s="15" t="s">
        <v>364</v>
      </c>
      <c r="S126" s="15" t="s">
        <v>364</v>
      </c>
      <c r="T126" s="15" t="s">
        <v>364</v>
      </c>
      <c r="U126" s="17" t="s">
        <v>364</v>
      </c>
      <c r="V126" s="17" t="s">
        <v>364</v>
      </c>
      <c r="W126" s="17">
        <v>0.84395904924904264</v>
      </c>
      <c r="X126" s="17" t="s">
        <v>364</v>
      </c>
      <c r="Y126" s="17">
        <v>8.2016488265407883</v>
      </c>
      <c r="Z126" s="73">
        <v>0</v>
      </c>
      <c r="AA126" s="73">
        <v>0</v>
      </c>
      <c r="AC126"/>
      <c r="AD126"/>
      <c r="AE126"/>
      <c r="AF126"/>
      <c r="AG126"/>
      <c r="AH126"/>
      <c r="AI126"/>
      <c r="AJ126"/>
      <c r="AK126"/>
      <c r="AL126"/>
      <c r="AM126"/>
    </row>
    <row r="127" spans="1:39" s="3" customFormat="1" collapsed="1" x14ac:dyDescent="0.25">
      <c r="A127" s="21" t="s">
        <v>22</v>
      </c>
      <c r="B127" s="21" t="s">
        <v>49</v>
      </c>
      <c r="C127" s="21" t="s">
        <v>140</v>
      </c>
      <c r="D127" s="15">
        <v>0</v>
      </c>
      <c r="E127" s="57" t="s">
        <v>364</v>
      </c>
      <c r="F127" s="15">
        <v>0</v>
      </c>
      <c r="G127" s="15">
        <v>0</v>
      </c>
      <c r="H127" s="57" t="s">
        <v>364</v>
      </c>
      <c r="I127" s="15">
        <v>0</v>
      </c>
      <c r="J127" s="15">
        <v>4</v>
      </c>
      <c r="K127" s="14">
        <v>518.65999999999985</v>
      </c>
      <c r="L127" s="15">
        <v>2074.6399999999994</v>
      </c>
      <c r="M127" s="15" t="s">
        <v>364</v>
      </c>
      <c r="N127" s="15" t="s">
        <v>364</v>
      </c>
      <c r="O127" s="15" t="s">
        <v>364</v>
      </c>
      <c r="P127" s="15" t="s">
        <v>364</v>
      </c>
      <c r="Q127" s="15" t="s">
        <v>364</v>
      </c>
      <c r="R127" s="15" t="s">
        <v>364</v>
      </c>
      <c r="S127" s="15" t="s">
        <v>364</v>
      </c>
      <c r="T127" s="15" t="s">
        <v>364</v>
      </c>
      <c r="U127" s="17" t="s">
        <v>364</v>
      </c>
      <c r="V127" s="17" t="s">
        <v>364</v>
      </c>
      <c r="W127" s="17" t="s">
        <v>364</v>
      </c>
      <c r="X127" s="17" t="s">
        <v>364</v>
      </c>
      <c r="Y127" s="17" t="s">
        <v>364</v>
      </c>
      <c r="Z127" s="73">
        <v>0</v>
      </c>
      <c r="AA127" s="73">
        <v>0</v>
      </c>
      <c r="AC127"/>
      <c r="AD127"/>
      <c r="AE127"/>
      <c r="AF127"/>
      <c r="AG127"/>
      <c r="AH127"/>
      <c r="AI127"/>
      <c r="AJ127"/>
      <c r="AK127"/>
      <c r="AL127"/>
      <c r="AM127"/>
    </row>
    <row r="128" spans="1:39" s="3" customFormat="1" collapsed="1" x14ac:dyDescent="0.25">
      <c r="A128" s="21" t="s">
        <v>22</v>
      </c>
      <c r="B128" s="21" t="s">
        <v>49</v>
      </c>
      <c r="C128" s="21" t="s">
        <v>141</v>
      </c>
      <c r="D128" s="15">
        <v>1</v>
      </c>
      <c r="E128" s="57">
        <v>841.61347826086956</v>
      </c>
      <c r="F128" s="15">
        <v>841.61347826086956</v>
      </c>
      <c r="G128" s="15">
        <v>1.2222222222222221</v>
      </c>
      <c r="H128" s="57">
        <v>1186.0790909090911</v>
      </c>
      <c r="I128" s="15">
        <v>1449.6522222222222</v>
      </c>
      <c r="J128" s="15">
        <v>4</v>
      </c>
      <c r="K128" s="14">
        <v>438</v>
      </c>
      <c r="L128" s="15">
        <v>1752</v>
      </c>
      <c r="M128" s="15" t="s">
        <v>364</v>
      </c>
      <c r="N128" s="15" t="s">
        <v>364</v>
      </c>
      <c r="O128" s="15" t="s">
        <v>364</v>
      </c>
      <c r="P128" s="15" t="s">
        <v>364</v>
      </c>
      <c r="Q128" s="15" t="s">
        <v>364</v>
      </c>
      <c r="R128" s="15" t="s">
        <v>364</v>
      </c>
      <c r="S128" s="15" t="s">
        <v>364</v>
      </c>
      <c r="T128" s="15" t="s">
        <v>364</v>
      </c>
      <c r="U128" s="17" t="s">
        <v>364</v>
      </c>
      <c r="V128" s="17">
        <v>3</v>
      </c>
      <c r="W128" s="17">
        <v>1.081715710661354</v>
      </c>
      <c r="X128" s="17">
        <v>2.2727272727272729</v>
      </c>
      <c r="Y128" s="17">
        <v>0.20856573262399333</v>
      </c>
      <c r="Z128" s="73">
        <v>0</v>
      </c>
      <c r="AA128" s="73">
        <v>0</v>
      </c>
      <c r="AC128"/>
      <c r="AD128"/>
      <c r="AE128"/>
      <c r="AF128"/>
      <c r="AG128"/>
      <c r="AH128"/>
      <c r="AI128"/>
      <c r="AJ128"/>
      <c r="AK128"/>
      <c r="AL128"/>
      <c r="AM128"/>
    </row>
    <row r="129" spans="1:39" s="3" customFormat="1" collapsed="1" x14ac:dyDescent="0.25">
      <c r="A129" s="21" t="s">
        <v>22</v>
      </c>
      <c r="B129" s="21" t="s">
        <v>49</v>
      </c>
      <c r="C129" s="21" t="s">
        <v>142</v>
      </c>
      <c r="D129" s="15">
        <v>0.73913043478260865</v>
      </c>
      <c r="E129" s="57">
        <v>761.69235294117664</v>
      </c>
      <c r="F129" s="15">
        <v>562.99000000000012</v>
      </c>
      <c r="G129" s="15">
        <v>1.1481481481481481</v>
      </c>
      <c r="H129" s="57">
        <v>922.00419354838709</v>
      </c>
      <c r="I129" s="15">
        <v>1058.5974074074074</v>
      </c>
      <c r="J129" s="15">
        <v>0</v>
      </c>
      <c r="K129" s="14" t="s">
        <v>364</v>
      </c>
      <c r="L129" s="15">
        <v>0</v>
      </c>
      <c r="M129" s="15" t="s">
        <v>364</v>
      </c>
      <c r="N129" s="15" t="s">
        <v>364</v>
      </c>
      <c r="O129" s="15" t="s">
        <v>364</v>
      </c>
      <c r="P129" s="15" t="s">
        <v>364</v>
      </c>
      <c r="Q129" s="15" t="s">
        <v>364</v>
      </c>
      <c r="R129" s="15" t="s">
        <v>364</v>
      </c>
      <c r="S129" s="15" t="s">
        <v>364</v>
      </c>
      <c r="T129" s="15" t="s">
        <v>364</v>
      </c>
      <c r="U129" s="17" t="s">
        <v>364</v>
      </c>
      <c r="V129" s="17">
        <v>-1</v>
      </c>
      <c r="W129" s="17">
        <v>-1</v>
      </c>
      <c r="X129" s="17">
        <v>-1</v>
      </c>
      <c r="Y129" s="17">
        <v>-1</v>
      </c>
      <c r="Z129" s="73">
        <v>0</v>
      </c>
      <c r="AA129" s="73">
        <v>0</v>
      </c>
      <c r="AC129"/>
      <c r="AD129"/>
      <c r="AE129"/>
      <c r="AF129"/>
      <c r="AG129"/>
      <c r="AH129"/>
      <c r="AI129"/>
      <c r="AJ129"/>
      <c r="AK129"/>
      <c r="AL129"/>
      <c r="AM129"/>
    </row>
    <row r="130" spans="1:39" s="3" customFormat="1" collapsed="1" x14ac:dyDescent="0.25">
      <c r="A130" s="21" t="s">
        <v>22</v>
      </c>
      <c r="B130" s="21" t="s">
        <v>49</v>
      </c>
      <c r="C130" s="21" t="s">
        <v>143</v>
      </c>
      <c r="D130" s="15">
        <v>0</v>
      </c>
      <c r="E130" s="57" t="s">
        <v>364</v>
      </c>
      <c r="F130" s="15">
        <v>2324.7200000000016</v>
      </c>
      <c r="G130" s="15">
        <v>0</v>
      </c>
      <c r="H130" s="57" t="s">
        <v>364</v>
      </c>
      <c r="I130" s="15">
        <v>4259.3048148148118</v>
      </c>
      <c r="J130" s="15">
        <v>0</v>
      </c>
      <c r="K130" s="14" t="s">
        <v>364</v>
      </c>
      <c r="L130" s="15">
        <v>0</v>
      </c>
      <c r="M130" s="15" t="s">
        <v>364</v>
      </c>
      <c r="N130" s="15" t="s">
        <v>364</v>
      </c>
      <c r="O130" s="15" t="s">
        <v>364</v>
      </c>
      <c r="P130" s="15" t="s">
        <v>364</v>
      </c>
      <c r="Q130" s="15" t="s">
        <v>364</v>
      </c>
      <c r="R130" s="15" t="s">
        <v>364</v>
      </c>
      <c r="S130" s="15" t="s">
        <v>364</v>
      </c>
      <c r="T130" s="15" t="s">
        <v>364</v>
      </c>
      <c r="U130" s="17" t="s">
        <v>364</v>
      </c>
      <c r="V130" s="17" t="s">
        <v>364</v>
      </c>
      <c r="W130" s="17">
        <v>-1</v>
      </c>
      <c r="X130" s="17" t="s">
        <v>364</v>
      </c>
      <c r="Y130" s="17">
        <v>-1</v>
      </c>
      <c r="Z130" s="73">
        <v>0</v>
      </c>
      <c r="AA130" s="73">
        <v>0</v>
      </c>
      <c r="AC130"/>
      <c r="AD130"/>
      <c r="AE130"/>
      <c r="AF130"/>
      <c r="AG130"/>
      <c r="AH130"/>
      <c r="AI130"/>
      <c r="AJ130"/>
      <c r="AK130"/>
      <c r="AL130"/>
      <c r="AM130"/>
    </row>
    <row r="131" spans="1:39" s="3" customFormat="1" collapsed="1" x14ac:dyDescent="0.25">
      <c r="A131" s="21" t="s">
        <v>22</v>
      </c>
      <c r="B131" s="21" t="s">
        <v>49</v>
      </c>
      <c r="C131" s="21" t="s">
        <v>341</v>
      </c>
      <c r="D131" s="15">
        <v>0</v>
      </c>
      <c r="E131" s="57" t="s">
        <v>364</v>
      </c>
      <c r="F131" s="15">
        <v>0</v>
      </c>
      <c r="G131" s="15">
        <v>0</v>
      </c>
      <c r="H131" s="57" t="s">
        <v>364</v>
      </c>
      <c r="I131" s="15">
        <v>0</v>
      </c>
      <c r="J131" s="15">
        <v>1</v>
      </c>
      <c r="K131" s="14">
        <v>248.92000000000002</v>
      </c>
      <c r="L131" s="15">
        <v>248.92000000000002</v>
      </c>
      <c r="M131" s="15" t="s">
        <v>364</v>
      </c>
      <c r="N131" s="15" t="s">
        <v>364</v>
      </c>
      <c r="O131" s="15" t="s">
        <v>364</v>
      </c>
      <c r="P131" s="15" t="s">
        <v>364</v>
      </c>
      <c r="Q131" s="15" t="s">
        <v>364</v>
      </c>
      <c r="R131" s="15" t="s">
        <v>364</v>
      </c>
      <c r="S131" s="15" t="s">
        <v>364</v>
      </c>
      <c r="T131" s="15" t="s">
        <v>364</v>
      </c>
      <c r="U131" s="17" t="s">
        <v>364</v>
      </c>
      <c r="V131" s="17" t="s">
        <v>364</v>
      </c>
      <c r="W131" s="17" t="s">
        <v>364</v>
      </c>
      <c r="X131" s="17" t="s">
        <v>364</v>
      </c>
      <c r="Y131" s="17" t="s">
        <v>364</v>
      </c>
      <c r="Z131" s="73">
        <v>0</v>
      </c>
      <c r="AA131" s="73">
        <v>0</v>
      </c>
      <c r="AC131"/>
      <c r="AD131"/>
      <c r="AE131"/>
      <c r="AF131"/>
      <c r="AG131"/>
      <c r="AH131"/>
      <c r="AI131"/>
      <c r="AJ131"/>
      <c r="AK131"/>
      <c r="AL131"/>
      <c r="AM131"/>
    </row>
    <row r="132" spans="1:39" s="3" customFormat="1" collapsed="1" x14ac:dyDescent="0.25">
      <c r="A132" s="21" t="s">
        <v>22</v>
      </c>
      <c r="B132" s="21" t="s">
        <v>49</v>
      </c>
      <c r="C132" s="21" t="s">
        <v>588</v>
      </c>
      <c r="D132" s="15">
        <v>0</v>
      </c>
      <c r="E132" s="57" t="s">
        <v>364</v>
      </c>
      <c r="F132" s="15">
        <v>0</v>
      </c>
      <c r="G132" s="15">
        <v>0</v>
      </c>
      <c r="H132" s="57" t="s">
        <v>364</v>
      </c>
      <c r="I132" s="15">
        <v>0</v>
      </c>
      <c r="J132" s="15">
        <v>0</v>
      </c>
      <c r="K132" s="14" t="s">
        <v>364</v>
      </c>
      <c r="L132" s="15">
        <v>0</v>
      </c>
      <c r="M132" s="15" t="s">
        <v>364</v>
      </c>
      <c r="N132" s="15" t="s">
        <v>364</v>
      </c>
      <c r="O132" s="15" t="s">
        <v>364</v>
      </c>
      <c r="P132" s="15" t="s">
        <v>364</v>
      </c>
      <c r="Q132" s="15" t="s">
        <v>364</v>
      </c>
      <c r="R132" s="15" t="s">
        <v>364</v>
      </c>
      <c r="S132" s="15" t="s">
        <v>364</v>
      </c>
      <c r="T132" s="15" t="s">
        <v>364</v>
      </c>
      <c r="U132" s="17" t="s">
        <v>364</v>
      </c>
      <c r="V132" s="17" t="s">
        <v>364</v>
      </c>
      <c r="W132" s="17" t="s">
        <v>364</v>
      </c>
      <c r="X132" s="17" t="s">
        <v>364</v>
      </c>
      <c r="Y132" s="17" t="s">
        <v>364</v>
      </c>
      <c r="Z132" s="73">
        <v>0</v>
      </c>
      <c r="AA132" s="73">
        <v>0</v>
      </c>
      <c r="AC132"/>
      <c r="AD132"/>
      <c r="AE132"/>
      <c r="AF132"/>
      <c r="AG132"/>
      <c r="AH132"/>
      <c r="AI132"/>
      <c r="AJ132"/>
      <c r="AK132"/>
      <c r="AL132"/>
      <c r="AM132"/>
    </row>
    <row r="133" spans="1:39" s="3" customFormat="1" collapsed="1" x14ac:dyDescent="0.25">
      <c r="A133" s="21" t="s">
        <v>22</v>
      </c>
      <c r="B133" s="21" t="s">
        <v>49</v>
      </c>
      <c r="C133" s="21" t="s">
        <v>591</v>
      </c>
      <c r="D133" s="15">
        <v>1.4347826086956521</v>
      </c>
      <c r="E133" s="57">
        <v>551.94636363636369</v>
      </c>
      <c r="F133" s="15">
        <v>791.92304347826098</v>
      </c>
      <c r="G133" s="15">
        <v>1.9629629629629628</v>
      </c>
      <c r="H133" s="57">
        <v>580.21301886792435</v>
      </c>
      <c r="I133" s="15">
        <v>1138.9366666666663</v>
      </c>
      <c r="J133" s="15">
        <v>4</v>
      </c>
      <c r="K133" s="14">
        <v>381.9975</v>
      </c>
      <c r="L133" s="15">
        <v>1527.99</v>
      </c>
      <c r="M133" s="15" t="s">
        <v>364</v>
      </c>
      <c r="N133" s="15" t="s">
        <v>364</v>
      </c>
      <c r="O133" s="15" t="s">
        <v>364</v>
      </c>
      <c r="P133" s="15" t="s">
        <v>364</v>
      </c>
      <c r="Q133" s="15" t="s">
        <v>364</v>
      </c>
      <c r="R133" s="15" t="s">
        <v>364</v>
      </c>
      <c r="S133" s="15" t="s">
        <v>364</v>
      </c>
      <c r="T133" s="15" t="s">
        <v>364</v>
      </c>
      <c r="U133" s="17" t="s">
        <v>364</v>
      </c>
      <c r="V133" s="17">
        <v>1.7878787878787878</v>
      </c>
      <c r="W133" s="17">
        <v>0.92946778425439869</v>
      </c>
      <c r="X133" s="17">
        <v>1.037735849056604</v>
      </c>
      <c r="Y133" s="17">
        <v>0.34159347461521172</v>
      </c>
      <c r="Z133" s="73">
        <v>0</v>
      </c>
      <c r="AA133" s="73">
        <v>0</v>
      </c>
      <c r="AC133"/>
      <c r="AD133"/>
      <c r="AE133"/>
      <c r="AF133"/>
      <c r="AG133"/>
      <c r="AH133"/>
      <c r="AI133"/>
      <c r="AJ133"/>
      <c r="AK133"/>
      <c r="AL133"/>
      <c r="AM133"/>
    </row>
    <row r="134" spans="1:39" s="3" customFormat="1" collapsed="1" x14ac:dyDescent="0.25">
      <c r="A134" s="21" t="s">
        <v>22</v>
      </c>
      <c r="B134" s="21" t="s">
        <v>49</v>
      </c>
      <c r="C134" s="21" t="s">
        <v>594</v>
      </c>
      <c r="D134" s="15">
        <v>2.5652173913043477</v>
      </c>
      <c r="E134" s="57">
        <v>355.44915254237276</v>
      </c>
      <c r="F134" s="15">
        <v>911.80434782608666</v>
      </c>
      <c r="G134" s="15">
        <v>1.1481481481481481</v>
      </c>
      <c r="H134" s="57">
        <v>396.82322580645172</v>
      </c>
      <c r="I134" s="15">
        <v>455.61185185185195</v>
      </c>
      <c r="J134" s="15">
        <v>0</v>
      </c>
      <c r="K134" s="14" t="s">
        <v>364</v>
      </c>
      <c r="L134" s="15">
        <v>0</v>
      </c>
      <c r="M134" s="15" t="s">
        <v>364</v>
      </c>
      <c r="N134" s="15" t="s">
        <v>364</v>
      </c>
      <c r="O134" s="15" t="s">
        <v>364</v>
      </c>
      <c r="P134" s="15" t="s">
        <v>364</v>
      </c>
      <c r="Q134" s="15" t="s">
        <v>364</v>
      </c>
      <c r="R134" s="15" t="s">
        <v>364</v>
      </c>
      <c r="S134" s="15" t="s">
        <v>364</v>
      </c>
      <c r="T134" s="15" t="s">
        <v>364</v>
      </c>
      <c r="U134" s="17" t="s">
        <v>364</v>
      </c>
      <c r="V134" s="17">
        <v>-1</v>
      </c>
      <c r="W134" s="17">
        <v>-1</v>
      </c>
      <c r="X134" s="17">
        <v>-1</v>
      </c>
      <c r="Y134" s="17">
        <v>-1</v>
      </c>
      <c r="Z134" s="73">
        <v>0</v>
      </c>
      <c r="AA134" s="73">
        <v>0</v>
      </c>
      <c r="AC134"/>
      <c r="AD134"/>
      <c r="AE134"/>
      <c r="AF134"/>
      <c r="AG134"/>
      <c r="AH134"/>
      <c r="AI134"/>
      <c r="AJ134"/>
      <c r="AK134"/>
      <c r="AL134"/>
      <c r="AM134"/>
    </row>
    <row r="135" spans="1:39" s="3" customFormat="1" collapsed="1" x14ac:dyDescent="0.25">
      <c r="A135" s="21" t="s">
        <v>22</v>
      </c>
      <c r="B135" s="21" t="s">
        <v>49</v>
      </c>
      <c r="C135" s="21" t="s">
        <v>722</v>
      </c>
      <c r="D135" s="15">
        <v>0</v>
      </c>
      <c r="E135" s="57" t="s">
        <v>364</v>
      </c>
      <c r="F135" s="15">
        <v>0</v>
      </c>
      <c r="G135" s="15">
        <v>2.8148148148148149</v>
      </c>
      <c r="H135" s="57">
        <v>370.12592105263155</v>
      </c>
      <c r="I135" s="15">
        <v>1041.8359259259259</v>
      </c>
      <c r="J135" s="15">
        <v>0</v>
      </c>
      <c r="K135" s="14" t="s">
        <v>364</v>
      </c>
      <c r="L135" s="15">
        <v>0</v>
      </c>
      <c r="M135" s="15" t="s">
        <v>364</v>
      </c>
      <c r="N135" s="15" t="s">
        <v>364</v>
      </c>
      <c r="O135" s="15" t="s">
        <v>364</v>
      </c>
      <c r="P135" s="15" t="s">
        <v>364</v>
      </c>
      <c r="Q135" s="15" t="s">
        <v>364</v>
      </c>
      <c r="R135" s="15" t="s">
        <v>364</v>
      </c>
      <c r="S135" s="15" t="s">
        <v>364</v>
      </c>
      <c r="T135" s="15" t="s">
        <v>364</v>
      </c>
      <c r="U135" s="17" t="s">
        <v>364</v>
      </c>
      <c r="V135" s="17" t="s">
        <v>364</v>
      </c>
      <c r="W135" s="17" t="s">
        <v>364</v>
      </c>
      <c r="X135" s="17">
        <v>-1</v>
      </c>
      <c r="Y135" s="17">
        <v>-1</v>
      </c>
      <c r="Z135" s="73">
        <v>0</v>
      </c>
      <c r="AA135" s="73">
        <v>0</v>
      </c>
      <c r="AC135"/>
      <c r="AD135"/>
      <c r="AE135"/>
      <c r="AF135"/>
      <c r="AG135"/>
      <c r="AH135"/>
      <c r="AI135"/>
      <c r="AJ135"/>
      <c r="AK135"/>
      <c r="AL135"/>
      <c r="AM135"/>
    </row>
  </sheetData>
  <mergeCells count="49">
    <mergeCell ref="X39:Y39"/>
    <mergeCell ref="D39:F39"/>
    <mergeCell ref="G39:I39"/>
    <mergeCell ref="J39:L39"/>
    <mergeCell ref="M39:O39"/>
    <mergeCell ref="P39:T39"/>
    <mergeCell ref="V39:W39"/>
    <mergeCell ref="D38:F38"/>
    <mergeCell ref="G38:I38"/>
    <mergeCell ref="J38:L38"/>
    <mergeCell ref="M38:O38"/>
    <mergeCell ref="P38:T38"/>
    <mergeCell ref="S14:U14"/>
    <mergeCell ref="V14:Z14"/>
    <mergeCell ref="AA14:AB14"/>
    <mergeCell ref="AC14:AD14"/>
    <mergeCell ref="AE14:AF14"/>
    <mergeCell ref="D14:F14"/>
    <mergeCell ref="G14:I14"/>
    <mergeCell ref="J14:L14"/>
    <mergeCell ref="M14:O14"/>
    <mergeCell ref="P14:R14"/>
    <mergeCell ref="AA8:AB8"/>
    <mergeCell ref="AC8:AD8"/>
    <mergeCell ref="AE8:AF8"/>
    <mergeCell ref="D13:F13"/>
    <mergeCell ref="G13:I13"/>
    <mergeCell ref="J13:L13"/>
    <mergeCell ref="M13:O13"/>
    <mergeCell ref="P13:R13"/>
    <mergeCell ref="S13:U13"/>
    <mergeCell ref="V13:Z13"/>
    <mergeCell ref="P7:R7"/>
    <mergeCell ref="S7:U7"/>
    <mergeCell ref="V7:Z7"/>
    <mergeCell ref="C8:C9"/>
    <mergeCell ref="D8:F8"/>
    <mergeCell ref="G8:I8"/>
    <mergeCell ref="J8:L8"/>
    <mergeCell ref="M8:O8"/>
    <mergeCell ref="P8:R8"/>
    <mergeCell ref="S8:U8"/>
    <mergeCell ref="M7:O7"/>
    <mergeCell ref="V8:Z8"/>
    <mergeCell ref="C1:C2"/>
    <mergeCell ref="D1:H2"/>
    <mergeCell ref="D7:F7"/>
    <mergeCell ref="G7:I7"/>
    <mergeCell ref="J7:L7"/>
  </mergeCells>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7ABB4-60E9-4C49-9E17-6261B9B63329}">
  <sheetPr codeName="Sheet4">
    <outlinePr summaryBelow="0"/>
  </sheetPr>
  <dimension ref="A1:AM225"/>
  <sheetViews>
    <sheetView showGridLines="0" zoomScale="90" zoomScaleNormal="90" workbookViewId="0"/>
  </sheetViews>
  <sheetFormatPr defaultRowHeight="15" outlineLevelRow="1" x14ac:dyDescent="0.25"/>
  <cols>
    <col min="1" max="1" width="4.5703125" bestFit="1" customWidth="1"/>
    <col min="2" max="2" width="13.85546875" bestFit="1" customWidth="1"/>
    <col min="3" max="3" width="43.85546875" style="3" bestFit="1" customWidth="1"/>
    <col min="4" max="4" width="5.85546875" style="3" bestFit="1" customWidth="1"/>
    <col min="5" max="5" width="6.42578125" style="3" bestFit="1" customWidth="1"/>
    <col min="6" max="6" width="9.140625" style="3" bestFit="1" customWidth="1"/>
    <col min="7" max="7" width="5.85546875" style="3" bestFit="1" customWidth="1"/>
    <col min="8" max="8" width="6.42578125" style="3" bestFit="1" customWidth="1"/>
    <col min="9" max="9" width="9.140625" style="3" bestFit="1" customWidth="1"/>
    <col min="10" max="10" width="5.85546875" style="3" bestFit="1" customWidth="1"/>
    <col min="11" max="11" width="6.42578125" style="3" bestFit="1" customWidth="1"/>
    <col min="12" max="12" width="9.7109375" style="3" bestFit="1" customWidth="1"/>
    <col min="13" max="13" width="8.85546875" style="3" bestFit="1" customWidth="1"/>
    <col min="14" max="14" width="9.7109375" style="3" bestFit="1" customWidth="1"/>
    <col min="15" max="15" width="9.140625" style="3" bestFit="1" customWidth="1"/>
    <col min="16" max="16" width="6.42578125" style="3" bestFit="1" customWidth="1"/>
    <col min="17" max="17" width="9.140625" style="3" bestFit="1" customWidth="1"/>
    <col min="18" max="18" width="7.85546875" style="3" bestFit="1" customWidth="1"/>
    <col min="19" max="19" width="11.28515625" style="3" bestFit="1" customWidth="1"/>
    <col min="20" max="20" width="12.5703125" style="3" bestFit="1" customWidth="1"/>
    <col min="21" max="21" width="18.140625" style="3" bestFit="1" customWidth="1"/>
    <col min="22" max="24" width="9.140625" style="3" bestFit="1" customWidth="1"/>
    <col min="25" max="25" width="12" style="3" bestFit="1" customWidth="1"/>
    <col min="26" max="26" width="13.42578125" style="3" bestFit="1" customWidth="1"/>
    <col min="27" max="27" width="12" style="3" bestFit="1" customWidth="1"/>
    <col min="28" max="28" width="13.42578125" style="3" bestFit="1" customWidth="1"/>
    <col min="29" max="30" width="8.7109375" customWidth="1"/>
    <col min="31" max="31" width="7.5703125" bestFit="1" customWidth="1"/>
    <col min="32" max="32" width="7.85546875" bestFit="1" customWidth="1"/>
    <col min="33" max="33" width="7.5703125" bestFit="1" customWidth="1"/>
    <col min="34" max="34" width="7.85546875" bestFit="1" customWidth="1"/>
    <col min="35" max="35" width="4.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s>
  <sheetData>
    <row r="1" spans="3:34" ht="15" customHeight="1" x14ac:dyDescent="0.25">
      <c r="C1" s="112" t="s">
        <v>21</v>
      </c>
      <c r="D1" s="114">
        <v>44698</v>
      </c>
      <c r="E1" s="115"/>
      <c r="F1" s="115"/>
      <c r="G1" s="115"/>
      <c r="H1" s="115"/>
      <c r="I1"/>
      <c r="J1" s="1"/>
      <c r="K1" s="9">
        <v>0.47826086956521741</v>
      </c>
      <c r="L1" s="2"/>
      <c r="M1" s="74"/>
      <c r="AC1" s="3"/>
      <c r="AD1" s="3"/>
      <c r="AE1" s="3"/>
    </row>
    <row r="2" spans="3:34" ht="24.75" customHeight="1" x14ac:dyDescent="0.25">
      <c r="C2" s="113"/>
      <c r="D2" s="114"/>
      <c r="E2" s="115"/>
      <c r="F2" s="115"/>
      <c r="G2" s="115"/>
      <c r="H2" s="115"/>
      <c r="I2"/>
      <c r="J2"/>
      <c r="AC2" s="3"/>
      <c r="AD2" s="3"/>
      <c r="AE2" s="3"/>
    </row>
    <row r="3" spans="3:34" x14ac:dyDescent="0.25">
      <c r="C3"/>
      <c r="D3"/>
      <c r="E3"/>
      <c r="F3"/>
      <c r="G3"/>
      <c r="H3"/>
      <c r="I3"/>
      <c r="J3"/>
      <c r="K3"/>
      <c r="L3"/>
      <c r="M3"/>
      <c r="N3"/>
      <c r="O3"/>
      <c r="P3"/>
      <c r="Q3"/>
      <c r="R3"/>
      <c r="S3"/>
      <c r="T3"/>
      <c r="U3"/>
      <c r="V3"/>
      <c r="W3"/>
      <c r="X3"/>
      <c r="Y3"/>
      <c r="Z3"/>
      <c r="AA3"/>
      <c r="AB3"/>
    </row>
    <row r="4" spans="3:34" x14ac:dyDescent="0.25">
      <c r="C4"/>
      <c r="D4"/>
      <c r="E4"/>
      <c r="F4"/>
      <c r="G4"/>
      <c r="H4"/>
      <c r="I4"/>
      <c r="J4"/>
      <c r="K4"/>
      <c r="L4"/>
      <c r="M4"/>
      <c r="N4"/>
      <c r="O4"/>
      <c r="P4"/>
      <c r="Q4"/>
      <c r="R4"/>
      <c r="S4"/>
      <c r="T4"/>
      <c r="U4"/>
      <c r="V4"/>
      <c r="W4"/>
      <c r="X4"/>
      <c r="Y4"/>
      <c r="Z4"/>
      <c r="AA4"/>
      <c r="AB4"/>
    </row>
    <row r="5" spans="3:34" x14ac:dyDescent="0.25">
      <c r="C5"/>
      <c r="D5"/>
      <c r="E5"/>
      <c r="F5"/>
      <c r="G5"/>
      <c r="H5"/>
      <c r="I5"/>
      <c r="J5"/>
      <c r="K5"/>
      <c r="L5"/>
      <c r="M5"/>
      <c r="N5"/>
      <c r="O5"/>
      <c r="P5"/>
      <c r="Q5"/>
      <c r="R5"/>
      <c r="S5"/>
      <c r="T5"/>
      <c r="U5"/>
      <c r="V5"/>
      <c r="W5"/>
      <c r="X5"/>
      <c r="Y5"/>
      <c r="Z5"/>
      <c r="AA5"/>
      <c r="AB5"/>
    </row>
    <row r="6" spans="3:34" x14ac:dyDescent="0.25">
      <c r="C6" s="33"/>
      <c r="D6" s="34"/>
      <c r="E6" s="34"/>
      <c r="F6" s="34"/>
      <c r="G6" s="34"/>
      <c r="N6" s="35"/>
      <c r="AC6" s="3"/>
      <c r="AD6" s="3"/>
      <c r="AE6" s="3"/>
    </row>
    <row r="7" spans="3:34" x14ac:dyDescent="0.25">
      <c r="D7" s="118" t="s">
        <v>355</v>
      </c>
      <c r="E7" s="118"/>
      <c r="F7" s="118"/>
      <c r="G7" s="118" t="s">
        <v>356</v>
      </c>
      <c r="H7" s="118"/>
      <c r="I7" s="118"/>
      <c r="J7" s="119" t="s">
        <v>357</v>
      </c>
      <c r="K7" s="120"/>
      <c r="L7" s="120"/>
      <c r="M7" s="120"/>
      <c r="N7" s="121"/>
      <c r="O7" s="120" t="s">
        <v>358</v>
      </c>
      <c r="P7" s="120"/>
      <c r="Q7" s="120"/>
      <c r="R7" s="122" t="s">
        <v>1</v>
      </c>
      <c r="S7" s="123"/>
      <c r="T7" s="123"/>
      <c r="U7" s="122" t="s">
        <v>2</v>
      </c>
      <c r="V7" s="123"/>
      <c r="W7" s="123"/>
      <c r="X7" s="122" t="s">
        <v>3</v>
      </c>
      <c r="Y7" s="123"/>
      <c r="Z7" s="123"/>
      <c r="AA7" s="123"/>
      <c r="AB7" s="123"/>
      <c r="AC7" s="3"/>
      <c r="AD7" s="3"/>
    </row>
    <row r="8" spans="3:34" x14ac:dyDescent="0.25">
      <c r="C8" s="116" t="s">
        <v>4</v>
      </c>
      <c r="D8" s="124" t="s">
        <v>20</v>
      </c>
      <c r="E8" s="125"/>
      <c r="F8" s="126"/>
      <c r="G8" s="124" t="s">
        <v>5</v>
      </c>
      <c r="H8" s="125"/>
      <c r="I8" s="126"/>
      <c r="J8" s="124" t="s">
        <v>17</v>
      </c>
      <c r="K8" s="125"/>
      <c r="L8" s="125"/>
      <c r="M8" s="125"/>
      <c r="N8" s="126"/>
      <c r="O8" s="125" t="s">
        <v>17</v>
      </c>
      <c r="P8" s="125"/>
      <c r="Q8" s="125"/>
      <c r="R8" s="125" t="s">
        <v>17</v>
      </c>
      <c r="S8" s="125"/>
      <c r="T8" s="125"/>
      <c r="U8" s="125" t="s">
        <v>17</v>
      </c>
      <c r="V8" s="125"/>
      <c r="W8" s="125"/>
      <c r="X8" s="124" t="s">
        <v>17</v>
      </c>
      <c r="Y8" s="125"/>
      <c r="Z8" s="125"/>
      <c r="AA8" s="125"/>
      <c r="AB8" s="126"/>
      <c r="AC8" s="127" t="s">
        <v>6</v>
      </c>
      <c r="AD8" s="128"/>
      <c r="AE8" s="127" t="s">
        <v>7</v>
      </c>
      <c r="AF8" s="129"/>
      <c r="AG8" s="127" t="s">
        <v>8</v>
      </c>
      <c r="AH8" s="129"/>
    </row>
    <row r="9" spans="3:34" x14ac:dyDescent="0.25">
      <c r="C9" s="117"/>
      <c r="D9" s="4" t="s">
        <v>9</v>
      </c>
      <c r="E9" s="4" t="s">
        <v>10</v>
      </c>
      <c r="F9" s="4" t="s">
        <v>11</v>
      </c>
      <c r="G9" s="4" t="s">
        <v>9</v>
      </c>
      <c r="H9" s="4" t="s">
        <v>10</v>
      </c>
      <c r="I9" s="4" t="s">
        <v>11</v>
      </c>
      <c r="J9" s="4" t="s">
        <v>9</v>
      </c>
      <c r="K9" s="4" t="s">
        <v>10</v>
      </c>
      <c r="L9" s="4" t="s">
        <v>11</v>
      </c>
      <c r="M9" s="4" t="s">
        <v>12</v>
      </c>
      <c r="N9" s="4" t="s">
        <v>13</v>
      </c>
      <c r="O9" s="4" t="s">
        <v>9</v>
      </c>
      <c r="P9" s="4" t="s">
        <v>10</v>
      </c>
      <c r="Q9" s="4" t="s">
        <v>11</v>
      </c>
      <c r="R9" s="4" t="s">
        <v>9</v>
      </c>
      <c r="S9" s="4" t="s">
        <v>10</v>
      </c>
      <c r="T9" s="4" t="s">
        <v>11</v>
      </c>
      <c r="U9" s="4" t="s">
        <v>9</v>
      </c>
      <c r="V9" s="4" t="s">
        <v>10</v>
      </c>
      <c r="W9" s="4" t="s">
        <v>11</v>
      </c>
      <c r="X9" s="4" t="s">
        <v>9</v>
      </c>
      <c r="Y9" s="4" t="s">
        <v>10</v>
      </c>
      <c r="Z9" s="4" t="s">
        <v>11</v>
      </c>
      <c r="AA9" s="4" t="s">
        <v>14</v>
      </c>
      <c r="AB9" s="4" t="s">
        <v>15</v>
      </c>
      <c r="AC9" s="4" t="s">
        <v>16</v>
      </c>
      <c r="AD9" s="4" t="s">
        <v>11</v>
      </c>
      <c r="AE9" s="4" t="s">
        <v>16</v>
      </c>
      <c r="AF9" s="4" t="s">
        <v>11</v>
      </c>
      <c r="AG9" s="4" t="s">
        <v>16</v>
      </c>
      <c r="AH9" s="4" t="s">
        <v>11</v>
      </c>
    </row>
    <row r="10" spans="3:34" collapsed="1" x14ac:dyDescent="0.25">
      <c r="C10" s="5" t="s">
        <v>144</v>
      </c>
      <c r="D10" s="6">
        <v>807.304347826087</v>
      </c>
      <c r="E10" s="53">
        <v>485.26865521327022</v>
      </c>
      <c r="F10" s="6">
        <v>391759.49521739141</v>
      </c>
      <c r="G10" s="6">
        <v>1273.1304347826087</v>
      </c>
      <c r="H10" s="53">
        <v>612.99007513148001</v>
      </c>
      <c r="I10" s="6">
        <v>780416.32086956513</v>
      </c>
      <c r="J10" s="6">
        <v>821</v>
      </c>
      <c r="K10" s="53">
        <v>548.00623629719848</v>
      </c>
      <c r="L10" s="6">
        <v>449913.12</v>
      </c>
      <c r="M10" s="7">
        <v>0.51978417266187049</v>
      </c>
      <c r="N10" s="7">
        <v>0.48021582733812951</v>
      </c>
      <c r="O10" s="6">
        <v>1316.1739130434785</v>
      </c>
      <c r="P10" s="53">
        <v>632.04215116279067</v>
      </c>
      <c r="Q10" s="6">
        <v>831877.3913043479</v>
      </c>
      <c r="R10" s="6">
        <v>1716.6363636363635</v>
      </c>
      <c r="S10" s="6">
        <v>548.0062362971986</v>
      </c>
      <c r="T10" s="6">
        <v>940727.43272727274</v>
      </c>
      <c r="U10" s="6">
        <v>2752</v>
      </c>
      <c r="V10" s="6">
        <v>632.04215116279067</v>
      </c>
      <c r="W10" s="6">
        <v>1739380</v>
      </c>
      <c r="X10" s="6">
        <v>-495.17391304347848</v>
      </c>
      <c r="Y10" s="6">
        <v>-84.03591486559219</v>
      </c>
      <c r="Z10" s="6">
        <v>-381964.2713043479</v>
      </c>
      <c r="AA10" s="6">
        <v>-68993.486104651194</v>
      </c>
      <c r="AB10" s="6">
        <v>-312970.78519969678</v>
      </c>
      <c r="AC10" s="8">
        <v>0.62377774841437617</v>
      </c>
      <c r="AD10" s="8">
        <v>0.54084066318301505</v>
      </c>
      <c r="AE10" s="8">
        <v>1.6964670400689309E-2</v>
      </c>
      <c r="AF10" s="8">
        <v>0.14844215773337807</v>
      </c>
      <c r="AG10" s="8">
        <v>-0.35513284611706852</v>
      </c>
      <c r="AH10" s="8">
        <v>-0.42349601364219008</v>
      </c>
    </row>
    <row r="11" spans="3:34" s="16" customFormat="1" hidden="1" outlineLevel="1" x14ac:dyDescent="0.25">
      <c r="C11" s="37" t="s">
        <v>362</v>
      </c>
      <c r="D11" s="15">
        <v>199.43478260869566</v>
      </c>
      <c r="E11" s="57">
        <v>458.13551558753005</v>
      </c>
      <c r="F11" s="15">
        <v>91368.156956521751</v>
      </c>
      <c r="G11" s="15">
        <v>282.17391304347825</v>
      </c>
      <c r="H11" s="57">
        <v>754.14650847457619</v>
      </c>
      <c r="I11" s="15">
        <v>212800.4713043478</v>
      </c>
      <c r="J11" s="15">
        <v>216</v>
      </c>
      <c r="K11" s="57">
        <v>524.02314814814815</v>
      </c>
      <c r="L11" s="15">
        <v>113189</v>
      </c>
      <c r="M11" s="22" t="s">
        <v>364</v>
      </c>
      <c r="N11" s="22" t="s">
        <v>364</v>
      </c>
      <c r="O11" s="15">
        <v>315.67093955082703</v>
      </c>
      <c r="P11" s="57">
        <v>710.66392001958491</v>
      </c>
      <c r="Q11" s="15">
        <v>224335.94733745616</v>
      </c>
      <c r="R11" s="15">
        <v>451.63636363636363</v>
      </c>
      <c r="S11" s="15">
        <v>524.02314814814815</v>
      </c>
      <c r="T11" s="15">
        <v>236667.90909090909</v>
      </c>
      <c r="U11" s="15">
        <v>660.03923724263825</v>
      </c>
      <c r="V11" s="15">
        <v>710.66392001958491</v>
      </c>
      <c r="W11" s="15">
        <v>469066.07170559012</v>
      </c>
      <c r="X11" s="15">
        <v>-99.670939550827029</v>
      </c>
      <c r="Y11" s="15">
        <v>-186.64077187143675</v>
      </c>
      <c r="Z11" s="15">
        <v>-111146.94733745616</v>
      </c>
      <c r="AA11" s="6">
        <v>-40314.406724230343</v>
      </c>
      <c r="AB11" s="6">
        <v>-70832.540613225821</v>
      </c>
      <c r="AC11" s="17">
        <v>0.68425684134038334</v>
      </c>
      <c r="AD11" s="17">
        <v>0.5045513273436113</v>
      </c>
      <c r="AE11" s="17">
        <v>8.3060824068018291E-2</v>
      </c>
      <c r="AF11" s="17">
        <v>0.23882328122106991</v>
      </c>
      <c r="AG11" s="17">
        <v>-0.23451463790446839</v>
      </c>
      <c r="AH11" s="17">
        <v>-0.46809798255513829</v>
      </c>
    </row>
    <row r="12" spans="3:34" s="16" customFormat="1" hidden="1" outlineLevel="1" x14ac:dyDescent="0.25">
      <c r="C12" s="37" t="s">
        <v>363</v>
      </c>
      <c r="D12" s="15">
        <v>607.86956521739137</v>
      </c>
      <c r="E12" s="57">
        <v>494.17071597167597</v>
      </c>
      <c r="F12" s="15">
        <v>300391.33826086967</v>
      </c>
      <c r="G12" s="15">
        <v>990.95652173913049</v>
      </c>
      <c r="H12" s="57">
        <v>572.79591698841693</v>
      </c>
      <c r="I12" s="15">
        <v>567615.84956521739</v>
      </c>
      <c r="J12" s="15">
        <v>605</v>
      </c>
      <c r="K12" s="57">
        <v>556.56879338842975</v>
      </c>
      <c r="L12" s="15">
        <v>336724.12</v>
      </c>
      <c r="M12" s="22" t="s">
        <v>364</v>
      </c>
      <c r="N12" s="22" t="s">
        <v>364</v>
      </c>
      <c r="O12" s="15">
        <v>1000.5029734926514</v>
      </c>
      <c r="P12" s="57">
        <v>607.2360203448751</v>
      </c>
      <c r="Q12" s="15">
        <v>607541.44396689173</v>
      </c>
      <c r="R12" s="15">
        <v>1265</v>
      </c>
      <c r="S12" s="15">
        <v>556.56879338842964</v>
      </c>
      <c r="T12" s="15">
        <v>704059.52363636356</v>
      </c>
      <c r="U12" s="15">
        <v>2091.9607627573619</v>
      </c>
      <c r="V12" s="15">
        <v>607.23602034487521</v>
      </c>
      <c r="W12" s="15">
        <v>1270313.92829441</v>
      </c>
      <c r="X12" s="15">
        <v>-395.50297349265145</v>
      </c>
      <c r="Y12" s="15">
        <v>-50.667226956445347</v>
      </c>
      <c r="Z12" s="15">
        <v>-270817.32396689174</v>
      </c>
      <c r="AA12" s="6">
        <v>-30653.672308649435</v>
      </c>
      <c r="AB12" s="6">
        <v>-240163.65165824231</v>
      </c>
      <c r="AC12" s="17">
        <v>0.60469585401431458</v>
      </c>
      <c r="AD12" s="17">
        <v>0.55424057625005407</v>
      </c>
      <c r="AE12" s="17">
        <v>-4.7206923682141097E-3</v>
      </c>
      <c r="AF12" s="17">
        <v>0.12095149597015926</v>
      </c>
      <c r="AG12" s="17">
        <v>-0.38947876447876451</v>
      </c>
      <c r="AH12" s="17">
        <v>-0.40677463418626514</v>
      </c>
    </row>
    <row r="13" spans="3:34" collapsed="1" x14ac:dyDescent="0.25">
      <c r="C13" s="5" t="s">
        <v>145</v>
      </c>
      <c r="D13" s="6">
        <v>1949.3913043478262</v>
      </c>
      <c r="E13" s="53">
        <v>486.90802011776259</v>
      </c>
      <c r="F13" s="6">
        <v>949174.26043478283</v>
      </c>
      <c r="G13" s="6">
        <v>2856.1739130434785</v>
      </c>
      <c r="H13" s="53">
        <v>510.51685699933006</v>
      </c>
      <c r="I13" s="6">
        <v>1458124.9291304345</v>
      </c>
      <c r="J13" s="6">
        <v>1893</v>
      </c>
      <c r="K13" s="53">
        <v>533.15630216587442</v>
      </c>
      <c r="L13" s="6">
        <v>1009264.8800000004</v>
      </c>
      <c r="M13" s="7">
        <v>0.52757201646090535</v>
      </c>
      <c r="N13" s="7">
        <v>0.47242798353909465</v>
      </c>
      <c r="O13" s="6">
        <v>3002.0434782608691</v>
      </c>
      <c r="P13" s="53">
        <v>549.84005097976762</v>
      </c>
      <c r="Q13" s="6">
        <v>1650643.739130435</v>
      </c>
      <c r="R13" s="6">
        <v>3958.090909090909</v>
      </c>
      <c r="S13" s="6">
        <v>533.15630216587442</v>
      </c>
      <c r="T13" s="6">
        <v>2110281.1127272733</v>
      </c>
      <c r="U13" s="6">
        <v>6277</v>
      </c>
      <c r="V13" s="6">
        <v>549.8400509797674</v>
      </c>
      <c r="W13" s="6">
        <v>3451346</v>
      </c>
      <c r="X13" s="6">
        <v>-1109.0434782608691</v>
      </c>
      <c r="Y13" s="6">
        <v>-16.683748813893203</v>
      </c>
      <c r="Z13" s="6">
        <v>-641378.85913043469</v>
      </c>
      <c r="AA13" s="6">
        <v>-31582.336504699833</v>
      </c>
      <c r="AB13" s="6">
        <v>-609796.52262573503</v>
      </c>
      <c r="AC13" s="8">
        <v>0.63057048097672608</v>
      </c>
      <c r="AD13" s="8">
        <v>0.6114371357514643</v>
      </c>
      <c r="AE13" s="8">
        <v>-2.8927647426175467E-2</v>
      </c>
      <c r="AF13" s="8">
        <v>6.330831130807546E-2</v>
      </c>
      <c r="AG13" s="8">
        <v>-0.33722523290507223</v>
      </c>
      <c r="AH13" s="8">
        <v>-0.30783373918318219</v>
      </c>
    </row>
    <row r="14" spans="3:34" s="16" customFormat="1" hidden="1" outlineLevel="1" x14ac:dyDescent="0.25">
      <c r="C14" s="37" t="s">
        <v>362</v>
      </c>
      <c r="D14" s="15">
        <v>428.04347826086956</v>
      </c>
      <c r="E14" s="57">
        <v>527.2113072625699</v>
      </c>
      <c r="F14" s="15">
        <v>225669.36173913046</v>
      </c>
      <c r="G14" s="15">
        <v>598.78260869565224</v>
      </c>
      <c r="H14" s="57">
        <v>677.2809345047923</v>
      </c>
      <c r="I14" s="15">
        <v>405544.04478260869</v>
      </c>
      <c r="J14" s="15">
        <v>448</v>
      </c>
      <c r="K14" s="57">
        <v>648.7147321428572</v>
      </c>
      <c r="L14" s="15">
        <v>290624.2</v>
      </c>
      <c r="M14" s="22" t="s">
        <v>364</v>
      </c>
      <c r="N14" s="22" t="s">
        <v>364</v>
      </c>
      <c r="O14" s="15">
        <v>623.82898979003187</v>
      </c>
      <c r="P14" s="57">
        <v>668.83262362227924</v>
      </c>
      <c r="Q14" s="15">
        <v>417237.17993290309</v>
      </c>
      <c r="R14" s="15">
        <v>936.72727272727275</v>
      </c>
      <c r="S14" s="15">
        <v>648.7147321428572</v>
      </c>
      <c r="T14" s="15">
        <v>607668.78181818186</v>
      </c>
      <c r="U14" s="15">
        <v>1505.4746701206543</v>
      </c>
      <c r="V14" s="15">
        <v>618.23643453869386</v>
      </c>
      <c r="W14" s="15">
        <v>930739.29234370962</v>
      </c>
      <c r="X14" s="15">
        <v>-175.82898979003187</v>
      </c>
      <c r="Y14" s="15">
        <v>-20.117891479422042</v>
      </c>
      <c r="Z14" s="15">
        <v>-126612.97993290308</v>
      </c>
      <c r="AA14" s="6">
        <v>-9012.8153827810747</v>
      </c>
      <c r="AB14" s="6">
        <v>-117600.16455012196</v>
      </c>
      <c r="AC14" s="17">
        <v>0.71814552919508867</v>
      </c>
      <c r="AD14" s="17">
        <v>0.69654434929968601</v>
      </c>
      <c r="AE14" s="17">
        <v>4.6622651091924844E-2</v>
      </c>
      <c r="AF14" s="17">
        <v>0.28783188714804858</v>
      </c>
      <c r="AG14" s="17">
        <v>-0.25181527737438292</v>
      </c>
      <c r="AH14" s="17">
        <v>-0.28337204370541624</v>
      </c>
    </row>
    <row r="15" spans="3:34" s="16" customFormat="1" hidden="1" outlineLevel="1" x14ac:dyDescent="0.25">
      <c r="C15" s="37" t="s">
        <v>363</v>
      </c>
      <c r="D15" s="15">
        <v>1521.3478260869565</v>
      </c>
      <c r="E15" s="57">
        <v>475.56836529393286</v>
      </c>
      <c r="F15" s="15">
        <v>723504.89869565237</v>
      </c>
      <c r="G15" s="15">
        <v>2257.391304347826</v>
      </c>
      <c r="H15" s="57">
        <v>466.28197881355919</v>
      </c>
      <c r="I15" s="15">
        <v>1052580.8843478258</v>
      </c>
      <c r="J15" s="15">
        <v>1445</v>
      </c>
      <c r="K15" s="57">
        <v>497.3291903114187</v>
      </c>
      <c r="L15" s="15">
        <v>718640.68</v>
      </c>
      <c r="M15" s="22" t="s">
        <v>364</v>
      </c>
      <c r="N15" s="22" t="s">
        <v>364</v>
      </c>
      <c r="O15" s="15">
        <v>2378.2144884708373</v>
      </c>
      <c r="P15" s="57">
        <v>518.6271318995274</v>
      </c>
      <c r="Q15" s="15">
        <v>1233406.559197532</v>
      </c>
      <c r="R15" s="15">
        <v>3021.3636363636365</v>
      </c>
      <c r="S15" s="15">
        <v>497.3291903114187</v>
      </c>
      <c r="T15" s="15">
        <v>1502612.330909091</v>
      </c>
      <c r="U15" s="15">
        <v>4771.5253298793459</v>
      </c>
      <c r="V15" s="15">
        <v>528.26015443577808</v>
      </c>
      <c r="W15" s="15">
        <v>2520606.7076562904</v>
      </c>
      <c r="X15" s="15">
        <v>-933.2144884708373</v>
      </c>
      <c r="Y15" s="15">
        <v>-21.297941588108699</v>
      </c>
      <c r="Z15" s="15">
        <v>-514765.87919753196</v>
      </c>
      <c r="AA15" s="6">
        <v>-30775.525594817071</v>
      </c>
      <c r="AB15" s="6">
        <v>-483990.35360271495</v>
      </c>
      <c r="AC15" s="17">
        <v>0.6075986867480222</v>
      </c>
      <c r="AD15" s="17">
        <v>0.58264703932461304</v>
      </c>
      <c r="AE15" s="17">
        <v>-5.018433311422936E-2</v>
      </c>
      <c r="AF15" s="17">
        <v>-6.7231316670027016E-3</v>
      </c>
      <c r="AG15" s="17">
        <v>-0.35988058551617874</v>
      </c>
      <c r="AH15" s="17">
        <v>-0.31725847325712503</v>
      </c>
    </row>
    <row r="16" spans="3:34" collapsed="1" x14ac:dyDescent="0.25">
      <c r="C16" s="5" t="s">
        <v>21</v>
      </c>
      <c r="D16" s="6">
        <v>2756.695652173913</v>
      </c>
      <c r="E16" s="53">
        <v>486.42792852185988</v>
      </c>
      <c r="F16" s="6">
        <v>1340933.7556521741</v>
      </c>
      <c r="G16" s="6">
        <v>4129.304347826087</v>
      </c>
      <c r="H16" s="53">
        <v>542.11098563817461</v>
      </c>
      <c r="I16" s="6">
        <v>2238541.25</v>
      </c>
      <c r="J16" s="6">
        <v>2714</v>
      </c>
      <c r="K16" s="53">
        <v>537.6484893146644</v>
      </c>
      <c r="L16" s="6">
        <v>1459177.9999999991</v>
      </c>
      <c r="M16" s="7">
        <v>0.52512704686617728</v>
      </c>
      <c r="N16" s="7">
        <v>0.47487295313382272</v>
      </c>
      <c r="O16" s="6">
        <v>4318.2173913043471</v>
      </c>
      <c r="P16" s="53">
        <v>574.89489422970451</v>
      </c>
      <c r="Q16" s="6">
        <v>2482521.1304347832</v>
      </c>
      <c r="R16" s="6">
        <v>5674.727272727273</v>
      </c>
      <c r="S16" s="6">
        <v>537.64848931466429</v>
      </c>
      <c r="T16" s="6">
        <v>3051008.5454545435</v>
      </c>
      <c r="U16" s="6">
        <v>9029</v>
      </c>
      <c r="V16" s="6">
        <v>574.89489422970428</v>
      </c>
      <c r="W16" s="6">
        <v>5190726</v>
      </c>
      <c r="X16" s="6">
        <v>-1604.2173913043471</v>
      </c>
      <c r="Y16" s="6">
        <v>-37.246404915040102</v>
      </c>
      <c r="Z16" s="6">
        <v>-1023343.1304347841</v>
      </c>
      <c r="AA16" s="6">
        <v>-101086.74293941884</v>
      </c>
      <c r="AB16" s="6">
        <v>-922256.38749536511</v>
      </c>
      <c r="AC16" s="8">
        <v>0.62850008558281911</v>
      </c>
      <c r="AD16" s="8">
        <v>0.58778069685330003</v>
      </c>
      <c r="AE16" s="8">
        <v>-1.5487981830799304E-2</v>
      </c>
      <c r="AF16" s="8">
        <v>8.8180526330561268E-2</v>
      </c>
      <c r="AG16" s="8">
        <v>-0.34274643586665826</v>
      </c>
      <c r="AH16" s="8">
        <v>-0.34815675163457493</v>
      </c>
    </row>
    <row r="17" spans="3:39" s="16" customFormat="1" hidden="1" outlineLevel="1" x14ac:dyDescent="0.25">
      <c r="C17" s="37" t="s">
        <v>362</v>
      </c>
      <c r="D17" s="15">
        <v>627.47826086956525</v>
      </c>
      <c r="E17" s="57">
        <v>505.25657774390237</v>
      </c>
      <c r="F17" s="15">
        <v>317037.51869565214</v>
      </c>
      <c r="G17" s="15">
        <v>428.04347826086956</v>
      </c>
      <c r="H17" s="57">
        <v>527.2113072625699</v>
      </c>
      <c r="I17" s="15">
        <v>225669.36173913046</v>
      </c>
      <c r="J17" s="6">
        <v>664</v>
      </c>
      <c r="K17" s="57">
        <v>608.15240963855433</v>
      </c>
      <c r="L17" s="57">
        <v>403813.20000000007</v>
      </c>
      <c r="M17" s="75" t="s">
        <v>364</v>
      </c>
      <c r="N17" s="75" t="s">
        <v>364</v>
      </c>
      <c r="O17" s="15">
        <v>939.4999293408589</v>
      </c>
      <c r="P17" s="57">
        <v>682.88789305229511</v>
      </c>
      <c r="Q17" s="15">
        <v>641573.12727035931</v>
      </c>
      <c r="R17" s="6">
        <v>1388.3636363636363</v>
      </c>
      <c r="S17" s="6">
        <v>608.15240963855433</v>
      </c>
      <c r="T17" s="6">
        <v>844336.69090909103</v>
      </c>
      <c r="U17" s="15">
        <v>2165.5139073632927</v>
      </c>
      <c r="V17" s="15">
        <v>646.4079308332349</v>
      </c>
      <c r="W17" s="15">
        <v>1399805.3640492996</v>
      </c>
      <c r="X17" s="15">
        <v>-275.4999293408589</v>
      </c>
      <c r="Y17" s="15">
        <v>-74.735483413740781</v>
      </c>
      <c r="Z17" s="15">
        <v>-237759.92727035924</v>
      </c>
      <c r="AA17" s="6">
        <v>-49624.360986723877</v>
      </c>
      <c r="AB17" s="6">
        <v>-188135.5662836353</v>
      </c>
      <c r="AC17" s="8">
        <v>0.70675896747097566</v>
      </c>
      <c r="AD17" s="8">
        <v>0.62941102554913109</v>
      </c>
      <c r="AE17" s="8">
        <v>5.8203991130820351E-2</v>
      </c>
      <c r="AF17" s="8">
        <v>0.27370792473193167</v>
      </c>
      <c r="AG17" s="8">
        <v>0.55124428643981715</v>
      </c>
      <c r="AH17" s="8">
        <v>0.789401967941047</v>
      </c>
      <c r="AI17"/>
    </row>
    <row r="18" spans="3:39" s="16" customFormat="1" hidden="1" outlineLevel="1" x14ac:dyDescent="0.25">
      <c r="C18" s="37" t="s">
        <v>363</v>
      </c>
      <c r="D18" s="15">
        <v>2129.217391304348</v>
      </c>
      <c r="E18" s="57">
        <v>480.87914420485191</v>
      </c>
      <c r="F18" s="15">
        <v>1023896.2369565221</v>
      </c>
      <c r="G18" s="15">
        <v>1521.3478260869565</v>
      </c>
      <c r="H18" s="57">
        <v>475.56836529393286</v>
      </c>
      <c r="I18" s="15">
        <v>723504.89869565237</v>
      </c>
      <c r="J18" s="6">
        <v>2050</v>
      </c>
      <c r="K18" s="57">
        <v>514.81209756097564</v>
      </c>
      <c r="L18" s="57">
        <v>1055364.8</v>
      </c>
      <c r="M18" s="75" t="s">
        <v>364</v>
      </c>
      <c r="N18" s="75" t="s">
        <v>364</v>
      </c>
      <c r="O18" s="15">
        <v>3378.7174619634889</v>
      </c>
      <c r="P18" s="57">
        <v>544.86592143001667</v>
      </c>
      <c r="Q18" s="15">
        <v>1840948.0031644236</v>
      </c>
      <c r="R18" s="6">
        <v>4286.363636363636</v>
      </c>
      <c r="S18" s="6">
        <v>514.81209756097564</v>
      </c>
      <c r="T18" s="6">
        <v>2206671.8545454545</v>
      </c>
      <c r="U18" s="15">
        <v>6863.4860926367082</v>
      </c>
      <c r="V18" s="15">
        <v>552.33165548593149</v>
      </c>
      <c r="W18" s="15">
        <v>3790920.6359507004</v>
      </c>
      <c r="X18" s="15">
        <v>-1328.7174619634889</v>
      </c>
      <c r="Y18" s="15">
        <v>-30.053823869041025</v>
      </c>
      <c r="Z18" s="15">
        <v>-785583.2031644237</v>
      </c>
      <c r="AA18" s="6">
        <v>-61610.338931534105</v>
      </c>
      <c r="AB18" s="6">
        <v>-723972.86423288949</v>
      </c>
      <c r="AC18" s="8">
        <v>0.60673910236006368</v>
      </c>
      <c r="AD18" s="8">
        <v>0.57327246515704033</v>
      </c>
      <c r="AE18" s="8">
        <v>-3.7204933431348598E-2</v>
      </c>
      <c r="AF18" s="8">
        <v>3.0734132920555112E-2</v>
      </c>
      <c r="AG18" s="8">
        <v>0.34748935440541856</v>
      </c>
      <c r="AH18" s="8">
        <v>0.45868369640983864</v>
      </c>
      <c r="AI18"/>
    </row>
    <row r="19" spans="3:39" x14ac:dyDescent="0.25">
      <c r="C19" s="41"/>
      <c r="D19" s="42"/>
      <c r="E19" s="43"/>
      <c r="F19" s="42"/>
      <c r="G19" s="42"/>
      <c r="H19" s="43"/>
      <c r="I19" s="42"/>
      <c r="J19" s="42"/>
      <c r="K19" s="44"/>
      <c r="L19" s="42"/>
      <c r="M19" s="42"/>
      <c r="N19" s="43"/>
      <c r="O19" s="42"/>
      <c r="P19" s="42"/>
      <c r="Q19" s="42"/>
      <c r="R19" s="43"/>
      <c r="S19" s="42"/>
      <c r="T19" s="42"/>
      <c r="U19" s="42"/>
      <c r="V19" s="42"/>
      <c r="W19" s="45"/>
      <c r="X19" s="45"/>
      <c r="Y19" s="45"/>
      <c r="Z19" s="45"/>
      <c r="AA19" s="42"/>
      <c r="AB19" s="42"/>
      <c r="AC19" s="42"/>
      <c r="AD19" s="46"/>
      <c r="AE19" s="46"/>
      <c r="AF19" s="47"/>
      <c r="AG19" s="47"/>
      <c r="AH19" s="47"/>
      <c r="AI19" s="47"/>
      <c r="AJ19" s="47"/>
      <c r="AK19" s="47"/>
      <c r="AL19" s="47"/>
      <c r="AM19" s="47"/>
    </row>
    <row r="20" spans="3:39" x14ac:dyDescent="0.25">
      <c r="C20" s="41"/>
      <c r="D20" s="68"/>
      <c r="E20" s="69"/>
      <c r="F20" s="68"/>
      <c r="G20" s="68"/>
      <c r="H20" s="69"/>
      <c r="I20" s="68"/>
      <c r="J20" s="68"/>
      <c r="K20" s="68"/>
      <c r="L20" s="68"/>
      <c r="M20" s="68"/>
      <c r="N20" s="68"/>
      <c r="O20" s="68"/>
      <c r="P20" s="68"/>
      <c r="Q20" s="68"/>
      <c r="R20" s="69"/>
      <c r="S20" s="50"/>
      <c r="T20" s="50"/>
      <c r="U20" s="70"/>
      <c r="V20" s="68"/>
      <c r="W20" s="49"/>
      <c r="X20" s="49"/>
      <c r="Y20" s="50"/>
      <c r="Z20" s="50"/>
      <c r="AA20" s="50"/>
      <c r="AB20" s="50"/>
      <c r="AC20" s="50"/>
      <c r="AD20" s="50"/>
      <c r="AE20" s="50"/>
      <c r="AF20" s="50"/>
      <c r="AG20" s="50"/>
    </row>
    <row r="21" spans="3:39" x14ac:dyDescent="0.25">
      <c r="C21" s="9">
        <v>0.47826086956521741</v>
      </c>
      <c r="D21" s="118" t="s">
        <v>30</v>
      </c>
      <c r="E21" s="118"/>
      <c r="F21" s="118"/>
      <c r="G21" s="118" t="s">
        <v>31</v>
      </c>
      <c r="H21" s="118"/>
      <c r="I21" s="118"/>
      <c r="J21" s="119" t="s">
        <v>357</v>
      </c>
      <c r="K21" s="120"/>
      <c r="L21" s="120"/>
      <c r="M21" s="119" t="s">
        <v>358</v>
      </c>
      <c r="N21" s="120"/>
      <c r="O21" s="120"/>
      <c r="P21" s="119" t="s">
        <v>32</v>
      </c>
      <c r="Q21" s="120"/>
      <c r="R21" s="121"/>
      <c r="S21" s="119" t="s">
        <v>2</v>
      </c>
      <c r="T21" s="120"/>
      <c r="U21" s="121"/>
      <c r="V21" s="122" t="s">
        <v>3</v>
      </c>
      <c r="W21" s="123"/>
      <c r="X21" s="123"/>
      <c r="Y21" s="123"/>
      <c r="Z21" s="123"/>
    </row>
    <row r="22" spans="3:39" x14ac:dyDescent="0.25">
      <c r="D22" s="124" t="s">
        <v>20</v>
      </c>
      <c r="E22" s="125"/>
      <c r="F22" s="126"/>
      <c r="G22" s="124" t="s">
        <v>5</v>
      </c>
      <c r="H22" s="125"/>
      <c r="I22" s="126"/>
      <c r="J22" s="125" t="s">
        <v>17</v>
      </c>
      <c r="K22" s="125"/>
      <c r="L22" s="125"/>
      <c r="M22" s="125" t="s">
        <v>17</v>
      </c>
      <c r="N22" s="125"/>
      <c r="O22" s="125"/>
      <c r="P22" s="125" t="s">
        <v>17</v>
      </c>
      <c r="Q22" s="125"/>
      <c r="R22" s="125"/>
      <c r="S22" s="125" t="s">
        <v>17</v>
      </c>
      <c r="T22" s="125"/>
      <c r="U22" s="125"/>
      <c r="V22" s="124" t="s">
        <v>17</v>
      </c>
      <c r="W22" s="125"/>
      <c r="X22" s="125"/>
      <c r="Y22" s="125"/>
      <c r="Z22" s="126"/>
      <c r="AA22" s="127" t="s">
        <v>6</v>
      </c>
      <c r="AB22" s="128"/>
      <c r="AC22" s="127" t="s">
        <v>7</v>
      </c>
      <c r="AD22" s="129"/>
      <c r="AE22" s="127" t="s">
        <v>8</v>
      </c>
      <c r="AF22" s="129"/>
    </row>
    <row r="23" spans="3:39" x14ac:dyDescent="0.25">
      <c r="C23" s="97" t="s">
        <v>33</v>
      </c>
      <c r="D23" s="4" t="s">
        <v>9</v>
      </c>
      <c r="E23" s="4" t="s">
        <v>10</v>
      </c>
      <c r="F23" s="4" t="s">
        <v>11</v>
      </c>
      <c r="G23" s="4" t="s">
        <v>9</v>
      </c>
      <c r="H23" s="4" t="s">
        <v>10</v>
      </c>
      <c r="I23" s="4" t="s">
        <v>11</v>
      </c>
      <c r="J23" s="4" t="s">
        <v>9</v>
      </c>
      <c r="K23" s="4" t="s">
        <v>10</v>
      </c>
      <c r="L23" s="4" t="s">
        <v>11</v>
      </c>
      <c r="M23" s="4" t="s">
        <v>9</v>
      </c>
      <c r="N23" s="4" t="s">
        <v>10</v>
      </c>
      <c r="O23" s="4" t="s">
        <v>11</v>
      </c>
      <c r="P23" s="4" t="s">
        <v>9</v>
      </c>
      <c r="Q23" s="4" t="s">
        <v>10</v>
      </c>
      <c r="R23" s="4" t="s">
        <v>11</v>
      </c>
      <c r="S23" s="4" t="s">
        <v>9</v>
      </c>
      <c r="T23" s="4" t="s">
        <v>10</v>
      </c>
      <c r="U23" s="4" t="s">
        <v>11</v>
      </c>
      <c r="V23" s="4" t="s">
        <v>9</v>
      </c>
      <c r="W23" s="4" t="s">
        <v>10</v>
      </c>
      <c r="X23" s="4" t="s">
        <v>11</v>
      </c>
      <c r="Y23" s="4" t="s">
        <v>14</v>
      </c>
      <c r="Z23" s="4" t="s">
        <v>15</v>
      </c>
      <c r="AA23" s="4" t="s">
        <v>16</v>
      </c>
      <c r="AB23" s="4" t="s">
        <v>11</v>
      </c>
      <c r="AC23" s="4" t="s">
        <v>16</v>
      </c>
      <c r="AD23" s="4" t="s">
        <v>11</v>
      </c>
      <c r="AE23" s="4" t="s">
        <v>16</v>
      </c>
      <c r="AF23" s="4" t="s">
        <v>11</v>
      </c>
    </row>
    <row r="24" spans="3:39" collapsed="1" x14ac:dyDescent="0.25">
      <c r="C24" s="23" t="s">
        <v>146</v>
      </c>
      <c r="D24" s="6">
        <v>44.374291115311912</v>
      </c>
      <c r="E24" s="53">
        <v>528.53835051546389</v>
      </c>
      <c r="F24" s="6">
        <v>23453.514631379963</v>
      </c>
      <c r="G24" s="6">
        <v>99.727788279773179</v>
      </c>
      <c r="H24" s="53">
        <v>805.90486238532094</v>
      </c>
      <c r="I24" s="6">
        <v>80371.109489603026</v>
      </c>
      <c r="J24" s="6">
        <v>279</v>
      </c>
      <c r="K24" s="53">
        <v>999.89706093189977</v>
      </c>
      <c r="L24" s="6">
        <v>278971.28000000003</v>
      </c>
      <c r="M24" s="6">
        <v>479.69565217391312</v>
      </c>
      <c r="N24" s="6">
        <v>830.89830508474552</v>
      </c>
      <c r="O24" s="6">
        <v>398578.30434782605</v>
      </c>
      <c r="P24" s="6">
        <v>583.36363636363637</v>
      </c>
      <c r="Q24" s="53">
        <v>999.89706093189966</v>
      </c>
      <c r="R24" s="6">
        <v>583303.58545454545</v>
      </c>
      <c r="S24" s="6">
        <v>1003</v>
      </c>
      <c r="T24" s="6">
        <v>830.89830508474574</v>
      </c>
      <c r="U24" s="6">
        <v>833391</v>
      </c>
      <c r="V24" s="6">
        <v>-200.69565217391312</v>
      </c>
      <c r="W24" s="6">
        <v>168.99875584715426</v>
      </c>
      <c r="X24" s="6">
        <v>-119607.02434782602</v>
      </c>
      <c r="Y24" s="6">
        <v>47150.652881356036</v>
      </c>
      <c r="Z24" s="6">
        <v>-166757.67722918204</v>
      </c>
      <c r="AA24" s="8">
        <v>0.5816187800235656</v>
      </c>
      <c r="AB24" s="8">
        <v>0.69991586836736364</v>
      </c>
      <c r="AC24" s="8">
        <v>5.2874243844253215</v>
      </c>
      <c r="AD24" s="8">
        <v>10.894647108742774</v>
      </c>
      <c r="AE24" s="8">
        <v>1.7976154371066793</v>
      </c>
      <c r="AF24" s="8">
        <v>2.4710393046905534</v>
      </c>
    </row>
    <row r="25" spans="3:39" s="16" customFormat="1" ht="15" hidden="1" customHeight="1" outlineLevel="1" x14ac:dyDescent="0.25">
      <c r="C25" s="23" t="s">
        <v>362</v>
      </c>
      <c r="D25" s="76">
        <v>5.9470699432892253</v>
      </c>
      <c r="E25" s="77">
        <v>428.69230769230768</v>
      </c>
      <c r="F25" s="76">
        <v>2549.4631379962193</v>
      </c>
      <c r="G25" s="76">
        <v>17.841209829867676</v>
      </c>
      <c r="H25" s="77">
        <v>925.05179487179487</v>
      </c>
      <c r="I25" s="76">
        <v>16504.043175803403</v>
      </c>
      <c r="J25" s="76">
        <v>46</v>
      </c>
      <c r="K25" s="77">
        <v>1371.8999999999999</v>
      </c>
      <c r="L25" s="76">
        <v>63107.399999999994</v>
      </c>
      <c r="M25" s="76">
        <v>72.929762478758903</v>
      </c>
      <c r="N25" s="76">
        <v>960.19767066741349</v>
      </c>
      <c r="O25" s="76">
        <v>70026.988054432033</v>
      </c>
      <c r="P25" s="6">
        <v>96.181818181818173</v>
      </c>
      <c r="Q25" s="53">
        <v>1371.8999999999999</v>
      </c>
      <c r="R25" s="6">
        <v>131951.83636363634</v>
      </c>
      <c r="S25" s="76">
        <v>0</v>
      </c>
      <c r="T25" s="76" t="s">
        <v>364</v>
      </c>
      <c r="U25" s="76">
        <v>0</v>
      </c>
      <c r="V25" s="76">
        <v>-26.929762478758903</v>
      </c>
      <c r="W25" s="76">
        <v>411.70232933258637</v>
      </c>
      <c r="X25" s="76">
        <v>-6919.5880544320389</v>
      </c>
      <c r="Y25" s="76">
        <v>18938.307149298973</v>
      </c>
      <c r="Z25" s="76">
        <v>-25857.895203731008</v>
      </c>
      <c r="AA25" s="78">
        <v>0.63074386144336736</v>
      </c>
      <c r="AB25" s="78">
        <v>0.90118683886484685</v>
      </c>
      <c r="AC25" s="78">
        <v>6.7349014621741894</v>
      </c>
      <c r="AD25" s="78">
        <v>23.753211395556789</v>
      </c>
      <c r="AE25" s="78">
        <v>1.5783004873913964</v>
      </c>
      <c r="AF25" s="78">
        <v>2.8237539327649013</v>
      </c>
    </row>
    <row r="26" spans="3:39" s="16" customFormat="1" ht="15" hidden="1" customHeight="1" outlineLevel="1" x14ac:dyDescent="0.25">
      <c r="C26" s="23" t="s">
        <v>363</v>
      </c>
      <c r="D26" s="76">
        <v>38.427221172022691</v>
      </c>
      <c r="E26" s="77">
        <v>543.99071428571415</v>
      </c>
      <c r="F26" s="76">
        <v>20904.05149338374</v>
      </c>
      <c r="G26" s="76">
        <v>81.886578449905485</v>
      </c>
      <c r="H26" s="77">
        <v>779.94547486033514</v>
      </c>
      <c r="I26" s="76">
        <v>63867.066313799623</v>
      </c>
      <c r="J26" s="76">
        <v>233</v>
      </c>
      <c r="K26" s="77">
        <v>926.45442060085838</v>
      </c>
      <c r="L26" s="76">
        <v>215863.88</v>
      </c>
      <c r="M26" s="76">
        <v>406.7658896951541</v>
      </c>
      <c r="N26" s="76">
        <v>807.7159973753528</v>
      </c>
      <c r="O26" s="76">
        <v>328551.31629339413</v>
      </c>
      <c r="P26" s="6">
        <v>487.18181818181819</v>
      </c>
      <c r="Q26" s="53">
        <v>926.45442060085838</v>
      </c>
      <c r="R26" s="6">
        <v>451351.74909090908</v>
      </c>
      <c r="S26" s="76">
        <v>0</v>
      </c>
      <c r="T26" s="76" t="s">
        <v>364</v>
      </c>
      <c r="U26" s="76">
        <v>0</v>
      </c>
      <c r="V26" s="76">
        <v>-173.7658896951541</v>
      </c>
      <c r="W26" s="76">
        <v>118.73842322550558</v>
      </c>
      <c r="X26" s="76">
        <v>-112687.43629339413</v>
      </c>
      <c r="Y26" s="76">
        <v>27666.0526115428</v>
      </c>
      <c r="Z26" s="76">
        <v>-140353.48890493694</v>
      </c>
      <c r="AA26" s="78">
        <v>0.57281105889832384</v>
      </c>
      <c r="AB26" s="78">
        <v>0.65701724295401998</v>
      </c>
      <c r="AC26" s="78">
        <v>5.0634100747737101</v>
      </c>
      <c r="AD26" s="78">
        <v>9.3264135217195694</v>
      </c>
      <c r="AE26" s="78">
        <v>1.8453991412345907</v>
      </c>
      <c r="AF26" s="78">
        <v>2.3798934640177571</v>
      </c>
    </row>
    <row r="27" spans="3:39" collapsed="1" x14ac:dyDescent="0.25">
      <c r="C27" s="23" t="s">
        <v>147</v>
      </c>
      <c r="D27" s="6">
        <v>72.737240075614366</v>
      </c>
      <c r="E27" s="53">
        <v>488.30578616352204</v>
      </c>
      <c r="F27" s="6">
        <v>35518.015198487716</v>
      </c>
      <c r="G27" s="6">
        <v>138.38374291115312</v>
      </c>
      <c r="H27" s="53">
        <v>928.83163636363611</v>
      </c>
      <c r="I27" s="6">
        <v>128535.19837429108</v>
      </c>
      <c r="J27" s="6">
        <v>267</v>
      </c>
      <c r="K27" s="53">
        <v>509.46310861423217</v>
      </c>
      <c r="L27" s="6">
        <v>136026.65</v>
      </c>
      <c r="M27" s="6">
        <v>443.82608695652169</v>
      </c>
      <c r="N27" s="6">
        <v>844.17025862068976</v>
      </c>
      <c r="O27" s="6">
        <v>374664.78260869568</v>
      </c>
      <c r="P27" s="6">
        <v>558.27272727272725</v>
      </c>
      <c r="Q27" s="53">
        <v>509.46310861423217</v>
      </c>
      <c r="R27" s="6">
        <v>284419.35909090907</v>
      </c>
      <c r="S27" s="6">
        <v>928</v>
      </c>
      <c r="T27" s="6">
        <v>844.17025862068965</v>
      </c>
      <c r="U27" s="6">
        <v>783390</v>
      </c>
      <c r="V27" s="6">
        <v>-176.82608695652169</v>
      </c>
      <c r="W27" s="6">
        <v>-334.7071500064576</v>
      </c>
      <c r="X27" s="6">
        <v>-238638.13260869568</v>
      </c>
      <c r="Y27" s="6">
        <v>-89366.80905172418</v>
      </c>
      <c r="Z27" s="6">
        <v>-149271.3235569715</v>
      </c>
      <c r="AA27" s="8">
        <v>0.60158699059561138</v>
      </c>
      <c r="AB27" s="8">
        <v>0.36306227944052011</v>
      </c>
      <c r="AC27" s="8">
        <v>2.6707469203181042</v>
      </c>
      <c r="AD27" s="8">
        <v>2.8297931131521032</v>
      </c>
      <c r="AE27" s="8">
        <v>0.92941738952257358</v>
      </c>
      <c r="AF27" s="8">
        <v>5.8283269644895282E-2</v>
      </c>
    </row>
    <row r="28" spans="3:39" ht="15" hidden="1" customHeight="1" outlineLevel="1" x14ac:dyDescent="0.25">
      <c r="C28" s="23" t="s">
        <v>362</v>
      </c>
      <c r="D28" s="79">
        <v>27.44801512287335</v>
      </c>
      <c r="E28" s="80">
        <v>356.50883333333331</v>
      </c>
      <c r="F28" s="79">
        <v>9785.4598487712683</v>
      </c>
      <c r="G28" s="79">
        <v>50.550094517958414</v>
      </c>
      <c r="H28" s="80">
        <v>1128.5400904977371</v>
      </c>
      <c r="I28" s="79">
        <v>57047.808241965955</v>
      </c>
      <c r="J28" s="76">
        <v>89</v>
      </c>
      <c r="K28" s="77">
        <v>436.43449438202248</v>
      </c>
      <c r="L28" s="76">
        <v>38842.67</v>
      </c>
      <c r="M28" s="79">
        <v>132.60356029113763</v>
      </c>
      <c r="N28" s="79">
        <v>937.65796612991846</v>
      </c>
      <c r="O28" s="79">
        <v>124336.78464417413</v>
      </c>
      <c r="P28" s="6">
        <v>186.09090909090909</v>
      </c>
      <c r="Q28" s="53">
        <v>436.43449438202242</v>
      </c>
      <c r="R28" s="6">
        <v>81216.491818181807</v>
      </c>
      <c r="S28" s="79">
        <v>0</v>
      </c>
      <c r="T28" s="79" t="s">
        <v>364</v>
      </c>
      <c r="U28" s="79">
        <v>0</v>
      </c>
      <c r="V28" s="79">
        <v>-43.603560291137626</v>
      </c>
      <c r="W28" s="79">
        <v>-501.22347174789599</v>
      </c>
      <c r="X28" s="79">
        <v>-85494.114644174129</v>
      </c>
      <c r="Y28" s="79">
        <v>-44608.888985562742</v>
      </c>
      <c r="Z28" s="79">
        <v>-40885.22565861138</v>
      </c>
      <c r="AA28" s="81">
        <v>0.67117353263061819</v>
      </c>
      <c r="AB28" s="81">
        <v>0.31239886177819054</v>
      </c>
      <c r="AC28" s="81">
        <v>2.242493112947658</v>
      </c>
      <c r="AD28" s="81">
        <v>2.9694271501075504</v>
      </c>
      <c r="AE28" s="81">
        <v>0.76062974458696375</v>
      </c>
      <c r="AF28" s="81">
        <v>-0.31912073054147155</v>
      </c>
    </row>
    <row r="29" spans="3:39" ht="15" hidden="1" customHeight="1" outlineLevel="1" x14ac:dyDescent="0.25">
      <c r="C29" s="23" t="s">
        <v>363</v>
      </c>
      <c r="D29" s="79">
        <v>45.289224952741023</v>
      </c>
      <c r="E29" s="80">
        <v>568.18272727272722</v>
      </c>
      <c r="F29" s="79">
        <v>25732.555349716447</v>
      </c>
      <c r="G29" s="79">
        <v>87.833648393194721</v>
      </c>
      <c r="H29" s="80">
        <v>813.89526041666625</v>
      </c>
      <c r="I29" s="79">
        <v>71487.390132325119</v>
      </c>
      <c r="J29" s="76">
        <v>178</v>
      </c>
      <c r="K29" s="77">
        <v>545.97741573033704</v>
      </c>
      <c r="L29" s="76">
        <v>97183.98</v>
      </c>
      <c r="M29" s="79">
        <v>311.22252666538407</v>
      </c>
      <c r="N29" s="79">
        <v>804.33765719557221</v>
      </c>
      <c r="O29" s="79">
        <v>250327.99796452152</v>
      </c>
      <c r="P29" s="6">
        <v>372.18181818181819</v>
      </c>
      <c r="Q29" s="53">
        <v>545.97741573033704</v>
      </c>
      <c r="R29" s="6">
        <v>203202.86727272725</v>
      </c>
      <c r="S29" s="79">
        <v>0</v>
      </c>
      <c r="T29" s="79" t="s">
        <v>364</v>
      </c>
      <c r="U29" s="79">
        <v>0</v>
      </c>
      <c r="V29" s="79">
        <v>-133.22252666538407</v>
      </c>
      <c r="W29" s="79">
        <v>-258.36024146523516</v>
      </c>
      <c r="X29" s="79">
        <v>-153144.01796452154</v>
      </c>
      <c r="Y29" s="79">
        <v>-45988.122980811859</v>
      </c>
      <c r="Z29" s="79">
        <v>-107155.89498370967</v>
      </c>
      <c r="AA29" s="81">
        <v>0.57193803387946784</v>
      </c>
      <c r="AB29" s="81">
        <v>0.38822656990119692</v>
      </c>
      <c r="AC29" s="81">
        <v>2.930294682360798</v>
      </c>
      <c r="AD29" s="81">
        <v>2.77669371266196</v>
      </c>
      <c r="AE29" s="81">
        <v>1.0265581955922862</v>
      </c>
      <c r="AF29" s="81">
        <v>0.35945625962998207</v>
      </c>
    </row>
    <row r="30" spans="3:39" collapsed="1" x14ac:dyDescent="0.25">
      <c r="C30" s="23" t="s">
        <v>148</v>
      </c>
      <c r="D30" s="6">
        <v>79.59924385633272</v>
      </c>
      <c r="E30" s="53">
        <v>655.71916666666721</v>
      </c>
      <c r="F30" s="6">
        <v>52194.749848771324</v>
      </c>
      <c r="G30" s="6">
        <v>138.15500945179585</v>
      </c>
      <c r="H30" s="53">
        <v>966.26374172185422</v>
      </c>
      <c r="I30" s="6">
        <v>133494.17637051039</v>
      </c>
      <c r="J30" s="6">
        <v>261</v>
      </c>
      <c r="K30" s="53">
        <v>762.49318007662839</v>
      </c>
      <c r="L30" s="6">
        <v>199010.72</v>
      </c>
      <c r="M30" s="6">
        <v>358.69565217391306</v>
      </c>
      <c r="N30" s="6">
        <v>949.67200000000003</v>
      </c>
      <c r="O30" s="6">
        <v>340643.21739130438</v>
      </c>
      <c r="P30" s="6">
        <v>545.72727272727275</v>
      </c>
      <c r="Q30" s="53">
        <v>762.49318007662828</v>
      </c>
      <c r="R30" s="6">
        <v>416113.32363636361</v>
      </c>
      <c r="S30" s="6">
        <v>750</v>
      </c>
      <c r="T30" s="6">
        <v>949.67200000000003</v>
      </c>
      <c r="U30" s="6">
        <v>712254</v>
      </c>
      <c r="V30" s="6">
        <v>-97.695652173913061</v>
      </c>
      <c r="W30" s="6">
        <v>-187.17881992337163</v>
      </c>
      <c r="X30" s="6">
        <v>-141632.49739130438</v>
      </c>
      <c r="Y30" s="6">
        <v>-48853.671999999999</v>
      </c>
      <c r="Z30" s="6">
        <v>-92778.825391304374</v>
      </c>
      <c r="AA30" s="8">
        <v>0.72763636363636364</v>
      </c>
      <c r="AB30" s="8">
        <v>0.58422040962404365</v>
      </c>
      <c r="AC30" s="8">
        <v>2.2789256198347099</v>
      </c>
      <c r="AD30" s="8">
        <v>2.8128493876608696</v>
      </c>
      <c r="AE30" s="8">
        <v>0.88918231076569421</v>
      </c>
      <c r="AF30" s="8">
        <v>0.49078203567210121</v>
      </c>
    </row>
    <row r="31" spans="3:39" ht="15" hidden="1" customHeight="1" outlineLevel="1" x14ac:dyDescent="0.25">
      <c r="C31" s="23" t="s">
        <v>362</v>
      </c>
      <c r="D31" s="79">
        <v>12.351606805293006</v>
      </c>
      <c r="E31" s="80">
        <v>707.82888888888897</v>
      </c>
      <c r="F31" s="79">
        <v>8742.8241209829885</v>
      </c>
      <c r="G31" s="79">
        <v>20.357277882797732</v>
      </c>
      <c r="H31" s="80">
        <v>1563.3326966292134</v>
      </c>
      <c r="I31" s="79">
        <v>31825.198128544424</v>
      </c>
      <c r="J31" s="76">
        <v>86</v>
      </c>
      <c r="K31" s="77">
        <v>675.8604651162791</v>
      </c>
      <c r="L31" s="76">
        <v>58124</v>
      </c>
      <c r="M31" s="79">
        <v>88.99068123477862</v>
      </c>
      <c r="N31" s="79">
        <v>1028.3492066636154</v>
      </c>
      <c r="O31" s="79">
        <v>91513.496448239282</v>
      </c>
      <c r="P31" s="6">
        <v>179.81818181818181</v>
      </c>
      <c r="Q31" s="53">
        <v>675.8604651162791</v>
      </c>
      <c r="R31" s="6">
        <v>121532</v>
      </c>
      <c r="S31" s="79">
        <v>0</v>
      </c>
      <c r="T31" s="79" t="s">
        <v>364</v>
      </c>
      <c r="U31" s="79">
        <v>0</v>
      </c>
      <c r="V31" s="79">
        <v>-2.99068123477862</v>
      </c>
      <c r="W31" s="79">
        <v>-352.4887415473363</v>
      </c>
      <c r="X31" s="79">
        <v>-33389.496448239282</v>
      </c>
      <c r="Y31" s="79">
        <v>-30314.031773070921</v>
      </c>
      <c r="Z31" s="79">
        <v>-3075.4646751683558</v>
      </c>
      <c r="AA31" s="81">
        <v>0.96639332126373445</v>
      </c>
      <c r="AB31" s="81">
        <v>0.63514128796155622</v>
      </c>
      <c r="AC31" s="81">
        <v>5.9626568717477806</v>
      </c>
      <c r="AD31" s="81">
        <v>5.6481950449513221</v>
      </c>
      <c r="AE31" s="81">
        <v>3.2245333828582039</v>
      </c>
      <c r="AF31" s="81">
        <v>0.82635155216419054</v>
      </c>
    </row>
    <row r="32" spans="3:39" ht="15" hidden="1" customHeight="1" outlineLevel="1" x14ac:dyDescent="0.25">
      <c r="C32" s="23" t="s">
        <v>363</v>
      </c>
      <c r="D32" s="79">
        <v>60.385633270321364</v>
      </c>
      <c r="E32" s="80">
        <v>698.37276515151609</v>
      </c>
      <c r="F32" s="79">
        <v>42171.681682419716</v>
      </c>
      <c r="G32" s="79">
        <v>98.584120982986761</v>
      </c>
      <c r="H32" s="80">
        <v>946.46853828306257</v>
      </c>
      <c r="I32" s="79">
        <v>93306.768884688077</v>
      </c>
      <c r="J32" s="76">
        <v>175</v>
      </c>
      <c r="K32" s="77">
        <v>805.06697142857149</v>
      </c>
      <c r="L32" s="76">
        <v>140886.72</v>
      </c>
      <c r="M32" s="79">
        <v>269.7049709391344</v>
      </c>
      <c r="N32" s="79">
        <v>923.71201048158423</v>
      </c>
      <c r="O32" s="79">
        <v>249129.72094306507</v>
      </c>
      <c r="P32" s="6">
        <v>365.90909090909088</v>
      </c>
      <c r="Q32" s="53">
        <v>805.06697142857138</v>
      </c>
      <c r="R32" s="6">
        <v>294581.32363636361</v>
      </c>
      <c r="S32" s="79">
        <v>0</v>
      </c>
      <c r="T32" s="79" t="s">
        <v>364</v>
      </c>
      <c r="U32" s="79">
        <v>0</v>
      </c>
      <c r="V32" s="79">
        <v>-94.704970939134398</v>
      </c>
      <c r="W32" s="79">
        <v>-118.64503905301274</v>
      </c>
      <c r="X32" s="79">
        <v>-108243.00094306507</v>
      </c>
      <c r="Y32" s="79">
        <v>-20762.881834277228</v>
      </c>
      <c r="Z32" s="79">
        <v>-87480.11910878784</v>
      </c>
      <c r="AA32" s="81">
        <v>0.64885715450714876</v>
      </c>
      <c r="AB32" s="81">
        <v>0.56551550520219784</v>
      </c>
      <c r="AC32" s="81">
        <v>1.8980403205609815</v>
      </c>
      <c r="AD32" s="81">
        <v>2.3407897048301023</v>
      </c>
      <c r="AE32" s="81">
        <v>0.77513374623688913</v>
      </c>
      <c r="AF32" s="81">
        <v>0.50993032642801051</v>
      </c>
    </row>
    <row r="33" spans="3:32" collapsed="1" x14ac:dyDescent="0.25">
      <c r="C33" s="23" t="s">
        <v>216</v>
      </c>
      <c r="D33" s="6">
        <v>112.30812854442345</v>
      </c>
      <c r="E33" s="53">
        <v>621.86146639511207</v>
      </c>
      <c r="F33" s="6">
        <v>69840.097504725913</v>
      </c>
      <c r="G33" s="6">
        <v>166.7466918714556</v>
      </c>
      <c r="H33" s="53">
        <v>565.17727023319605</v>
      </c>
      <c r="I33" s="6">
        <v>94241.440132325137</v>
      </c>
      <c r="J33" s="6">
        <v>380</v>
      </c>
      <c r="K33" s="53">
        <v>779.38392105263165</v>
      </c>
      <c r="L33" s="6">
        <v>296165.89</v>
      </c>
      <c r="M33" s="6">
        <v>596.39130434782624</v>
      </c>
      <c r="N33" s="6">
        <v>685.39775461106638</v>
      </c>
      <c r="O33" s="6">
        <v>408765.26086956519</v>
      </c>
      <c r="P33" s="6">
        <v>794.5454545454545</v>
      </c>
      <c r="Q33" s="53">
        <v>779.38392105263154</v>
      </c>
      <c r="R33" s="6">
        <v>619255.95181818178</v>
      </c>
      <c r="S33" s="6">
        <v>1247</v>
      </c>
      <c r="T33" s="6">
        <v>685.3977546110666</v>
      </c>
      <c r="U33" s="6">
        <v>854691</v>
      </c>
      <c r="V33" s="6">
        <v>-216.39130434782624</v>
      </c>
      <c r="W33" s="6">
        <v>93.986166441565274</v>
      </c>
      <c r="X33" s="6">
        <v>-112599.37086956517</v>
      </c>
      <c r="Y33" s="6">
        <v>35714.743247794802</v>
      </c>
      <c r="Z33" s="6">
        <v>-148314.11411735998</v>
      </c>
      <c r="AA33" s="8">
        <v>0.63716556098272203</v>
      </c>
      <c r="AB33" s="8">
        <v>0.72453781754830915</v>
      </c>
      <c r="AC33" s="8">
        <v>2.3835485011193214</v>
      </c>
      <c r="AD33" s="8">
        <v>3.2406282433949807</v>
      </c>
      <c r="AE33" s="8">
        <v>1.2789057805892821</v>
      </c>
      <c r="AF33" s="8">
        <v>2.1426290768068825</v>
      </c>
    </row>
    <row r="34" spans="3:32" ht="15" hidden="1" customHeight="1" outlineLevel="1" x14ac:dyDescent="0.25">
      <c r="C34" s="23" t="s">
        <v>362</v>
      </c>
      <c r="D34" s="79">
        <v>22.187145557655956</v>
      </c>
      <c r="E34" s="80">
        <v>748.34587628865972</v>
      </c>
      <c r="F34" s="79">
        <v>16603.658884688091</v>
      </c>
      <c r="G34" s="79">
        <v>30.650283553875234</v>
      </c>
      <c r="H34" s="80">
        <v>821.63268656716434</v>
      </c>
      <c r="I34" s="79">
        <v>25183.274820415882</v>
      </c>
      <c r="J34" s="76">
        <v>74</v>
      </c>
      <c r="K34" s="77">
        <v>929.74013513513523</v>
      </c>
      <c r="L34" s="76">
        <v>68800.77</v>
      </c>
      <c r="M34" s="79">
        <v>95.405947180461979</v>
      </c>
      <c r="N34" s="79">
        <v>889.18670227265966</v>
      </c>
      <c r="O34" s="79">
        <v>84833.699550594538</v>
      </c>
      <c r="P34" s="6">
        <v>154.72727272727272</v>
      </c>
      <c r="Q34" s="53">
        <v>929.74013513513523</v>
      </c>
      <c r="R34" s="6">
        <v>143856.15545454546</v>
      </c>
      <c r="S34" s="79">
        <v>0</v>
      </c>
      <c r="T34" s="79" t="s">
        <v>364</v>
      </c>
      <c r="U34" s="79">
        <v>0</v>
      </c>
      <c r="V34" s="79">
        <v>-21.405947180461979</v>
      </c>
      <c r="W34" s="79">
        <v>40.553432862475574</v>
      </c>
      <c r="X34" s="79">
        <v>-16032.929550594534</v>
      </c>
      <c r="Y34" s="79">
        <v>3000.9540318231925</v>
      </c>
      <c r="Z34" s="79">
        <v>-19033.883582417726</v>
      </c>
      <c r="AA34" s="81">
        <v>0.7756329892100724</v>
      </c>
      <c r="AB34" s="81">
        <v>0.81100754021657928</v>
      </c>
      <c r="AC34" s="81">
        <v>2.3352645480105649</v>
      </c>
      <c r="AD34" s="81">
        <v>3.1437113637312879</v>
      </c>
      <c r="AE34" s="81">
        <v>1.4143332922166032</v>
      </c>
      <c r="AF34" s="81">
        <v>1.7320025092298068</v>
      </c>
    </row>
    <row r="35" spans="3:32" ht="15" hidden="1" customHeight="1" outlineLevel="1" x14ac:dyDescent="0.25">
      <c r="C35" s="23" t="s">
        <v>363</v>
      </c>
      <c r="D35" s="79">
        <v>90.120982986767487</v>
      </c>
      <c r="E35" s="80">
        <v>590.72190355329974</v>
      </c>
      <c r="F35" s="79">
        <v>53236.438620037829</v>
      </c>
      <c r="G35" s="79">
        <v>136.09640831758037</v>
      </c>
      <c r="H35" s="80">
        <v>507.42092436974792</v>
      </c>
      <c r="I35" s="79">
        <v>69058.165311909281</v>
      </c>
      <c r="J35" s="76">
        <v>306</v>
      </c>
      <c r="K35" s="77">
        <v>743.02326797385615</v>
      </c>
      <c r="L35" s="76">
        <v>227365.12</v>
      </c>
      <c r="M35" s="79">
        <v>500.98535716736416</v>
      </c>
      <c r="N35" s="79">
        <v>646.58888066214456</v>
      </c>
      <c r="O35" s="79">
        <v>323931.56131897069</v>
      </c>
      <c r="P35" s="6">
        <v>639.81818181818176</v>
      </c>
      <c r="Q35" s="53">
        <v>743.02326797385626</v>
      </c>
      <c r="R35" s="6">
        <v>475399.79636363633</v>
      </c>
      <c r="S35" s="79">
        <v>0</v>
      </c>
      <c r="T35" s="79" t="s">
        <v>364</v>
      </c>
      <c r="U35" s="79">
        <v>0</v>
      </c>
      <c r="V35" s="79">
        <v>-194.98535716736416</v>
      </c>
      <c r="W35" s="79">
        <v>96.434387311711589</v>
      </c>
      <c r="X35" s="79">
        <v>-96566.441318970697</v>
      </c>
      <c r="Y35" s="79">
        <v>29508.922517383748</v>
      </c>
      <c r="Z35" s="79">
        <v>-126075.36383635446</v>
      </c>
      <c r="AA35" s="81">
        <v>0.6107962949858724</v>
      </c>
      <c r="AB35" s="81">
        <v>0.70189245862374261</v>
      </c>
      <c r="AC35" s="81">
        <v>2.395435667240005</v>
      </c>
      <c r="AD35" s="81">
        <v>3.2708551866657234</v>
      </c>
      <c r="AE35" s="81">
        <v>1.2484061393152297</v>
      </c>
      <c r="AF35" s="81">
        <v>2.2923712782272574</v>
      </c>
    </row>
    <row r="36" spans="3:32" collapsed="1" x14ac:dyDescent="0.25">
      <c r="C36" s="23" t="s">
        <v>211</v>
      </c>
      <c r="D36" s="6">
        <v>42.315689981096412</v>
      </c>
      <c r="E36" s="53">
        <v>417.97297297297303</v>
      </c>
      <c r="F36" s="6">
        <v>17686.814744801515</v>
      </c>
      <c r="G36" s="6">
        <v>52.608695652173914</v>
      </c>
      <c r="H36" s="53">
        <v>728.69339130434787</v>
      </c>
      <c r="I36" s="6">
        <v>38335.60884688091</v>
      </c>
      <c r="J36" s="6">
        <v>143</v>
      </c>
      <c r="K36" s="53">
        <v>499.25251748251748</v>
      </c>
      <c r="L36" s="6">
        <v>71393.11</v>
      </c>
      <c r="M36" s="6">
        <v>224.30434782608694</v>
      </c>
      <c r="N36" s="6">
        <v>640.51599147121544</v>
      </c>
      <c r="O36" s="6">
        <v>143670.52173913043</v>
      </c>
      <c r="P36" s="6">
        <v>299</v>
      </c>
      <c r="Q36" s="53">
        <v>499.25251748251742</v>
      </c>
      <c r="R36" s="6">
        <v>149276.50272727272</v>
      </c>
      <c r="S36" s="6">
        <v>0</v>
      </c>
      <c r="T36" s="6" t="s">
        <v>364</v>
      </c>
      <c r="U36" s="6">
        <v>0</v>
      </c>
      <c r="V36" s="6">
        <v>-81.304347826086939</v>
      </c>
      <c r="W36" s="6">
        <v>-141.26347398869797</v>
      </c>
      <c r="X36" s="6">
        <v>-72277.411739130432</v>
      </c>
      <c r="Y36" s="6">
        <v>-20200.676780383808</v>
      </c>
      <c r="Z36" s="6">
        <v>-52076.734958746638</v>
      </c>
      <c r="AA36" s="8">
        <v>0.63752665245202567</v>
      </c>
      <c r="AB36" s="8">
        <v>0.49692246631937448</v>
      </c>
      <c r="AC36" s="8">
        <v>2.3793611793611791</v>
      </c>
      <c r="AD36" s="8">
        <v>3.0365159600591038</v>
      </c>
      <c r="AE36" s="8">
        <v>1.7181818181818183</v>
      </c>
      <c r="AF36" s="8">
        <v>0.86231840702351958</v>
      </c>
    </row>
    <row r="37" spans="3:32" ht="15" hidden="1" customHeight="1" outlineLevel="1" x14ac:dyDescent="0.25">
      <c r="C37" s="23" t="s">
        <v>362</v>
      </c>
      <c r="D37" s="79">
        <v>25.160680529300567</v>
      </c>
      <c r="E37" s="80">
        <v>456.9454545454546</v>
      </c>
      <c r="F37" s="79">
        <v>11497.058601134217</v>
      </c>
      <c r="G37" s="79">
        <v>28.362948960302461</v>
      </c>
      <c r="H37" s="80">
        <v>645.31854838709671</v>
      </c>
      <c r="I37" s="79">
        <v>18303.137051039699</v>
      </c>
      <c r="J37" s="76">
        <v>72</v>
      </c>
      <c r="K37" s="77">
        <v>544.97222222222217</v>
      </c>
      <c r="L37" s="76">
        <v>39238</v>
      </c>
      <c r="M37" s="79">
        <v>107.0707321068638</v>
      </c>
      <c r="N37" s="79">
        <v>626.67738270381415</v>
      </c>
      <c r="O37" s="79">
        <v>67098.806160910652</v>
      </c>
      <c r="P37" s="6">
        <v>150.54545454545453</v>
      </c>
      <c r="Q37" s="53">
        <v>544.97222222222229</v>
      </c>
      <c r="R37" s="6">
        <v>82043.090909090912</v>
      </c>
      <c r="S37" s="79">
        <v>0</v>
      </c>
      <c r="T37" s="79" t="s">
        <v>364</v>
      </c>
      <c r="U37" s="79">
        <v>0</v>
      </c>
      <c r="V37" s="79">
        <v>-35.070732106863801</v>
      </c>
      <c r="W37" s="79">
        <v>-81.705160481591975</v>
      </c>
      <c r="X37" s="79">
        <v>-27860.806160910652</v>
      </c>
      <c r="Y37" s="79">
        <v>-5882.7715546746222</v>
      </c>
      <c r="Z37" s="79">
        <v>-21978.03460623603</v>
      </c>
      <c r="AA37" s="81">
        <v>0.67245267295024336</v>
      </c>
      <c r="AB37" s="81">
        <v>0.58477940584967736</v>
      </c>
      <c r="AC37" s="81">
        <v>1.8616078136739296</v>
      </c>
      <c r="AD37" s="81">
        <v>2.4128729235257671</v>
      </c>
      <c r="AE37" s="81">
        <v>1.5385230605171951</v>
      </c>
      <c r="AF37" s="81">
        <v>1.1437855101331444</v>
      </c>
    </row>
    <row r="38" spans="3:32" ht="15" hidden="1" customHeight="1" outlineLevel="1" x14ac:dyDescent="0.25">
      <c r="C38" s="23" t="s">
        <v>363</v>
      </c>
      <c r="D38" s="79">
        <v>17.155009451795841</v>
      </c>
      <c r="E38" s="80">
        <v>360.81333333333333</v>
      </c>
      <c r="F38" s="79">
        <v>6189.7561436672968</v>
      </c>
      <c r="G38" s="79">
        <v>24.245746691871457</v>
      </c>
      <c r="H38" s="80">
        <v>826.2262264150944</v>
      </c>
      <c r="I38" s="79">
        <v>20032.471795841211</v>
      </c>
      <c r="J38" s="76">
        <v>71</v>
      </c>
      <c r="K38" s="77">
        <v>452.88887323943663</v>
      </c>
      <c r="L38" s="76">
        <v>32155.11</v>
      </c>
      <c r="M38" s="79">
        <v>117.23361571922317</v>
      </c>
      <c r="N38" s="79">
        <v>653.15494287586057</v>
      </c>
      <c r="O38" s="79">
        <v>76571.715578219795</v>
      </c>
      <c r="P38" s="6">
        <v>148.45454545454544</v>
      </c>
      <c r="Q38" s="53">
        <v>452.88887323943669</v>
      </c>
      <c r="R38" s="6">
        <v>67233.411818181819</v>
      </c>
      <c r="S38" s="79">
        <v>0</v>
      </c>
      <c r="T38" s="79" t="s">
        <v>364</v>
      </c>
      <c r="U38" s="79">
        <v>0</v>
      </c>
      <c r="V38" s="79">
        <v>-46.233615719223167</v>
      </c>
      <c r="W38" s="79">
        <v>-200.26606963642394</v>
      </c>
      <c r="X38" s="79">
        <v>-44416.605578219795</v>
      </c>
      <c r="Y38" s="79">
        <v>-14218.8909441861</v>
      </c>
      <c r="Z38" s="79">
        <v>-30197.714634033699</v>
      </c>
      <c r="AA38" s="81">
        <v>0.6056283393156312</v>
      </c>
      <c r="AB38" s="81">
        <v>0.41993456405130175</v>
      </c>
      <c r="AC38" s="81">
        <v>3.138732782369146</v>
      </c>
      <c r="AD38" s="81">
        <v>4.1948912450933475</v>
      </c>
      <c r="AE38" s="81">
        <v>1.928348666770622</v>
      </c>
      <c r="AF38" s="81">
        <v>0.60514939582620442</v>
      </c>
    </row>
    <row r="39" spans="3:32" collapsed="1" x14ac:dyDescent="0.25">
      <c r="C39" s="23" t="s">
        <v>219</v>
      </c>
      <c r="D39" s="6">
        <v>222.55765595463137</v>
      </c>
      <c r="E39" s="53">
        <v>472.61423432682443</v>
      </c>
      <c r="F39" s="6">
        <v>105183.91616257092</v>
      </c>
      <c r="G39" s="6">
        <v>317.2533081285444</v>
      </c>
      <c r="H39" s="53">
        <v>435.16379956741184</v>
      </c>
      <c r="I39" s="6">
        <v>138057.15499054824</v>
      </c>
      <c r="J39" s="6">
        <v>437</v>
      </c>
      <c r="K39" s="53">
        <v>525.47073226544626</v>
      </c>
      <c r="L39" s="6">
        <v>229630.71</v>
      </c>
      <c r="M39" s="6">
        <v>846.04347826086973</v>
      </c>
      <c r="N39" s="6">
        <v>488.26286037309205</v>
      </c>
      <c r="O39" s="6">
        <v>413091.60869565216</v>
      </c>
      <c r="P39" s="6">
        <v>913.72727272727275</v>
      </c>
      <c r="Q39" s="53">
        <v>525.47073226544626</v>
      </c>
      <c r="R39" s="6">
        <v>480136.93909090909</v>
      </c>
      <c r="S39" s="6">
        <v>0</v>
      </c>
      <c r="T39" s="6" t="s">
        <v>364</v>
      </c>
      <c r="U39" s="6">
        <v>0</v>
      </c>
      <c r="V39" s="6">
        <v>-409.04347826086973</v>
      </c>
      <c r="W39" s="6">
        <v>37.207871892354206</v>
      </c>
      <c r="X39" s="6">
        <v>-183460.89869565217</v>
      </c>
      <c r="Y39" s="6">
        <v>16259.840016958788</v>
      </c>
      <c r="Z39" s="6">
        <v>-199720.73871261094</v>
      </c>
      <c r="AA39" s="8">
        <v>0.51652191787861645</v>
      </c>
      <c r="AB39" s="8">
        <v>0.55588325970857921</v>
      </c>
      <c r="AC39" s="8">
        <v>0.96353613685202966</v>
      </c>
      <c r="AD39" s="8">
        <v>1.1831352014416889</v>
      </c>
      <c r="AE39" s="8">
        <v>0.37744820559266395</v>
      </c>
      <c r="AF39" s="8">
        <v>0.66330176813886332</v>
      </c>
    </row>
    <row r="40" spans="3:32" ht="15" hidden="1" customHeight="1" outlineLevel="1" x14ac:dyDescent="0.25">
      <c r="C40" s="23" t="s">
        <v>362</v>
      </c>
      <c r="D40" s="79">
        <v>31.565217391304348</v>
      </c>
      <c r="E40" s="80">
        <v>416.30304347826086</v>
      </c>
      <c r="F40" s="79">
        <v>13140.69606805293</v>
      </c>
      <c r="G40" s="79">
        <v>43.001890359168243</v>
      </c>
      <c r="H40" s="80">
        <v>550.7932446808511</v>
      </c>
      <c r="I40" s="79">
        <v>23685.150718336485</v>
      </c>
      <c r="J40" s="76">
        <v>79</v>
      </c>
      <c r="K40" s="77">
        <v>649.27848101265818</v>
      </c>
      <c r="L40" s="76">
        <v>51293</v>
      </c>
      <c r="M40" s="79">
        <v>162.49148134211435</v>
      </c>
      <c r="N40" s="79">
        <v>583.00878919486513</v>
      </c>
      <c r="O40" s="79">
        <v>94733.9617917461</v>
      </c>
      <c r="P40" s="6">
        <v>165.18181818181819</v>
      </c>
      <c r="Q40" s="53">
        <v>649.27848101265818</v>
      </c>
      <c r="R40" s="6">
        <v>107249</v>
      </c>
      <c r="S40" s="79">
        <v>0</v>
      </c>
      <c r="T40" s="79" t="s">
        <v>364</v>
      </c>
      <c r="U40" s="79">
        <v>0</v>
      </c>
      <c r="V40" s="79">
        <v>-83.491481342114355</v>
      </c>
      <c r="W40" s="79">
        <v>66.269691817793046</v>
      </c>
      <c r="X40" s="79">
        <v>-43440.9617917461</v>
      </c>
      <c r="Y40" s="79">
        <v>5235.3056536056501</v>
      </c>
      <c r="Z40" s="79">
        <v>-48676.267445351761</v>
      </c>
      <c r="AA40" s="81">
        <v>0.48617933289481846</v>
      </c>
      <c r="AB40" s="81">
        <v>0.54144257275714414</v>
      </c>
      <c r="AC40" s="81">
        <v>1.5027548209366393</v>
      </c>
      <c r="AD40" s="81">
        <v>2.9033700904704154</v>
      </c>
      <c r="AE40" s="81">
        <v>0.83712853877263926</v>
      </c>
      <c r="AF40" s="81">
        <v>1.1656184758955395</v>
      </c>
    </row>
    <row r="41" spans="3:32" ht="15" hidden="1" customHeight="1" outlineLevel="1" x14ac:dyDescent="0.25">
      <c r="C41" s="23" t="s">
        <v>363</v>
      </c>
      <c r="D41" s="79">
        <v>149.59168241965975</v>
      </c>
      <c r="E41" s="80">
        <v>415.40556574923562</v>
      </c>
      <c r="F41" s="79">
        <v>62141.217466918744</v>
      </c>
      <c r="G41" s="79">
        <v>222.5576559546314</v>
      </c>
      <c r="H41" s="80">
        <v>375.86658787255925</v>
      </c>
      <c r="I41" s="79">
        <v>83651.986748582276</v>
      </c>
      <c r="J41" s="76">
        <v>358</v>
      </c>
      <c r="K41" s="77">
        <v>498.15002793296088</v>
      </c>
      <c r="L41" s="76">
        <v>178337.71</v>
      </c>
      <c r="M41" s="79">
        <v>683.55199691875521</v>
      </c>
      <c r="N41" s="79">
        <v>465.74020460618317</v>
      </c>
      <c r="O41" s="79">
        <v>318357.64690390613</v>
      </c>
      <c r="P41" s="6">
        <v>748.5454545454545</v>
      </c>
      <c r="Q41" s="53">
        <v>498.15002793296094</v>
      </c>
      <c r="R41" s="6">
        <v>372887.93909090909</v>
      </c>
      <c r="S41" s="79">
        <v>0</v>
      </c>
      <c r="T41" s="79" t="s">
        <v>364</v>
      </c>
      <c r="U41" s="79">
        <v>0</v>
      </c>
      <c r="V41" s="79">
        <v>-325.55199691875521</v>
      </c>
      <c r="W41" s="79">
        <v>32.409823326777712</v>
      </c>
      <c r="X41" s="79">
        <v>-140019.93690390614</v>
      </c>
      <c r="Y41" s="79">
        <v>11602.716750986421</v>
      </c>
      <c r="Z41" s="79">
        <v>-151622.65365489255</v>
      </c>
      <c r="AA41" s="81">
        <v>0.52373484623518807</v>
      </c>
      <c r="AB41" s="81">
        <v>0.5601803874804675</v>
      </c>
      <c r="AC41" s="81">
        <v>1.3931811863421537</v>
      </c>
      <c r="AD41" s="81">
        <v>1.8698779533075474</v>
      </c>
      <c r="AE41" s="81">
        <v>0.60857193819914535</v>
      </c>
      <c r="AF41" s="81">
        <v>1.1319004716050267</v>
      </c>
    </row>
    <row r="42" spans="3:32" collapsed="1" x14ac:dyDescent="0.25">
      <c r="C42" s="23" t="s">
        <v>149</v>
      </c>
      <c r="D42" s="6">
        <v>54.667296786389421</v>
      </c>
      <c r="E42" s="53">
        <v>565.58037656903787</v>
      </c>
      <c r="F42" s="6">
        <v>30918.75030245748</v>
      </c>
      <c r="G42" s="6">
        <v>76.625708884688081</v>
      </c>
      <c r="H42" s="53">
        <v>521.36749253731352</v>
      </c>
      <c r="I42" s="6">
        <v>39950.15370510397</v>
      </c>
      <c r="J42" s="6">
        <v>120</v>
      </c>
      <c r="K42" s="53">
        <v>393.96333333333337</v>
      </c>
      <c r="L42" s="6">
        <v>47275.600000000006</v>
      </c>
      <c r="M42" s="6">
        <v>217.13043478260872</v>
      </c>
      <c r="N42" s="6">
        <v>510.62555066079284</v>
      </c>
      <c r="O42" s="6">
        <v>110872.34782608695</v>
      </c>
      <c r="P42" s="6">
        <v>250.90909090909091</v>
      </c>
      <c r="Q42" s="53">
        <v>393.96333333333337</v>
      </c>
      <c r="R42" s="6">
        <v>98848.981818181826</v>
      </c>
      <c r="S42" s="6">
        <v>454</v>
      </c>
      <c r="T42" s="6">
        <v>510.62555066079295</v>
      </c>
      <c r="U42" s="6">
        <v>231824</v>
      </c>
      <c r="V42" s="6">
        <v>-97.130434782608717</v>
      </c>
      <c r="W42" s="6">
        <v>-116.66221732745947</v>
      </c>
      <c r="X42" s="6">
        <v>-63596.747826086939</v>
      </c>
      <c r="Y42" s="6">
        <v>-13999.466079295136</v>
      </c>
      <c r="Z42" s="6">
        <v>-49597.281746791799</v>
      </c>
      <c r="AA42" s="8">
        <v>0.5526631958350019</v>
      </c>
      <c r="AB42" s="8">
        <v>0.42639667082865379</v>
      </c>
      <c r="AC42" s="8">
        <v>1.195096649261731</v>
      </c>
      <c r="AD42" s="8">
        <v>0.52902687002334803</v>
      </c>
      <c r="AE42" s="8">
        <v>0.56605402738374266</v>
      </c>
      <c r="AF42" s="8">
        <v>0.18336465859354498</v>
      </c>
    </row>
    <row r="43" spans="3:32" ht="15" hidden="1" customHeight="1" outlineLevel="1" x14ac:dyDescent="0.25">
      <c r="C43" s="23" t="s">
        <v>362</v>
      </c>
      <c r="D43" s="79">
        <v>5.2608695652173916</v>
      </c>
      <c r="E43" s="80">
        <v>533.25217391304352</v>
      </c>
      <c r="F43" s="79">
        <v>2805.3701323251421</v>
      </c>
      <c r="G43" s="79">
        <v>7.0907372400756152</v>
      </c>
      <c r="H43" s="80">
        <v>554.00935483870967</v>
      </c>
      <c r="I43" s="79">
        <v>3928.3347637051047</v>
      </c>
      <c r="J43" s="76">
        <v>10</v>
      </c>
      <c r="K43" s="77">
        <v>716.66499999999996</v>
      </c>
      <c r="L43" s="76">
        <v>7166.65</v>
      </c>
      <c r="M43" s="79">
        <v>20.712674637866076</v>
      </c>
      <c r="N43" s="79">
        <v>496.69950663037952</v>
      </c>
      <c r="O43" s="79">
        <v>10287.975273623655</v>
      </c>
      <c r="P43" s="6">
        <v>20.90909090909091</v>
      </c>
      <c r="Q43" s="53">
        <v>716.66499999999985</v>
      </c>
      <c r="R43" s="6">
        <v>14984.813636363635</v>
      </c>
      <c r="S43" s="79">
        <v>0</v>
      </c>
      <c r="T43" s="79" t="s">
        <v>364</v>
      </c>
      <c r="U43" s="79">
        <v>0</v>
      </c>
      <c r="V43" s="79">
        <v>-10.712674637866076</v>
      </c>
      <c r="W43" s="79">
        <v>219.96549336962045</v>
      </c>
      <c r="X43" s="79">
        <v>-3121.3252736236554</v>
      </c>
      <c r="Y43" s="79">
        <v>2199.6549336962044</v>
      </c>
      <c r="Z43" s="79">
        <v>-5320.9802073198598</v>
      </c>
      <c r="AA43" s="81">
        <v>0.48279617069436331</v>
      </c>
      <c r="AB43" s="81">
        <v>0.69660451249079891</v>
      </c>
      <c r="AC43" s="81">
        <v>0.90082644628099162</v>
      </c>
      <c r="AD43" s="81">
        <v>1.5546183433770817</v>
      </c>
      <c r="AE43" s="81">
        <v>0.41029058917621952</v>
      </c>
      <c r="AF43" s="81">
        <v>0.82434808413338967</v>
      </c>
    </row>
    <row r="44" spans="3:32" ht="15" hidden="1" customHeight="1" outlineLevel="1" x14ac:dyDescent="0.25">
      <c r="C44" s="23" t="s">
        <v>363</v>
      </c>
      <c r="D44" s="79">
        <v>49.406427221172031</v>
      </c>
      <c r="E44" s="80">
        <v>569.02273148148163</v>
      </c>
      <c r="F44" s="79">
        <v>28113.380170132335</v>
      </c>
      <c r="G44" s="79">
        <v>69.534971644612483</v>
      </c>
      <c r="H44" s="80">
        <v>518.03888157894744</v>
      </c>
      <c r="I44" s="79">
        <v>36021.818941398873</v>
      </c>
      <c r="J44" s="76">
        <v>110</v>
      </c>
      <c r="K44" s="77">
        <v>364.62681818181818</v>
      </c>
      <c r="L44" s="76">
        <v>40108.949999999997</v>
      </c>
      <c r="M44" s="79">
        <v>196.41776014474263</v>
      </c>
      <c r="N44" s="79">
        <v>512.09408191164323</v>
      </c>
      <c r="O44" s="79">
        <v>100584.37255246332</v>
      </c>
      <c r="P44" s="6">
        <v>230</v>
      </c>
      <c r="Q44" s="53">
        <v>364.62681818181812</v>
      </c>
      <c r="R44" s="6">
        <v>83864.168181818168</v>
      </c>
      <c r="S44" s="79">
        <v>0</v>
      </c>
      <c r="T44" s="79" t="s">
        <v>364</v>
      </c>
      <c r="U44" s="79">
        <v>0</v>
      </c>
      <c r="V44" s="79">
        <v>-86.41776014474263</v>
      </c>
      <c r="W44" s="79">
        <v>-147.46726372982505</v>
      </c>
      <c r="X44" s="79">
        <v>-60475.422552463322</v>
      </c>
      <c r="Y44" s="79">
        <v>-16221.399010280755</v>
      </c>
      <c r="Z44" s="79">
        <v>-44254.023542182571</v>
      </c>
      <c r="AA44" s="81">
        <v>0.56003082368386481</v>
      </c>
      <c r="AB44" s="81">
        <v>0.39875926033221276</v>
      </c>
      <c r="AC44" s="81">
        <v>1.226430976430976</v>
      </c>
      <c r="AD44" s="81">
        <v>0.42668543438301165</v>
      </c>
      <c r="AE44" s="81">
        <v>0.58193779904306209</v>
      </c>
      <c r="AF44" s="81">
        <v>0.11346265065765178</v>
      </c>
    </row>
    <row r="45" spans="3:32" collapsed="1" x14ac:dyDescent="0.25">
      <c r="C45" s="23" t="s">
        <v>150</v>
      </c>
      <c r="D45" s="6">
        <v>0</v>
      </c>
      <c r="E45" s="53" t="s">
        <v>364</v>
      </c>
      <c r="F45" s="6">
        <v>0</v>
      </c>
      <c r="G45" s="6">
        <v>0</v>
      </c>
      <c r="H45" s="53" t="s">
        <v>364</v>
      </c>
      <c r="I45" s="6">
        <v>0</v>
      </c>
      <c r="J45" s="6">
        <v>68</v>
      </c>
      <c r="K45" s="53">
        <v>730.58397058823527</v>
      </c>
      <c r="L45" s="6">
        <v>49679.71</v>
      </c>
      <c r="M45" s="6">
        <v>83.695652173913047</v>
      </c>
      <c r="N45" s="6">
        <v>784.10285714285715</v>
      </c>
      <c r="O45" s="6">
        <v>65626</v>
      </c>
      <c r="P45" s="6">
        <v>142.18181818181819</v>
      </c>
      <c r="Q45" s="53">
        <v>730.58397058823516</v>
      </c>
      <c r="R45" s="6">
        <v>103875.75727272726</v>
      </c>
      <c r="S45" s="6">
        <v>175</v>
      </c>
      <c r="T45" s="6">
        <v>784.10285714285715</v>
      </c>
      <c r="U45" s="6">
        <v>137218</v>
      </c>
      <c r="V45" s="6">
        <v>-15.695652173913047</v>
      </c>
      <c r="W45" s="6">
        <v>-53.518886554621872</v>
      </c>
      <c r="X45" s="6">
        <v>-15946.29</v>
      </c>
      <c r="Y45" s="6">
        <v>-3639.2842857142873</v>
      </c>
      <c r="Z45" s="6">
        <v>-12307.005714285717</v>
      </c>
      <c r="AA45" s="8">
        <v>0.81246753246753245</v>
      </c>
      <c r="AB45" s="8">
        <v>0.75701261695059885</v>
      </c>
      <c r="AC45" s="8" t="s">
        <v>364</v>
      </c>
      <c r="AD45" s="8" t="s">
        <v>364</v>
      </c>
      <c r="AE45" s="8" t="s">
        <v>364</v>
      </c>
      <c r="AF45" s="8" t="s">
        <v>364</v>
      </c>
    </row>
    <row r="46" spans="3:32" ht="15" hidden="1" customHeight="1" outlineLevel="1" x14ac:dyDescent="0.25">
      <c r="C46" s="23" t="s">
        <v>362</v>
      </c>
      <c r="D46" s="79">
        <v>0</v>
      </c>
      <c r="E46" s="80" t="s">
        <v>364</v>
      </c>
      <c r="F46" s="79">
        <v>0</v>
      </c>
      <c r="G46" s="79">
        <v>0</v>
      </c>
      <c r="H46" s="80" t="s">
        <v>364</v>
      </c>
      <c r="I46" s="79">
        <v>0</v>
      </c>
      <c r="J46" s="76">
        <v>21</v>
      </c>
      <c r="K46" s="77">
        <v>1212.8571428571429</v>
      </c>
      <c r="L46" s="76">
        <v>25470</v>
      </c>
      <c r="M46" s="79">
        <v>34.053945249597419</v>
      </c>
      <c r="N46" s="79">
        <v>1215.3397229446105</v>
      </c>
      <c r="O46" s="79">
        <v>41387.112384816661</v>
      </c>
      <c r="P46" s="6">
        <v>43.909090909090907</v>
      </c>
      <c r="Q46" s="53">
        <v>1212.8571428571429</v>
      </c>
      <c r="R46" s="6">
        <v>53255.454545454544</v>
      </c>
      <c r="S46" s="79">
        <v>0</v>
      </c>
      <c r="T46" s="79" t="s">
        <v>364</v>
      </c>
      <c r="U46" s="79">
        <v>0</v>
      </c>
      <c r="V46" s="79">
        <v>-13.053945249597419</v>
      </c>
      <c r="W46" s="79">
        <v>-2.4825800874675679</v>
      </c>
      <c r="X46" s="79">
        <v>-15917.112384816661</v>
      </c>
      <c r="Y46" s="79">
        <v>-52.134181836818925</v>
      </c>
      <c r="Z46" s="79">
        <v>-15864.978202979841</v>
      </c>
      <c r="AA46" s="81">
        <v>0.61666863695472285</v>
      </c>
      <c r="AB46" s="81">
        <v>0.61540896507058473</v>
      </c>
      <c r="AC46" s="81" t="s">
        <v>364</v>
      </c>
      <c r="AD46" s="81" t="s">
        <v>364</v>
      </c>
      <c r="AE46" s="81" t="s">
        <v>364</v>
      </c>
      <c r="AF46" s="81" t="s">
        <v>364</v>
      </c>
    </row>
    <row r="47" spans="3:32" ht="15" hidden="1" customHeight="1" outlineLevel="1" x14ac:dyDescent="0.25">
      <c r="C47" s="23" t="s">
        <v>363</v>
      </c>
      <c r="D47" s="79">
        <v>0</v>
      </c>
      <c r="E47" s="80" t="s">
        <v>364</v>
      </c>
      <c r="F47" s="79">
        <v>0</v>
      </c>
      <c r="G47" s="79">
        <v>0</v>
      </c>
      <c r="H47" s="80" t="s">
        <v>364</v>
      </c>
      <c r="I47" s="79">
        <v>0</v>
      </c>
      <c r="J47" s="76">
        <v>47</v>
      </c>
      <c r="K47" s="77">
        <v>515.10021276595739</v>
      </c>
      <c r="L47" s="76">
        <v>24209.71</v>
      </c>
      <c r="M47" s="79">
        <v>49.641706924315628</v>
      </c>
      <c r="N47" s="79">
        <v>488.27667533951342</v>
      </c>
      <c r="O47" s="79">
        <v>24238.887615183336</v>
      </c>
      <c r="P47" s="6">
        <v>98.272727272727266</v>
      </c>
      <c r="Q47" s="53">
        <v>515.10021276595751</v>
      </c>
      <c r="R47" s="6">
        <v>50620.302727272727</v>
      </c>
      <c r="S47" s="79">
        <v>0</v>
      </c>
      <c r="T47" s="79" t="s">
        <v>364</v>
      </c>
      <c r="U47" s="79">
        <v>0</v>
      </c>
      <c r="V47" s="79">
        <v>-2.6417069243156277</v>
      </c>
      <c r="W47" s="79">
        <v>26.823537426443977</v>
      </c>
      <c r="X47" s="79">
        <v>-29.177615183336457</v>
      </c>
      <c r="Y47" s="79">
        <v>1260.7062590428668</v>
      </c>
      <c r="Z47" s="79">
        <v>-1289.8838742262062</v>
      </c>
      <c r="AA47" s="81">
        <v>0.94678452680236791</v>
      </c>
      <c r="AB47" s="81">
        <v>0.99879624776324061</v>
      </c>
      <c r="AC47" s="81" t="s">
        <v>364</v>
      </c>
      <c r="AD47" s="81" t="s">
        <v>364</v>
      </c>
      <c r="AE47" s="81" t="s">
        <v>364</v>
      </c>
      <c r="AF47" s="81" t="s">
        <v>364</v>
      </c>
    </row>
    <row r="48" spans="3:32" collapsed="1" x14ac:dyDescent="0.25">
      <c r="C48" s="23" t="s">
        <v>151</v>
      </c>
      <c r="D48" s="6">
        <v>14.638941398865786</v>
      </c>
      <c r="E48" s="53">
        <v>286.39734375000012</v>
      </c>
      <c r="F48" s="6">
        <v>4192.5539319470718</v>
      </c>
      <c r="G48" s="6">
        <v>22.187145557655956</v>
      </c>
      <c r="H48" s="53">
        <v>363.30051546391758</v>
      </c>
      <c r="I48" s="6">
        <v>8060.6014177693778</v>
      </c>
      <c r="J48" s="6">
        <v>115</v>
      </c>
      <c r="K48" s="53">
        <v>269.57600000000002</v>
      </c>
      <c r="L48" s="6">
        <v>31001.24</v>
      </c>
      <c r="M48" s="6">
        <v>213.78260869565219</v>
      </c>
      <c r="N48" s="6">
        <v>352.84116331096192</v>
      </c>
      <c r="O48" s="6">
        <v>75431.304347826081</v>
      </c>
      <c r="P48" s="6">
        <v>240.45454545454544</v>
      </c>
      <c r="Q48" s="53">
        <v>269.57600000000002</v>
      </c>
      <c r="R48" s="6">
        <v>64820.774545454544</v>
      </c>
      <c r="S48" s="6">
        <v>447</v>
      </c>
      <c r="T48" s="6">
        <v>352.84116331096197</v>
      </c>
      <c r="U48" s="6">
        <v>157720</v>
      </c>
      <c r="V48" s="6">
        <v>-98.782608695652186</v>
      </c>
      <c r="W48" s="6">
        <v>-83.265163310961896</v>
      </c>
      <c r="X48" s="6">
        <v>-44430.064347826075</v>
      </c>
      <c r="Y48" s="6">
        <v>-9575.4937807606184</v>
      </c>
      <c r="Z48" s="6">
        <v>-34854.570567065457</v>
      </c>
      <c r="AA48" s="8">
        <v>0.53792963188936338</v>
      </c>
      <c r="AB48" s="8">
        <v>0.4109863970673</v>
      </c>
      <c r="AC48" s="8">
        <v>6.8557592975206605</v>
      </c>
      <c r="AD48" s="8">
        <v>6.3943568772656567</v>
      </c>
      <c r="AE48" s="8">
        <v>4.1831813921785805</v>
      </c>
      <c r="AF48" s="8">
        <v>2.8460207115139831</v>
      </c>
    </row>
    <row r="49" spans="1:32" ht="15" hidden="1" customHeight="1" outlineLevel="1" x14ac:dyDescent="0.25">
      <c r="C49" s="23" t="s">
        <v>362</v>
      </c>
      <c r="D49" s="79">
        <v>3.6597353497164464</v>
      </c>
      <c r="E49" s="80">
        <v>281.04374999999999</v>
      </c>
      <c r="F49" s="79">
        <v>1028.5457466918715</v>
      </c>
      <c r="G49" s="79">
        <v>6.8620037807183367</v>
      </c>
      <c r="H49" s="80">
        <v>242.97666666666669</v>
      </c>
      <c r="I49" s="79">
        <v>1667.3068052930059</v>
      </c>
      <c r="J49" s="76">
        <v>39</v>
      </c>
      <c r="K49" s="77">
        <v>256.15384615384613</v>
      </c>
      <c r="L49" s="76">
        <v>9990</v>
      </c>
      <c r="M49" s="79">
        <v>47.954300321546441</v>
      </c>
      <c r="N49" s="79">
        <v>386.03842492797133</v>
      </c>
      <c r="O49" s="79">
        <v>18512.202564652696</v>
      </c>
      <c r="P49" s="6">
        <v>81.545454545454547</v>
      </c>
      <c r="Q49" s="53">
        <v>256.15384615384613</v>
      </c>
      <c r="R49" s="6">
        <v>20888.181818181816</v>
      </c>
      <c r="S49" s="79">
        <v>0</v>
      </c>
      <c r="T49" s="79" t="s">
        <v>364</v>
      </c>
      <c r="U49" s="79">
        <v>0</v>
      </c>
      <c r="V49" s="79">
        <v>-8.954300321546441</v>
      </c>
      <c r="W49" s="79">
        <v>-129.8845787741252</v>
      </c>
      <c r="X49" s="79">
        <v>-8522.2025646526963</v>
      </c>
      <c r="Y49" s="79">
        <v>-5065.4985721908834</v>
      </c>
      <c r="Z49" s="79">
        <v>-3456.7039924618152</v>
      </c>
      <c r="AA49" s="81">
        <v>0.81327429945791185</v>
      </c>
      <c r="AB49" s="81">
        <v>0.53964405181450215</v>
      </c>
      <c r="AC49" s="81">
        <v>9.6565082644628077</v>
      </c>
      <c r="AD49" s="81">
        <v>8.7127425125532838</v>
      </c>
      <c r="AE49" s="81">
        <v>4.6834710743801651</v>
      </c>
      <c r="AF49" s="81">
        <v>4.9916986893389401</v>
      </c>
    </row>
    <row r="50" spans="1:32" ht="15" hidden="1" customHeight="1" outlineLevel="1" x14ac:dyDescent="0.25">
      <c r="C50" s="23" t="s">
        <v>363</v>
      </c>
      <c r="D50" s="79">
        <v>10.97920604914934</v>
      </c>
      <c r="E50" s="80">
        <v>288.18187500000016</v>
      </c>
      <c r="F50" s="79">
        <v>3164.0081852552007</v>
      </c>
      <c r="G50" s="79">
        <v>15.325141776937617</v>
      </c>
      <c r="H50" s="80">
        <v>417.17686567164196</v>
      </c>
      <c r="I50" s="79">
        <v>6393.294612476373</v>
      </c>
      <c r="J50" s="76">
        <v>76</v>
      </c>
      <c r="K50" s="77">
        <v>276.46368421052631</v>
      </c>
      <c r="L50" s="76">
        <v>21011.24</v>
      </c>
      <c r="M50" s="79">
        <v>165.82830837410575</v>
      </c>
      <c r="N50" s="79">
        <v>343.24116516201144</v>
      </c>
      <c r="O50" s="79">
        <v>56919.101783173392</v>
      </c>
      <c r="P50" s="6">
        <v>158.90909090909091</v>
      </c>
      <c r="Q50" s="53">
        <v>276.46368421052631</v>
      </c>
      <c r="R50" s="6">
        <v>43932.592727272728</v>
      </c>
      <c r="S50" s="79">
        <v>0</v>
      </c>
      <c r="T50" s="79" t="s">
        <v>364</v>
      </c>
      <c r="U50" s="79">
        <v>0</v>
      </c>
      <c r="V50" s="79">
        <v>-89.828308374105745</v>
      </c>
      <c r="W50" s="79">
        <v>-66.777480951485131</v>
      </c>
      <c r="X50" s="79">
        <v>-35907.861783173386</v>
      </c>
      <c r="Y50" s="79">
        <v>-5075.08855231287</v>
      </c>
      <c r="Z50" s="79">
        <v>-30832.773230860526</v>
      </c>
      <c r="AA50" s="81">
        <v>0.45830534451660293</v>
      </c>
      <c r="AB50" s="81">
        <v>0.36914215688153063</v>
      </c>
      <c r="AC50" s="81">
        <v>5.9221763085399441</v>
      </c>
      <c r="AD50" s="81">
        <v>5.6407034273538992</v>
      </c>
      <c r="AE50" s="81">
        <v>3.9591710867151853</v>
      </c>
      <c r="AF50" s="81">
        <v>2.2864495183746159</v>
      </c>
    </row>
    <row r="51" spans="1:32" collapsed="1" x14ac:dyDescent="0.25">
      <c r="C51" s="23" t="s">
        <v>152</v>
      </c>
      <c r="D51" s="6">
        <v>185.73156899810965</v>
      </c>
      <c r="E51" s="53">
        <v>156.07827586206849</v>
      </c>
      <c r="F51" s="6">
        <v>28988.663062381769</v>
      </c>
      <c r="G51" s="6">
        <v>242</v>
      </c>
      <c r="H51" s="53">
        <v>161.99184310018885</v>
      </c>
      <c r="I51" s="6">
        <v>39202.026030245703</v>
      </c>
      <c r="J51" s="6">
        <v>590</v>
      </c>
      <c r="K51" s="53">
        <v>163.3146779661017</v>
      </c>
      <c r="L51" s="6">
        <v>96355.66</v>
      </c>
      <c r="M51" s="6">
        <v>854.6521739130435</v>
      </c>
      <c r="N51" s="6">
        <v>176.88808058198097</v>
      </c>
      <c r="O51" s="6">
        <v>151177.78260869565</v>
      </c>
      <c r="P51" s="6">
        <v>1233.6363636363635</v>
      </c>
      <c r="Q51" s="53">
        <v>163.3146779661017</v>
      </c>
      <c r="R51" s="6">
        <v>201470.92545454545</v>
      </c>
      <c r="S51" s="6">
        <v>1787</v>
      </c>
      <c r="T51" s="6">
        <v>176.88808058198097</v>
      </c>
      <c r="U51" s="6">
        <v>316099</v>
      </c>
      <c r="V51" s="6">
        <v>-264.6521739130435</v>
      </c>
      <c r="W51" s="6">
        <v>-13.573402615879274</v>
      </c>
      <c r="X51" s="6">
        <v>-54822.122608695645</v>
      </c>
      <c r="Y51" s="6">
        <v>-8008.3075433687718</v>
      </c>
      <c r="Z51" s="6">
        <v>-46813.815065326882</v>
      </c>
      <c r="AA51" s="8">
        <v>0.69033931932644854</v>
      </c>
      <c r="AB51" s="8">
        <v>0.63736653850390379</v>
      </c>
      <c r="AC51" s="8">
        <v>2.1766274477873222</v>
      </c>
      <c r="AD51" s="8">
        <v>2.3239083773076641</v>
      </c>
      <c r="AE51" s="8">
        <v>1.4380165289256199</v>
      </c>
      <c r="AF51" s="8">
        <v>1.4579255145042329</v>
      </c>
    </row>
    <row r="52" spans="1:32" ht="15" hidden="1" customHeight="1" outlineLevel="1" x14ac:dyDescent="0.25">
      <c r="C52" s="23" t="s">
        <v>362</v>
      </c>
      <c r="D52" s="79">
        <v>0</v>
      </c>
      <c r="E52" s="80" t="s">
        <v>364</v>
      </c>
      <c r="F52" s="79">
        <v>0</v>
      </c>
      <c r="G52" s="79">
        <v>0</v>
      </c>
      <c r="H52" s="80" t="s">
        <v>364</v>
      </c>
      <c r="I52" s="79">
        <v>0</v>
      </c>
      <c r="J52" s="76">
        <v>138</v>
      </c>
      <c r="K52" s="77">
        <v>215.82673913043479</v>
      </c>
      <c r="L52" s="76">
        <v>29784.09</v>
      </c>
      <c r="M52" s="79">
        <v>25.778924704715461</v>
      </c>
      <c r="N52" s="79">
        <v>348.23373638782869</v>
      </c>
      <c r="O52" s="79">
        <v>8977.0912699835681</v>
      </c>
      <c r="P52" s="6">
        <v>288.54545454545456</v>
      </c>
      <c r="Q52" s="53">
        <v>215.82673913043479</v>
      </c>
      <c r="R52" s="6">
        <v>62275.824545454547</v>
      </c>
      <c r="S52" s="79">
        <v>0</v>
      </c>
      <c r="T52" s="79" t="s">
        <v>364</v>
      </c>
      <c r="U52" s="79">
        <v>0</v>
      </c>
      <c r="V52" s="79">
        <v>112.22107529528454</v>
      </c>
      <c r="W52" s="79">
        <v>-132.4069972573939</v>
      </c>
      <c r="X52" s="79">
        <v>20806.998730016432</v>
      </c>
      <c r="Y52" s="79">
        <v>-18272.165621520358</v>
      </c>
      <c r="Z52" s="79">
        <v>39079.16435153679</v>
      </c>
      <c r="AA52" s="81">
        <v>5.3532100962596454</v>
      </c>
      <c r="AB52" s="81">
        <v>3.3177884800601474</v>
      </c>
      <c r="AC52" s="81" t="s">
        <v>364</v>
      </c>
      <c r="AD52" s="81" t="s">
        <v>364</v>
      </c>
      <c r="AE52" s="81" t="s">
        <v>364</v>
      </c>
      <c r="AF52" s="81" t="s">
        <v>364</v>
      </c>
    </row>
    <row r="53" spans="1:32" ht="15" hidden="1" customHeight="1" outlineLevel="1" x14ac:dyDescent="0.25">
      <c r="C53" s="23" t="s">
        <v>363</v>
      </c>
      <c r="D53" s="79">
        <v>0</v>
      </c>
      <c r="E53" s="80" t="s">
        <v>364</v>
      </c>
      <c r="F53" s="79">
        <v>0</v>
      </c>
      <c r="G53" s="79">
        <v>0</v>
      </c>
      <c r="H53" s="80" t="s">
        <v>364</v>
      </c>
      <c r="I53" s="79">
        <v>0</v>
      </c>
      <c r="J53" s="76">
        <v>452</v>
      </c>
      <c r="K53" s="77">
        <v>147.28223451327435</v>
      </c>
      <c r="L53" s="76">
        <v>66571.570000000007</v>
      </c>
      <c r="M53" s="79">
        <v>103.35151007789322</v>
      </c>
      <c r="N53" s="79">
        <v>257.34417145885016</v>
      </c>
      <c r="O53" s="79">
        <v>26596.908730016432</v>
      </c>
      <c r="P53" s="6">
        <v>945.09090909090901</v>
      </c>
      <c r="Q53" s="53">
        <v>147.28223451327437</v>
      </c>
      <c r="R53" s="6">
        <v>139195.10090909092</v>
      </c>
      <c r="S53" s="79">
        <v>0</v>
      </c>
      <c r="T53" s="79" t="s">
        <v>364</v>
      </c>
      <c r="U53" s="79">
        <v>0</v>
      </c>
      <c r="V53" s="79">
        <v>348.64848992210676</v>
      </c>
      <c r="W53" s="79">
        <v>-110.06193694557581</v>
      </c>
      <c r="X53" s="79">
        <v>39974.661269983575</v>
      </c>
      <c r="Y53" s="79">
        <v>-49747.995499400269</v>
      </c>
      <c r="Z53" s="79">
        <v>89722.65676938383</v>
      </c>
      <c r="AA53" s="81">
        <v>4.3734242456577546</v>
      </c>
      <c r="AB53" s="81">
        <v>2.5029814808842592</v>
      </c>
      <c r="AC53" s="81" t="s">
        <v>364</v>
      </c>
      <c r="AD53" s="81" t="s">
        <v>364</v>
      </c>
      <c r="AE53" s="81" t="s">
        <v>364</v>
      </c>
      <c r="AF53" s="81" t="s">
        <v>364</v>
      </c>
    </row>
    <row r="54" spans="1:32" collapsed="1" x14ac:dyDescent="0.25">
      <c r="C54" s="23" t="s">
        <v>153</v>
      </c>
      <c r="D54" s="6">
        <v>0</v>
      </c>
      <c r="E54" s="53" t="s">
        <v>364</v>
      </c>
      <c r="F54" s="6">
        <v>4399.1116824196533</v>
      </c>
      <c r="G54" s="6">
        <v>0</v>
      </c>
      <c r="H54" s="53" t="s">
        <v>364</v>
      </c>
      <c r="I54" s="6">
        <v>5633.6250472589827</v>
      </c>
      <c r="J54" s="6">
        <v>0</v>
      </c>
      <c r="K54" s="53" t="s">
        <v>364</v>
      </c>
      <c r="L54" s="6">
        <v>10100.619999999999</v>
      </c>
      <c r="M54" s="6">
        <v>0</v>
      </c>
      <c r="N54" s="6" t="s">
        <v>364</v>
      </c>
      <c r="O54" s="6">
        <v>0</v>
      </c>
      <c r="P54" s="6">
        <v>0</v>
      </c>
      <c r="Q54" s="53" t="s">
        <v>364</v>
      </c>
      <c r="R54" s="6">
        <v>21119.47818181818</v>
      </c>
      <c r="S54" s="6">
        <v>0</v>
      </c>
      <c r="T54" s="6" t="s">
        <v>364</v>
      </c>
      <c r="U54" s="6">
        <v>0</v>
      </c>
      <c r="V54" s="6">
        <v>0</v>
      </c>
      <c r="W54" s="6">
        <v>0</v>
      </c>
      <c r="X54" s="6">
        <v>10100.619999999999</v>
      </c>
      <c r="Y54" s="6">
        <v>0</v>
      </c>
      <c r="Z54" s="6">
        <v>0</v>
      </c>
      <c r="AA54" s="8" t="s">
        <v>364</v>
      </c>
      <c r="AB54" s="8" t="s">
        <v>364</v>
      </c>
      <c r="AC54" s="8" t="s">
        <v>364</v>
      </c>
      <c r="AD54" s="8">
        <v>1.2960590067229965</v>
      </c>
      <c r="AE54" s="8" t="s">
        <v>364</v>
      </c>
      <c r="AF54" s="8">
        <v>0.79291662389111506</v>
      </c>
    </row>
    <row r="55" spans="1:32" ht="15" hidden="1" customHeight="1" outlineLevel="1" x14ac:dyDescent="0.25">
      <c r="C55" s="23" t="s">
        <v>362</v>
      </c>
      <c r="D55" s="79">
        <v>0</v>
      </c>
      <c r="E55" s="80" t="s">
        <v>364</v>
      </c>
      <c r="F55" s="79">
        <v>0</v>
      </c>
      <c r="G55" s="79">
        <v>0</v>
      </c>
      <c r="H55" s="80" t="s">
        <v>364</v>
      </c>
      <c r="I55" s="79">
        <v>0</v>
      </c>
      <c r="J55" s="76">
        <v>0</v>
      </c>
      <c r="K55" s="77" t="s">
        <v>364</v>
      </c>
      <c r="L55" s="76">
        <v>10100.619999999999</v>
      </c>
      <c r="M55" s="79">
        <v>0</v>
      </c>
      <c r="N55" s="79" t="s">
        <v>364</v>
      </c>
      <c r="O55" s="79">
        <v>0</v>
      </c>
      <c r="P55" s="6">
        <v>0</v>
      </c>
      <c r="Q55" s="53" t="s">
        <v>364</v>
      </c>
      <c r="R55" s="6">
        <v>21119.47818181818</v>
      </c>
      <c r="S55" s="79">
        <v>0</v>
      </c>
      <c r="T55" s="79" t="s">
        <v>364</v>
      </c>
      <c r="U55" s="79">
        <v>0</v>
      </c>
      <c r="V55" s="79">
        <v>0</v>
      </c>
      <c r="W55" s="79">
        <v>0</v>
      </c>
      <c r="X55" s="79">
        <v>10100.619999999999</v>
      </c>
      <c r="Y55" s="79">
        <v>0</v>
      </c>
      <c r="Z55" s="79">
        <v>0</v>
      </c>
      <c r="AA55" s="81" t="s">
        <v>364</v>
      </c>
      <c r="AB55" s="81" t="s">
        <v>364</v>
      </c>
      <c r="AC55" s="81" t="s">
        <v>364</v>
      </c>
      <c r="AD55" s="81" t="s">
        <v>364</v>
      </c>
      <c r="AE55" s="81" t="s">
        <v>364</v>
      </c>
      <c r="AF55" s="81" t="s">
        <v>364</v>
      </c>
    </row>
    <row r="56" spans="1:32" ht="15" hidden="1" customHeight="1" outlineLevel="1" x14ac:dyDescent="0.25">
      <c r="C56" s="23" t="s">
        <v>363</v>
      </c>
      <c r="D56" s="79">
        <v>0</v>
      </c>
      <c r="E56" s="80" t="s">
        <v>364</v>
      </c>
      <c r="F56" s="79">
        <v>0</v>
      </c>
      <c r="G56" s="79">
        <v>0</v>
      </c>
      <c r="H56" s="80" t="s">
        <v>364</v>
      </c>
      <c r="I56" s="79">
        <v>0</v>
      </c>
      <c r="J56" s="76">
        <v>0</v>
      </c>
      <c r="K56" s="77" t="s">
        <v>364</v>
      </c>
      <c r="L56" s="76">
        <v>0</v>
      </c>
      <c r="M56" s="79">
        <v>0</v>
      </c>
      <c r="N56" s="79" t="s">
        <v>364</v>
      </c>
      <c r="O56" s="79">
        <v>0</v>
      </c>
      <c r="P56" s="6">
        <v>0</v>
      </c>
      <c r="Q56" s="53" t="s">
        <v>364</v>
      </c>
      <c r="R56" s="6">
        <v>0</v>
      </c>
      <c r="S56" s="79">
        <v>0</v>
      </c>
      <c r="T56" s="79" t="s">
        <v>364</v>
      </c>
      <c r="U56" s="79">
        <v>0</v>
      </c>
      <c r="V56" s="79">
        <v>0</v>
      </c>
      <c r="W56" s="79">
        <v>0</v>
      </c>
      <c r="X56" s="79">
        <v>0</v>
      </c>
      <c r="Y56" s="79">
        <v>0</v>
      </c>
      <c r="Z56" s="79">
        <v>0</v>
      </c>
      <c r="AA56" s="81" t="s">
        <v>364</v>
      </c>
      <c r="AB56" s="81" t="s">
        <v>364</v>
      </c>
      <c r="AC56" s="81" t="s">
        <v>364</v>
      </c>
      <c r="AD56" s="81" t="s">
        <v>364</v>
      </c>
      <c r="AE56" s="81" t="s">
        <v>364</v>
      </c>
      <c r="AF56" s="81" t="s">
        <v>364</v>
      </c>
    </row>
    <row r="57" spans="1:32" ht="15" hidden="1" customHeight="1" x14ac:dyDescent="0.25">
      <c r="C57" s="23" t="s">
        <v>219</v>
      </c>
      <c r="D57" s="82"/>
      <c r="E57" s="83"/>
      <c r="F57" s="82"/>
      <c r="G57" s="82"/>
      <c r="H57" s="83"/>
      <c r="I57" s="82"/>
      <c r="J57" s="82"/>
      <c r="K57" s="83"/>
      <c r="L57" s="6">
        <v>229630.71</v>
      </c>
      <c r="M57" s="82"/>
      <c r="N57" s="82"/>
      <c r="O57" s="82"/>
      <c r="P57" s="6">
        <v>0</v>
      </c>
      <c r="Q57" s="53" t="s">
        <v>364</v>
      </c>
      <c r="R57" s="6">
        <v>480136.93909090909</v>
      </c>
      <c r="S57" s="82">
        <v>0</v>
      </c>
      <c r="T57" s="82" t="s">
        <v>364</v>
      </c>
      <c r="U57" s="82">
        <v>0</v>
      </c>
      <c r="V57" s="82"/>
      <c r="W57" s="83">
        <v>0</v>
      </c>
      <c r="X57" s="82"/>
      <c r="Y57" s="82">
        <v>0</v>
      </c>
      <c r="Z57" s="82">
        <v>0</v>
      </c>
      <c r="AA57" s="84"/>
      <c r="AB57" s="84"/>
      <c r="AC57" s="84" t="s">
        <v>364</v>
      </c>
      <c r="AD57" s="84" t="s">
        <v>364</v>
      </c>
      <c r="AE57" s="84" t="s">
        <v>364</v>
      </c>
      <c r="AF57" s="84" t="s">
        <v>364</v>
      </c>
    </row>
    <row r="58" spans="1:32" ht="15" hidden="1" customHeight="1" x14ac:dyDescent="0.25">
      <c r="C58" s="23" t="s">
        <v>362</v>
      </c>
      <c r="D58" s="82">
        <v>133.58034026465029</v>
      </c>
      <c r="E58" s="80">
        <v>495.2306335616438</v>
      </c>
      <c r="F58" s="82">
        <v>66153.076540642724</v>
      </c>
      <c r="G58" s="82">
        <v>204.71644612476373</v>
      </c>
      <c r="H58" s="80">
        <v>870.20001117318441</v>
      </c>
      <c r="I58" s="82">
        <v>178144.253705104</v>
      </c>
      <c r="J58" s="82">
        <v>654</v>
      </c>
      <c r="K58" s="80">
        <v>0</v>
      </c>
      <c r="L58" s="6">
        <v>0</v>
      </c>
      <c r="M58" s="82">
        <v>787.99200954784044</v>
      </c>
      <c r="N58" s="82">
        <v>776.28720942764232</v>
      </c>
      <c r="O58" s="82">
        <v>611708.11814317317</v>
      </c>
      <c r="P58" s="6">
        <v>1367.4545454545455</v>
      </c>
      <c r="Q58" s="53">
        <v>0</v>
      </c>
      <c r="R58" s="6">
        <v>0</v>
      </c>
      <c r="S58" s="82">
        <v>0</v>
      </c>
      <c r="T58" s="82" t="s">
        <v>364</v>
      </c>
      <c r="U58" s="82">
        <v>0</v>
      </c>
      <c r="V58" s="82">
        <v>-133.99200954784067</v>
      </c>
      <c r="W58" s="80">
        <v>-776.28720942764232</v>
      </c>
      <c r="X58" s="82">
        <v>-209790.91814317327</v>
      </c>
      <c r="Y58" s="82">
        <v>-507691.83496567811</v>
      </c>
      <c r="Z58" s="82">
        <v>-104016.28317749506</v>
      </c>
      <c r="AA58" s="84"/>
      <c r="AB58" s="84"/>
      <c r="AC58" s="84">
        <v>3.8959300350956636</v>
      </c>
      <c r="AD58" s="84">
        <v>-1</v>
      </c>
      <c r="AE58" s="84">
        <v>2.1946627268110253</v>
      </c>
      <c r="AF58" s="84">
        <v>-1</v>
      </c>
    </row>
    <row r="59" spans="1:32" ht="15" hidden="1" customHeight="1" x14ac:dyDescent="0.25">
      <c r="C59" s="23" t="s">
        <v>363</v>
      </c>
      <c r="D59" s="82">
        <v>461.35538752362953</v>
      </c>
      <c r="E59" s="80">
        <v>523.78945959345583</v>
      </c>
      <c r="F59" s="82">
        <v>241653.0891115313</v>
      </c>
      <c r="G59" s="82">
        <v>736.06427221172021</v>
      </c>
      <c r="H59" s="80">
        <v>602.96224052206344</v>
      </c>
      <c r="I59" s="82">
        <v>443818.96274102083</v>
      </c>
      <c r="J59" s="82">
        <v>2006</v>
      </c>
      <c r="K59" s="80">
        <v>0</v>
      </c>
      <c r="L59" s="6">
        <v>0</v>
      </c>
      <c r="M59" s="82">
        <v>2804.7036426260725</v>
      </c>
      <c r="N59" s="82">
        <v>625.80915965848487</v>
      </c>
      <c r="O59" s="82">
        <v>1755209.229682914</v>
      </c>
      <c r="P59" s="6">
        <v>4194.363636363636</v>
      </c>
      <c r="Q59" s="53">
        <v>0</v>
      </c>
      <c r="R59" s="6">
        <v>0</v>
      </c>
      <c r="S59" s="82">
        <v>0</v>
      </c>
      <c r="T59" s="82" t="s">
        <v>364</v>
      </c>
      <c r="U59" s="82">
        <v>0</v>
      </c>
      <c r="V59" s="82">
        <v>-798.70364262607245</v>
      </c>
      <c r="W59" s="80">
        <v>-625.80915965848487</v>
      </c>
      <c r="X59" s="82">
        <v>-711515.23968291387</v>
      </c>
      <c r="Y59" s="82">
        <v>-1255373.1742749207</v>
      </c>
      <c r="Z59" s="82">
        <v>-499836.0554079932</v>
      </c>
      <c r="AA59" s="84"/>
      <c r="AB59" s="84"/>
      <c r="AC59" s="84">
        <v>3.3480580356228251</v>
      </c>
      <c r="AD59" s="84">
        <v>-1</v>
      </c>
      <c r="AE59" s="84">
        <v>1.7253054872129396</v>
      </c>
      <c r="AF59" s="84">
        <v>-1</v>
      </c>
    </row>
    <row r="60" spans="1:32" collapsed="1" x14ac:dyDescent="0.25">
      <c r="C60" s="23" t="s">
        <v>154</v>
      </c>
      <c r="D60" s="6">
        <v>50.321361058601134</v>
      </c>
      <c r="E60" s="53">
        <v>730.65113636363651</v>
      </c>
      <c r="F60" s="6">
        <v>36767.359640831768</v>
      </c>
      <c r="G60" s="6">
        <v>77.540642722117198</v>
      </c>
      <c r="H60" s="53">
        <v>571.39507374631285</v>
      </c>
      <c r="I60" s="6">
        <v>44306.34126654065</v>
      </c>
      <c r="J60" s="6">
        <v>54</v>
      </c>
      <c r="K60" s="53">
        <v>251.23722222222221</v>
      </c>
      <c r="L60" s="6">
        <v>13566.81</v>
      </c>
      <c r="M60" s="6">
        <v>0</v>
      </c>
      <c r="N60" s="6" t="s">
        <v>364</v>
      </c>
      <c r="O60" s="6">
        <v>0</v>
      </c>
      <c r="P60" s="6">
        <v>112.90909090909091</v>
      </c>
      <c r="Q60" s="53">
        <v>251.23722222222221</v>
      </c>
      <c r="R60" s="6">
        <v>28366.966363636362</v>
      </c>
      <c r="S60" s="6">
        <v>0</v>
      </c>
      <c r="T60" s="6" t="s">
        <v>364</v>
      </c>
      <c r="U60" s="6">
        <v>0</v>
      </c>
      <c r="V60" s="6">
        <v>54</v>
      </c>
      <c r="W60" s="6">
        <v>0</v>
      </c>
      <c r="X60" s="6">
        <v>13566.81</v>
      </c>
      <c r="Y60" s="6">
        <v>0</v>
      </c>
      <c r="Z60" s="6">
        <v>0</v>
      </c>
      <c r="AA60" s="8" t="s">
        <v>364</v>
      </c>
      <c r="AB60" s="8" t="s">
        <v>364</v>
      </c>
      <c r="AC60" s="8">
        <v>7.3102930127723523E-2</v>
      </c>
      <c r="AD60" s="8">
        <v>-0.6310094025644023</v>
      </c>
      <c r="AE60" s="8">
        <v>-0.30359101879616757</v>
      </c>
      <c r="AF60" s="8">
        <v>-0.69379529854690558</v>
      </c>
    </row>
    <row r="61" spans="1:32" hidden="1" outlineLevel="1" x14ac:dyDescent="0.25">
      <c r="C61" s="23" t="s">
        <v>362</v>
      </c>
      <c r="D61" s="79">
        <v>0</v>
      </c>
      <c r="E61" s="80" t="s">
        <v>364</v>
      </c>
      <c r="F61" s="79">
        <v>0</v>
      </c>
      <c r="G61" s="79">
        <v>0</v>
      </c>
      <c r="H61" s="80" t="s">
        <v>364</v>
      </c>
      <c r="I61" s="79">
        <v>0</v>
      </c>
      <c r="J61" s="76">
        <v>10</v>
      </c>
      <c r="K61" s="77">
        <v>189.6</v>
      </c>
      <c r="L61" s="76">
        <v>1896</v>
      </c>
      <c r="M61" s="79">
        <v>0</v>
      </c>
      <c r="N61" s="79" t="s">
        <v>364</v>
      </c>
      <c r="O61" s="79">
        <v>0</v>
      </c>
      <c r="P61" s="6">
        <v>20.90909090909091</v>
      </c>
      <c r="Q61" s="53">
        <v>189.59999999999997</v>
      </c>
      <c r="R61" s="6">
        <v>3964.363636363636</v>
      </c>
      <c r="S61" s="79">
        <v>0</v>
      </c>
      <c r="T61" s="79" t="s">
        <v>364</v>
      </c>
      <c r="U61" s="79">
        <v>0</v>
      </c>
      <c r="V61" s="79">
        <v>10</v>
      </c>
      <c r="W61" s="79">
        <v>0</v>
      </c>
      <c r="X61" s="79">
        <v>1896</v>
      </c>
      <c r="Y61" s="79">
        <v>0</v>
      </c>
      <c r="Z61" s="79">
        <v>0</v>
      </c>
      <c r="AA61" s="85" t="s">
        <v>364</v>
      </c>
      <c r="AB61" s="85" t="s">
        <v>364</v>
      </c>
      <c r="AC61" s="85" t="s">
        <v>364</v>
      </c>
      <c r="AD61" s="85" t="s">
        <v>364</v>
      </c>
      <c r="AE61" s="85" t="s">
        <v>364</v>
      </c>
      <c r="AF61" s="85" t="s">
        <v>364</v>
      </c>
    </row>
    <row r="62" spans="1:32" hidden="1" outlineLevel="1" x14ac:dyDescent="0.25">
      <c r="C62" s="23" t="s">
        <v>363</v>
      </c>
      <c r="D62" s="79">
        <v>0</v>
      </c>
      <c r="E62" s="80" t="s">
        <v>364</v>
      </c>
      <c r="F62" s="79">
        <v>0</v>
      </c>
      <c r="G62" s="79">
        <v>0</v>
      </c>
      <c r="H62" s="80" t="s">
        <v>364</v>
      </c>
      <c r="I62" s="79">
        <v>0</v>
      </c>
      <c r="J62" s="76">
        <v>44</v>
      </c>
      <c r="K62" s="77">
        <v>265.24568181818182</v>
      </c>
      <c r="L62" s="76">
        <v>11670.81</v>
      </c>
      <c r="M62" s="79">
        <v>0</v>
      </c>
      <c r="N62" s="79" t="s">
        <v>364</v>
      </c>
      <c r="O62" s="79">
        <v>0</v>
      </c>
      <c r="P62" s="6">
        <v>92</v>
      </c>
      <c r="Q62" s="53">
        <v>265.24568181818182</v>
      </c>
      <c r="R62" s="6">
        <v>24402.602727272726</v>
      </c>
      <c r="S62" s="79">
        <v>0</v>
      </c>
      <c r="T62" s="79" t="s">
        <v>364</v>
      </c>
      <c r="U62" s="79">
        <v>0</v>
      </c>
      <c r="V62" s="79">
        <v>44</v>
      </c>
      <c r="W62" s="79">
        <v>0</v>
      </c>
      <c r="X62" s="79">
        <v>11670.81</v>
      </c>
      <c r="Y62" s="79">
        <v>0</v>
      </c>
      <c r="Z62" s="79">
        <v>0</v>
      </c>
      <c r="AA62" s="85" t="s">
        <v>364</v>
      </c>
      <c r="AB62" s="85" t="s">
        <v>364</v>
      </c>
      <c r="AC62" s="85" t="s">
        <v>364</v>
      </c>
      <c r="AD62" s="85" t="s">
        <v>364</v>
      </c>
      <c r="AE62" s="85" t="s">
        <v>364</v>
      </c>
      <c r="AF62" s="85" t="s">
        <v>364</v>
      </c>
    </row>
    <row r="63" spans="1:32" x14ac:dyDescent="0.25">
      <c r="C63"/>
      <c r="D63"/>
      <c r="E63"/>
      <c r="F63"/>
      <c r="G63"/>
      <c r="H63"/>
      <c r="I63"/>
      <c r="J63"/>
      <c r="K63"/>
      <c r="L63"/>
      <c r="M63"/>
      <c r="N63"/>
      <c r="O63"/>
      <c r="P63"/>
      <c r="Q63"/>
      <c r="R63"/>
      <c r="S63"/>
      <c r="T63"/>
      <c r="U63"/>
      <c r="V63"/>
      <c r="W63"/>
      <c r="X63"/>
      <c r="Y63"/>
      <c r="Z63"/>
      <c r="AA63"/>
      <c r="AB63"/>
    </row>
    <row r="64" spans="1:32" x14ac:dyDescent="0.25">
      <c r="A64" s="71"/>
      <c r="B64" s="71"/>
      <c r="C64" s="72">
        <v>0.47826086956521741</v>
      </c>
      <c r="D64" s="144" t="s">
        <v>30</v>
      </c>
      <c r="E64" s="144"/>
      <c r="F64" s="144"/>
      <c r="G64" s="144" t="s">
        <v>31</v>
      </c>
      <c r="H64" s="144"/>
      <c r="I64" s="144"/>
      <c r="J64" s="136" t="s">
        <v>357</v>
      </c>
      <c r="K64" s="137"/>
      <c r="L64" s="137"/>
      <c r="M64" s="136" t="s">
        <v>358</v>
      </c>
      <c r="N64" s="137"/>
      <c r="O64" s="137"/>
      <c r="P64" s="136" t="s">
        <v>3</v>
      </c>
      <c r="Q64" s="137"/>
      <c r="R64" s="137"/>
      <c r="S64" s="137"/>
      <c r="T64" s="137"/>
      <c r="AA64" s="61"/>
      <c r="AB64" s="61"/>
    </row>
    <row r="65" spans="1:30" x14ac:dyDescent="0.25">
      <c r="A65" s="71"/>
      <c r="B65" s="71"/>
      <c r="C65" s="71"/>
      <c r="D65" s="124" t="s">
        <v>20</v>
      </c>
      <c r="E65" s="125"/>
      <c r="F65" s="126"/>
      <c r="G65" s="141" t="s">
        <v>5</v>
      </c>
      <c r="H65" s="141" t="s">
        <v>5</v>
      </c>
      <c r="I65" s="141" t="s">
        <v>5</v>
      </c>
      <c r="J65" s="125" t="s">
        <v>17</v>
      </c>
      <c r="K65" s="125"/>
      <c r="L65" s="125"/>
      <c r="M65" s="125" t="s">
        <v>17</v>
      </c>
      <c r="N65" s="125"/>
      <c r="O65" s="125"/>
      <c r="P65" s="142" t="s">
        <v>17</v>
      </c>
      <c r="Q65" s="143"/>
      <c r="R65" s="143"/>
      <c r="S65" s="143"/>
      <c r="T65" s="143"/>
      <c r="U65" s="98" t="s">
        <v>6</v>
      </c>
      <c r="V65" s="139" t="s">
        <v>7</v>
      </c>
      <c r="W65" s="140"/>
      <c r="X65" s="139" t="s">
        <v>8</v>
      </c>
      <c r="Y65" s="140"/>
      <c r="AB65"/>
      <c r="AD65" s="62"/>
    </row>
    <row r="66" spans="1:30" x14ac:dyDescent="0.25">
      <c r="A66" s="18" t="s">
        <v>4</v>
      </c>
      <c r="B66" s="19" t="s">
        <v>33</v>
      </c>
      <c r="C66" s="19" t="s">
        <v>34</v>
      </c>
      <c r="D66" s="20" t="s">
        <v>9</v>
      </c>
      <c r="E66" s="20" t="s">
        <v>10</v>
      </c>
      <c r="F66" s="20" t="s">
        <v>11</v>
      </c>
      <c r="G66" s="20" t="s">
        <v>9</v>
      </c>
      <c r="H66" s="20" t="s">
        <v>10</v>
      </c>
      <c r="I66" s="20" t="s">
        <v>11</v>
      </c>
      <c r="J66" s="20" t="s">
        <v>9</v>
      </c>
      <c r="K66" s="20" t="s">
        <v>10</v>
      </c>
      <c r="L66" s="20" t="s">
        <v>11</v>
      </c>
      <c r="M66" s="20" t="s">
        <v>9</v>
      </c>
      <c r="N66" s="20" t="s">
        <v>10</v>
      </c>
      <c r="O66" s="20" t="s">
        <v>11</v>
      </c>
      <c r="P66" s="20" t="s">
        <v>9</v>
      </c>
      <c r="Q66" s="20" t="s">
        <v>10</v>
      </c>
      <c r="R66" s="20" t="s">
        <v>11</v>
      </c>
      <c r="S66" s="20" t="s">
        <v>14</v>
      </c>
      <c r="T66" s="20" t="s">
        <v>15</v>
      </c>
      <c r="U66" s="20" t="s">
        <v>16</v>
      </c>
      <c r="V66" s="20" t="s">
        <v>16</v>
      </c>
      <c r="W66" s="20" t="s">
        <v>11</v>
      </c>
      <c r="X66" s="20" t="s">
        <v>16</v>
      </c>
      <c r="Y66" s="20" t="s">
        <v>11</v>
      </c>
      <c r="Z66" s="62"/>
      <c r="AA66"/>
      <c r="AB66"/>
    </row>
    <row r="67" spans="1:30" collapsed="1" x14ac:dyDescent="0.25">
      <c r="A67" s="21" t="s">
        <v>145</v>
      </c>
      <c r="B67" s="21" t="s">
        <v>146</v>
      </c>
      <c r="C67" s="21" t="s">
        <v>155</v>
      </c>
      <c r="D67" s="15">
        <v>22.956521739130437</v>
      </c>
      <c r="E67" s="57">
        <v>43.832291666666663</v>
      </c>
      <c r="F67" s="15">
        <v>1006.2369565217391</v>
      </c>
      <c r="G67" s="15">
        <v>95.652173913043484</v>
      </c>
      <c r="H67" s="57">
        <v>1037.3176000000001</v>
      </c>
      <c r="I67" s="15">
        <v>99221.683478260878</v>
      </c>
      <c r="J67" s="15">
        <v>45</v>
      </c>
      <c r="K67" s="57">
        <v>1313.5486666666666</v>
      </c>
      <c r="L67" s="15">
        <v>59109.689999999995</v>
      </c>
      <c r="M67" s="15">
        <v>88</v>
      </c>
      <c r="N67" s="15">
        <v>1002</v>
      </c>
      <c r="O67" s="15">
        <v>88176</v>
      </c>
      <c r="P67" s="15">
        <v>-43</v>
      </c>
      <c r="Q67" s="15">
        <v>311.54866666666658</v>
      </c>
      <c r="R67" s="15">
        <v>-29066.310000000005</v>
      </c>
      <c r="S67" s="15">
        <v>14019.689999999995</v>
      </c>
      <c r="T67" s="15">
        <v>-43086</v>
      </c>
      <c r="U67" s="17">
        <v>0.51136363636363635</v>
      </c>
      <c r="V67" s="17">
        <v>0.96022727272727249</v>
      </c>
      <c r="W67" s="17">
        <v>57.74331052630442</v>
      </c>
      <c r="X67" s="17">
        <v>-0.52954545454545454</v>
      </c>
      <c r="Y67" s="17">
        <v>-0.40426640702028888</v>
      </c>
      <c r="Z67" s="86"/>
      <c r="AA67" s="86"/>
      <c r="AB67"/>
    </row>
    <row r="68" spans="1:30" hidden="1" outlineLevel="1" x14ac:dyDescent="0.25">
      <c r="A68" s="21" t="s">
        <v>364</v>
      </c>
      <c r="B68" s="21" t="s">
        <v>364</v>
      </c>
      <c r="C68" s="21" t="s">
        <v>362</v>
      </c>
      <c r="D68" s="15">
        <v>2.3913043478260869</v>
      </c>
      <c r="E68" s="57">
        <v>80</v>
      </c>
      <c r="F68" s="15">
        <v>191.30434782608697</v>
      </c>
      <c r="G68" s="15">
        <v>14.82608695652174</v>
      </c>
      <c r="H68" s="57">
        <v>1158.9045161290321</v>
      </c>
      <c r="I68" s="15">
        <v>17182.019130434783</v>
      </c>
      <c r="J68" s="15">
        <v>9</v>
      </c>
      <c r="K68" s="57">
        <v>1502.6944444444443</v>
      </c>
      <c r="L68" s="15">
        <v>13524.25</v>
      </c>
      <c r="M68" s="76">
        <v>13.378939477658662</v>
      </c>
      <c r="N68" s="76">
        <v>1157.9251758259625</v>
      </c>
      <c r="O68" s="76">
        <v>15491.810847032817</v>
      </c>
      <c r="P68" s="15">
        <v>-4.3789394776586619</v>
      </c>
      <c r="Q68" s="15">
        <v>344.76926861848187</v>
      </c>
      <c r="R68" s="15">
        <v>-1967.560847032817</v>
      </c>
      <c r="S68" s="15">
        <v>3102.9234175663369</v>
      </c>
      <c r="T68" s="15">
        <v>-5070.4842645991539</v>
      </c>
      <c r="U68" s="78">
        <v>0.672699059221323</v>
      </c>
      <c r="V68" s="17">
        <v>2.7636363636363637</v>
      </c>
      <c r="W68" s="17">
        <v>69.694943181818189</v>
      </c>
      <c r="X68" s="17">
        <v>-0.39296187683284461</v>
      </c>
      <c r="Y68" s="17">
        <v>-0.21288354428355385</v>
      </c>
      <c r="Z68" s="86"/>
      <c r="AA68" s="86"/>
      <c r="AB68"/>
    </row>
    <row r="69" spans="1:30" hidden="1" outlineLevel="1" x14ac:dyDescent="0.25">
      <c r="A69" s="21" t="s">
        <v>364</v>
      </c>
      <c r="B69" s="21" t="s">
        <v>364</v>
      </c>
      <c r="C69" s="21" t="s">
        <v>363</v>
      </c>
      <c r="D69" s="15">
        <v>20.565217391304348</v>
      </c>
      <c r="E69" s="57">
        <v>39.626744186046508</v>
      </c>
      <c r="F69" s="15">
        <v>814.93260869565211</v>
      </c>
      <c r="G69" s="15">
        <v>80.826086956521735</v>
      </c>
      <c r="H69" s="57">
        <v>1015.0146745562132</v>
      </c>
      <c r="I69" s="15">
        <v>82039.664347826096</v>
      </c>
      <c r="J69" s="15">
        <v>36</v>
      </c>
      <c r="K69" s="57">
        <v>1266.2622222222224</v>
      </c>
      <c r="L69" s="15">
        <v>45585.440000000002</v>
      </c>
      <c r="M69" s="76">
        <v>74.621060522341338</v>
      </c>
      <c r="N69" s="76">
        <v>974.04390455166129</v>
      </c>
      <c r="O69" s="76">
        <v>72684.189152967185</v>
      </c>
      <c r="P69" s="15">
        <v>-38.621060522341338</v>
      </c>
      <c r="Q69" s="15">
        <v>292.21831767056108</v>
      </c>
      <c r="R69" s="15">
        <v>-27098.749152967182</v>
      </c>
      <c r="S69" s="15">
        <v>10519.859436140199</v>
      </c>
      <c r="T69" s="15">
        <v>-37618.608589107382</v>
      </c>
      <c r="U69" s="78">
        <v>0.48243752833319353</v>
      </c>
      <c r="V69" s="17">
        <v>0.75052854122621571</v>
      </c>
      <c r="W69" s="17">
        <v>54.937680629766675</v>
      </c>
      <c r="X69" s="17">
        <v>-0.55459924690693918</v>
      </c>
      <c r="Y69" s="17">
        <v>-0.44434877492026287</v>
      </c>
      <c r="Z69" s="86"/>
      <c r="AA69" s="86"/>
      <c r="AB69"/>
    </row>
    <row r="70" spans="1:30" collapsed="1" x14ac:dyDescent="0.25">
      <c r="A70" s="21" t="s">
        <v>145</v>
      </c>
      <c r="B70" s="21" t="s">
        <v>147</v>
      </c>
      <c r="C70" s="21" t="s">
        <v>156</v>
      </c>
      <c r="D70" s="15">
        <v>44</v>
      </c>
      <c r="E70" s="57">
        <v>289.57869565217396</v>
      </c>
      <c r="F70" s="15">
        <v>12741.462608695654</v>
      </c>
      <c r="G70" s="15">
        <v>117.17391304347827</v>
      </c>
      <c r="H70" s="57">
        <v>1053.1571428571424</v>
      </c>
      <c r="I70" s="15">
        <v>123402.54347826082</v>
      </c>
      <c r="J70" s="15">
        <v>68</v>
      </c>
      <c r="K70" s="57">
        <v>191.91073529411764</v>
      </c>
      <c r="L70" s="15">
        <v>13049.93</v>
      </c>
      <c r="M70" s="15">
        <v>49.739130434782609</v>
      </c>
      <c r="N70" s="15">
        <v>984</v>
      </c>
      <c r="O70" s="15">
        <v>48943.304347826088</v>
      </c>
      <c r="P70" s="15">
        <v>18.260869565217391</v>
      </c>
      <c r="Q70" s="15">
        <v>-792.08926470588233</v>
      </c>
      <c r="R70" s="15">
        <v>-35893.374347826088</v>
      </c>
      <c r="S70" s="15">
        <v>-53862.07</v>
      </c>
      <c r="T70" s="15">
        <v>17968.695652173912</v>
      </c>
      <c r="U70" s="17">
        <v>1.3671328671328671</v>
      </c>
      <c r="V70" s="17">
        <v>0.54545454545454541</v>
      </c>
      <c r="W70" s="17">
        <v>2.4209731706454699E-2</v>
      </c>
      <c r="X70" s="17">
        <v>-0.41966604823747683</v>
      </c>
      <c r="Y70" s="17">
        <v>-0.89424910028455817</v>
      </c>
      <c r="Z70" s="86"/>
      <c r="AA70" s="86"/>
      <c r="AB70"/>
    </row>
    <row r="71" spans="1:30" hidden="1" outlineLevel="1" x14ac:dyDescent="0.25">
      <c r="A71" s="21" t="s">
        <v>364</v>
      </c>
      <c r="B71" s="21" t="s">
        <v>364</v>
      </c>
      <c r="C71" s="21" t="s">
        <v>362</v>
      </c>
      <c r="D71" s="15">
        <v>21.043478260869566</v>
      </c>
      <c r="E71" s="57">
        <v>323.11500000000001</v>
      </c>
      <c r="F71" s="15">
        <v>6799.46347826087</v>
      </c>
      <c r="G71" s="15">
        <v>56.913043478260875</v>
      </c>
      <c r="H71" s="57">
        <v>1115.2638655462176</v>
      </c>
      <c r="I71" s="15">
        <v>63473.060869565175</v>
      </c>
      <c r="J71" s="15">
        <v>31</v>
      </c>
      <c r="K71" s="57">
        <v>177.20161290322579</v>
      </c>
      <c r="L71" s="15">
        <v>5493.25</v>
      </c>
      <c r="M71" s="76">
        <v>14.860743825730943</v>
      </c>
      <c r="N71" s="76">
        <v>1092.9731641806343</v>
      </c>
      <c r="O71" s="76">
        <v>16242.394201286974</v>
      </c>
      <c r="P71" s="15">
        <v>16.139256174269057</v>
      </c>
      <c r="Q71" s="15">
        <v>-915.77155127740843</v>
      </c>
      <c r="R71" s="15">
        <v>-10749.144201286974</v>
      </c>
      <c r="S71" s="15">
        <v>-28388.918089599661</v>
      </c>
      <c r="T71" s="15">
        <v>17639.773888312691</v>
      </c>
      <c r="U71" s="78">
        <v>2.086032863733537</v>
      </c>
      <c r="V71" s="17">
        <v>0.47314049586776852</v>
      </c>
      <c r="W71" s="17">
        <v>-0.19210537455448856</v>
      </c>
      <c r="X71" s="17">
        <v>-0.4553093964858671</v>
      </c>
      <c r="Y71" s="17">
        <v>-0.91345541045691137</v>
      </c>
      <c r="Z71" s="86"/>
      <c r="AA71" s="86"/>
      <c r="AB71"/>
    </row>
    <row r="72" spans="1:30" hidden="1" outlineLevel="1" x14ac:dyDescent="0.25">
      <c r="A72" s="21" t="s">
        <v>364</v>
      </c>
      <c r="B72" s="21" t="s">
        <v>364</v>
      </c>
      <c r="C72" s="21" t="s">
        <v>363</v>
      </c>
      <c r="D72" s="15">
        <v>22.956521739130437</v>
      </c>
      <c r="E72" s="57">
        <v>258.83708333333334</v>
      </c>
      <c r="F72" s="15">
        <v>5941.9991304347832</v>
      </c>
      <c r="G72" s="15">
        <v>60.260869565217391</v>
      </c>
      <c r="H72" s="57">
        <v>994.50079365079353</v>
      </c>
      <c r="I72" s="15">
        <v>59929.482608695645</v>
      </c>
      <c r="J72" s="15">
        <v>37</v>
      </c>
      <c r="K72" s="57">
        <v>204.23459459459457</v>
      </c>
      <c r="L72" s="15">
        <v>7556.6799999999994</v>
      </c>
      <c r="M72" s="76">
        <v>34.878386609051667</v>
      </c>
      <c r="N72" s="76">
        <v>937.56946137102989</v>
      </c>
      <c r="O72" s="76">
        <v>32700.910146539114</v>
      </c>
      <c r="P72" s="15">
        <v>2.1216133909483332</v>
      </c>
      <c r="Q72" s="15">
        <v>-733.33486677643532</v>
      </c>
      <c r="R72" s="15">
        <v>-25144.230146539114</v>
      </c>
      <c r="S72" s="15">
        <v>-27133.390070728106</v>
      </c>
      <c r="T72" s="15">
        <v>1989.159924188993</v>
      </c>
      <c r="U72" s="78">
        <v>1.060828885657163</v>
      </c>
      <c r="V72" s="17">
        <v>0.61174242424242409</v>
      </c>
      <c r="W72" s="17">
        <v>0.27174034093927374</v>
      </c>
      <c r="X72" s="17">
        <v>-0.38600288600288601</v>
      </c>
      <c r="Y72" s="17">
        <v>-0.87390713767144146</v>
      </c>
      <c r="Z72" s="86"/>
      <c r="AA72" s="86"/>
      <c r="AB72"/>
    </row>
    <row r="73" spans="1:30" collapsed="1" x14ac:dyDescent="0.25">
      <c r="A73" s="21" t="s">
        <v>145</v>
      </c>
      <c r="B73" s="21" t="s">
        <v>148</v>
      </c>
      <c r="C73" s="21" t="s">
        <v>157</v>
      </c>
      <c r="D73" s="15">
        <v>55.478260869565219</v>
      </c>
      <c r="E73" s="57">
        <v>711.29741379310349</v>
      </c>
      <c r="F73" s="15">
        <v>39461.543478260872</v>
      </c>
      <c r="G73" s="15">
        <v>85.608695652173921</v>
      </c>
      <c r="H73" s="57">
        <v>917.7426815642458</v>
      </c>
      <c r="I73" s="15">
        <v>78566.753913043489</v>
      </c>
      <c r="J73" s="15">
        <v>63</v>
      </c>
      <c r="K73" s="57">
        <v>524.30714285714282</v>
      </c>
      <c r="L73" s="15">
        <v>33031.35</v>
      </c>
      <c r="M73" s="15">
        <v>83.695652173913047</v>
      </c>
      <c r="N73" s="15">
        <v>934.93142857142857</v>
      </c>
      <c r="O73" s="15">
        <v>78249.695652173919</v>
      </c>
      <c r="P73" s="15">
        <v>-20.695652173913047</v>
      </c>
      <c r="Q73" s="15">
        <v>-410.62428571428575</v>
      </c>
      <c r="R73" s="15">
        <v>-45218.345652173921</v>
      </c>
      <c r="S73" s="15">
        <v>-25869.33</v>
      </c>
      <c r="T73" s="15">
        <v>-19349.015652173915</v>
      </c>
      <c r="U73" s="17">
        <v>0.75272727272727269</v>
      </c>
      <c r="V73" s="17">
        <v>0.13557993730407522</v>
      </c>
      <c r="W73" s="17">
        <v>-0.16294835202792379</v>
      </c>
      <c r="X73" s="17">
        <v>-0.26409344845099042</v>
      </c>
      <c r="Y73" s="17">
        <v>-0.57957598659913323</v>
      </c>
      <c r="Z73" s="86"/>
      <c r="AA73" s="86"/>
      <c r="AB73"/>
    </row>
    <row r="74" spans="1:30" hidden="1" outlineLevel="1" x14ac:dyDescent="0.25">
      <c r="A74" s="21" t="s">
        <v>364</v>
      </c>
      <c r="B74" s="21" t="s">
        <v>364</v>
      </c>
      <c r="C74" s="21" t="s">
        <v>362</v>
      </c>
      <c r="D74" s="15">
        <v>8.608695652173914</v>
      </c>
      <c r="E74" s="57">
        <v>957.33388888888896</v>
      </c>
      <c r="F74" s="15">
        <v>8241.3960869565235</v>
      </c>
      <c r="G74" s="15">
        <v>14.82608695652174</v>
      </c>
      <c r="H74" s="57">
        <v>1323.2783870967744</v>
      </c>
      <c r="I74" s="15">
        <v>19619.040434782612</v>
      </c>
      <c r="J74" s="15">
        <v>28</v>
      </c>
      <c r="K74" s="57">
        <v>656.03571428571433</v>
      </c>
      <c r="L74" s="15">
        <v>18369</v>
      </c>
      <c r="M74" s="76">
        <v>20.764492288115012</v>
      </c>
      <c r="N74" s="76">
        <v>1012.3874272973293</v>
      </c>
      <c r="O74" s="76">
        <v>21021.710926699991</v>
      </c>
      <c r="P74" s="15">
        <v>7.2355077118849884</v>
      </c>
      <c r="Q74" s="15">
        <v>-356.35171301161495</v>
      </c>
      <c r="R74" s="15">
        <v>-2652.7109266999905</v>
      </c>
      <c r="S74" s="15">
        <v>-9977.8479643252176</v>
      </c>
      <c r="T74" s="15">
        <v>7325.1370376252289</v>
      </c>
      <c r="U74" s="78">
        <v>1.3484557971121875</v>
      </c>
      <c r="V74" s="17">
        <v>2.2525252525252522</v>
      </c>
      <c r="W74" s="17">
        <v>1.2288699397753995</v>
      </c>
      <c r="X74" s="17">
        <v>0.88856304985337231</v>
      </c>
      <c r="Y74" s="17">
        <v>-6.3715676561143839E-2</v>
      </c>
      <c r="Z74" s="86"/>
      <c r="AA74" s="86"/>
      <c r="AB74"/>
    </row>
    <row r="75" spans="1:30" hidden="1" outlineLevel="1" x14ac:dyDescent="0.25">
      <c r="A75" s="21" t="s">
        <v>364</v>
      </c>
      <c r="B75" s="21" t="s">
        <v>364</v>
      </c>
      <c r="C75" s="21" t="s">
        <v>363</v>
      </c>
      <c r="D75" s="15">
        <v>46.869565217391305</v>
      </c>
      <c r="E75" s="57">
        <v>666.1070408163265</v>
      </c>
      <c r="F75" s="15">
        <v>31220.147391304348</v>
      </c>
      <c r="G75" s="15">
        <v>70.782608695652172</v>
      </c>
      <c r="H75" s="57">
        <v>832.7993918918919</v>
      </c>
      <c r="I75" s="15">
        <v>58947.71347826087</v>
      </c>
      <c r="J75" s="15">
        <v>35</v>
      </c>
      <c r="K75" s="57">
        <v>418.92428571428565</v>
      </c>
      <c r="L75" s="15">
        <v>14662.349999999999</v>
      </c>
      <c r="M75" s="76">
        <v>62.931159885798031</v>
      </c>
      <c r="N75" s="76">
        <v>909.3743835220306</v>
      </c>
      <c r="O75" s="76">
        <v>57227.984725473929</v>
      </c>
      <c r="P75" s="15">
        <v>-27.931159885798031</v>
      </c>
      <c r="Q75" s="15">
        <v>-490.45009780774495</v>
      </c>
      <c r="R75" s="15">
        <v>-42565.63472547393</v>
      </c>
      <c r="S75" s="15">
        <v>-17165.753423271075</v>
      </c>
      <c r="T75" s="15">
        <v>-25399.881302202855</v>
      </c>
      <c r="U75" s="78">
        <v>0.55616327529184173</v>
      </c>
      <c r="V75" s="17">
        <v>-0.25324675324675328</v>
      </c>
      <c r="W75" s="17">
        <v>-0.53035615699611149</v>
      </c>
      <c r="X75" s="17">
        <v>-0.50552825552825553</v>
      </c>
      <c r="Y75" s="17">
        <v>-0.75126516136359933</v>
      </c>
      <c r="Z75" s="86"/>
      <c r="AA75" s="86"/>
      <c r="AB75"/>
    </row>
    <row r="76" spans="1:30" collapsed="1" x14ac:dyDescent="0.25">
      <c r="A76" s="21" t="s">
        <v>145</v>
      </c>
      <c r="B76" s="21" t="s">
        <v>148</v>
      </c>
      <c r="C76" s="21" t="s">
        <v>158</v>
      </c>
      <c r="D76" s="15">
        <v>37.304347826086961</v>
      </c>
      <c r="E76" s="57">
        <v>838.5215384615384</v>
      </c>
      <c r="F76" s="15">
        <v>31280.499130434782</v>
      </c>
      <c r="G76" s="15">
        <v>71.739130434782609</v>
      </c>
      <c r="H76" s="57">
        <v>656.02126666666663</v>
      </c>
      <c r="I76" s="15">
        <v>47062.395217391306</v>
      </c>
      <c r="J76" s="15">
        <v>53</v>
      </c>
      <c r="K76" s="57">
        <v>770.04113207547152</v>
      </c>
      <c r="L76" s="15">
        <v>40812.179999999993</v>
      </c>
      <c r="M76" s="15">
        <v>83.695652173913047</v>
      </c>
      <c r="N76" s="15">
        <v>934.93142857142857</v>
      </c>
      <c r="O76" s="15">
        <v>78249.695652173919</v>
      </c>
      <c r="P76" s="15">
        <v>-30.695652173913047</v>
      </c>
      <c r="Q76" s="15">
        <v>-164.89029649595705</v>
      </c>
      <c r="R76" s="15">
        <v>-37437.515652173926</v>
      </c>
      <c r="S76" s="15">
        <v>-8739.1857142857225</v>
      </c>
      <c r="T76" s="15">
        <v>-28698.3299378882</v>
      </c>
      <c r="U76" s="17">
        <v>0.63324675324675317</v>
      </c>
      <c r="V76" s="17">
        <v>0.4207459207459206</v>
      </c>
      <c r="W76" s="17">
        <v>0.30471639310548065</v>
      </c>
      <c r="X76" s="17">
        <v>-0.26121212121212123</v>
      </c>
      <c r="Y76" s="17">
        <v>-0.13280699353528921</v>
      </c>
      <c r="Z76" s="86"/>
      <c r="AA76" s="86"/>
      <c r="AB76"/>
    </row>
    <row r="77" spans="1:30" hidden="1" outlineLevel="1" x14ac:dyDescent="0.25">
      <c r="A77" s="21" t="s">
        <v>364</v>
      </c>
      <c r="B77" s="21" t="s">
        <v>364</v>
      </c>
      <c r="C77" s="21" t="s">
        <v>362</v>
      </c>
      <c r="D77" s="15">
        <v>7.6521739130434785</v>
      </c>
      <c r="E77" s="57">
        <v>905.671875</v>
      </c>
      <c r="F77" s="15">
        <v>6930.358695652174</v>
      </c>
      <c r="G77" s="15">
        <v>12.434782608695652</v>
      </c>
      <c r="H77" s="57">
        <v>819.61538461538453</v>
      </c>
      <c r="I77" s="15">
        <v>10191.739130434782</v>
      </c>
      <c r="J77" s="15">
        <v>13</v>
      </c>
      <c r="K77" s="57">
        <v>1196.6153846153845</v>
      </c>
      <c r="L77" s="15">
        <v>15556</v>
      </c>
      <c r="M77" s="76">
        <v>20.764492288115012</v>
      </c>
      <c r="N77" s="76">
        <v>1012.3874272973293</v>
      </c>
      <c r="O77" s="76">
        <v>21021.710926699991</v>
      </c>
      <c r="P77" s="15">
        <v>-7.7644922881150116</v>
      </c>
      <c r="Q77" s="15">
        <v>184.22795731805525</v>
      </c>
      <c r="R77" s="15">
        <v>-5465.7109266999905</v>
      </c>
      <c r="S77" s="15">
        <v>2394.9634451347183</v>
      </c>
      <c r="T77" s="15">
        <v>-7860.6743718347097</v>
      </c>
      <c r="U77" s="78">
        <v>0.62606876294494429</v>
      </c>
      <c r="V77" s="17">
        <v>0.69886363636363635</v>
      </c>
      <c r="W77" s="17">
        <v>1.2446168637359569</v>
      </c>
      <c r="X77" s="17">
        <v>4.5454545454545442E-2</v>
      </c>
      <c r="Y77" s="17">
        <v>0.52633420075935333</v>
      </c>
      <c r="Z77" s="86"/>
      <c r="AA77" s="86"/>
      <c r="AB77"/>
    </row>
    <row r="78" spans="1:30" hidden="1" outlineLevel="1" x14ac:dyDescent="0.25">
      <c r="A78" s="21" t="s">
        <v>364</v>
      </c>
      <c r="B78" s="21" t="s">
        <v>364</v>
      </c>
      <c r="C78" s="21" t="s">
        <v>363</v>
      </c>
      <c r="D78" s="15">
        <v>29.65217391304348</v>
      </c>
      <c r="E78" s="57">
        <v>821.19241935483865</v>
      </c>
      <c r="F78" s="15">
        <v>24350.14043478261</v>
      </c>
      <c r="G78" s="15">
        <v>59.304347826086961</v>
      </c>
      <c r="H78" s="57">
        <v>621.71927419354836</v>
      </c>
      <c r="I78" s="15">
        <v>36870.656086956522</v>
      </c>
      <c r="J78" s="15">
        <v>40</v>
      </c>
      <c r="K78" s="57">
        <v>631.40449999999987</v>
      </c>
      <c r="L78" s="15">
        <v>25256.179999999997</v>
      </c>
      <c r="M78" s="76">
        <v>62.931159885798031</v>
      </c>
      <c r="N78" s="76">
        <v>909.3743835220306</v>
      </c>
      <c r="O78" s="76">
        <v>57227.984725473929</v>
      </c>
      <c r="P78" s="15">
        <v>-22.931159885798031</v>
      </c>
      <c r="Q78" s="15">
        <v>-277.96988352203073</v>
      </c>
      <c r="R78" s="15">
        <v>-31971.804725473932</v>
      </c>
      <c r="S78" s="15">
        <v>-11118.795340881228</v>
      </c>
      <c r="T78" s="15">
        <v>-20853.009384592704</v>
      </c>
      <c r="U78" s="78">
        <v>0.63561517176210491</v>
      </c>
      <c r="V78" s="17">
        <v>0.34897360703812308</v>
      </c>
      <c r="W78" s="17">
        <v>3.7208802456152053E-2</v>
      </c>
      <c r="X78" s="17">
        <v>-0.32551319648093846</v>
      </c>
      <c r="Y78" s="17">
        <v>-0.31500595106213197</v>
      </c>
      <c r="Z78" s="86"/>
      <c r="AA78" s="86"/>
      <c r="AB78"/>
    </row>
    <row r="79" spans="1:30" collapsed="1" x14ac:dyDescent="0.25">
      <c r="A79" s="21" t="s">
        <v>145</v>
      </c>
      <c r="B79" s="21" t="s">
        <v>148</v>
      </c>
      <c r="C79" s="21" t="s">
        <v>159</v>
      </c>
      <c r="D79" s="15">
        <v>0</v>
      </c>
      <c r="E79" s="57" t="s">
        <v>364</v>
      </c>
      <c r="F79" s="15">
        <v>0</v>
      </c>
      <c r="G79" s="15">
        <v>0</v>
      </c>
      <c r="H79" s="57" t="s">
        <v>364</v>
      </c>
      <c r="I79" s="15">
        <v>0</v>
      </c>
      <c r="J79" s="15">
        <v>7</v>
      </c>
      <c r="K79" s="57">
        <v>1991.9557142857143</v>
      </c>
      <c r="L79" s="15">
        <v>13943.69</v>
      </c>
      <c r="M79" s="15">
        <v>23.913043478260871</v>
      </c>
      <c r="N79" s="15">
        <v>943.4799999999999</v>
      </c>
      <c r="O79" s="15">
        <v>22561.478260869564</v>
      </c>
      <c r="P79" s="15">
        <v>-16.913043478260871</v>
      </c>
      <c r="Q79" s="15">
        <v>1048.4757142857143</v>
      </c>
      <c r="R79" s="15">
        <v>-8617.7882608695636</v>
      </c>
      <c r="S79" s="15">
        <v>7339.33</v>
      </c>
      <c r="T79" s="15">
        <v>-15957.118260869565</v>
      </c>
      <c r="U79" s="17">
        <v>0.29272727272727272</v>
      </c>
      <c r="V79" s="17" t="s">
        <v>364</v>
      </c>
      <c r="W79" s="17" t="s">
        <v>364</v>
      </c>
      <c r="X79" s="17" t="s">
        <v>364</v>
      </c>
      <c r="Y79" s="17" t="s">
        <v>364</v>
      </c>
      <c r="Z79" s="86"/>
      <c r="AA79" s="86"/>
      <c r="AB79"/>
    </row>
    <row r="80" spans="1:30" hidden="1" outlineLevel="1" x14ac:dyDescent="0.25">
      <c r="A80" s="21" t="s">
        <v>364</v>
      </c>
      <c r="B80" s="21" t="s">
        <v>364</v>
      </c>
      <c r="C80" s="21" t="s">
        <v>362</v>
      </c>
      <c r="D80" s="15">
        <v>0</v>
      </c>
      <c r="E80" s="57" t="s">
        <v>364</v>
      </c>
      <c r="F80" s="15">
        <v>0</v>
      </c>
      <c r="G80" s="15">
        <v>0</v>
      </c>
      <c r="H80" s="57" t="s">
        <v>364</v>
      </c>
      <c r="I80" s="15">
        <v>0</v>
      </c>
      <c r="J80" s="15">
        <v>2</v>
      </c>
      <c r="K80" s="57">
        <v>0</v>
      </c>
      <c r="L80" s="15">
        <v>0</v>
      </c>
      <c r="M80" s="76">
        <v>5.9327120823185755</v>
      </c>
      <c r="N80" s="76">
        <v>1021.6442197969274</v>
      </c>
      <c r="O80" s="76">
        <v>6061.1210066201656</v>
      </c>
      <c r="P80" s="15">
        <v>-3.9327120823185755</v>
      </c>
      <c r="Q80" s="15">
        <v>-1021.6442197969274</v>
      </c>
      <c r="R80" s="15">
        <v>-6061.1210066201656</v>
      </c>
      <c r="S80" s="15">
        <v>-2043.2884395938547</v>
      </c>
      <c r="T80" s="15">
        <v>-4017.8325670263107</v>
      </c>
      <c r="U80" s="78">
        <v>0.33711394927804683</v>
      </c>
      <c r="V80" s="17" t="s">
        <v>364</v>
      </c>
      <c r="W80" s="17" t="s">
        <v>364</v>
      </c>
      <c r="X80" s="17" t="s">
        <v>364</v>
      </c>
      <c r="Y80" s="17" t="s">
        <v>364</v>
      </c>
      <c r="Z80" s="86"/>
      <c r="AA80" s="86"/>
      <c r="AB80"/>
    </row>
    <row r="81" spans="1:28" hidden="1" outlineLevel="1" x14ac:dyDescent="0.25">
      <c r="A81" s="21" t="s">
        <v>364</v>
      </c>
      <c r="B81" s="21" t="s">
        <v>364</v>
      </c>
      <c r="C81" s="21" t="s">
        <v>363</v>
      </c>
      <c r="D81" s="15">
        <v>0</v>
      </c>
      <c r="E81" s="57" t="s">
        <v>364</v>
      </c>
      <c r="F81" s="15">
        <v>0</v>
      </c>
      <c r="G81" s="15">
        <v>0</v>
      </c>
      <c r="H81" s="57" t="s">
        <v>364</v>
      </c>
      <c r="I81" s="15">
        <v>0</v>
      </c>
      <c r="J81" s="15">
        <v>5</v>
      </c>
      <c r="K81" s="57">
        <v>2788.7380000000003</v>
      </c>
      <c r="L81" s="15">
        <v>13943.69</v>
      </c>
      <c r="M81" s="76">
        <v>17.980331395942297</v>
      </c>
      <c r="N81" s="76">
        <v>917.68927340088442</v>
      </c>
      <c r="O81" s="76">
        <v>16500.357254249397</v>
      </c>
      <c r="P81" s="15">
        <v>-12.980331395942297</v>
      </c>
      <c r="Q81" s="15">
        <v>1871.048726599116</v>
      </c>
      <c r="R81" s="15">
        <v>-2556.6672542493961</v>
      </c>
      <c r="S81" s="15">
        <v>9355.2436329955799</v>
      </c>
      <c r="T81" s="15">
        <v>-11911.910887244974</v>
      </c>
      <c r="U81" s="78">
        <v>0.27808163764592086</v>
      </c>
      <c r="V81" s="17" t="s">
        <v>364</v>
      </c>
      <c r="W81" s="17" t="s">
        <v>364</v>
      </c>
      <c r="X81" s="17" t="s">
        <v>364</v>
      </c>
      <c r="Y81" s="17" t="s">
        <v>364</v>
      </c>
      <c r="Z81" s="86"/>
      <c r="AA81" s="86"/>
      <c r="AB81"/>
    </row>
    <row r="82" spans="1:28" collapsed="1" x14ac:dyDescent="0.25">
      <c r="A82" s="21" t="s">
        <v>145</v>
      </c>
      <c r="B82" s="21" t="s">
        <v>146</v>
      </c>
      <c r="C82" s="21" t="s">
        <v>160</v>
      </c>
      <c r="D82" s="15">
        <v>0</v>
      </c>
      <c r="E82" s="57" t="s">
        <v>364</v>
      </c>
      <c r="F82" s="15">
        <v>0</v>
      </c>
      <c r="G82" s="15">
        <v>0</v>
      </c>
      <c r="H82" s="57" t="s">
        <v>364</v>
      </c>
      <c r="I82" s="15">
        <v>0</v>
      </c>
      <c r="J82" s="15">
        <v>28</v>
      </c>
      <c r="K82" s="57">
        <v>915.82642857142855</v>
      </c>
      <c r="L82" s="15">
        <v>25643.14</v>
      </c>
      <c r="M82" s="15">
        <v>74.608695652173921</v>
      </c>
      <c r="N82" s="15">
        <v>863.20512820512818</v>
      </c>
      <c r="O82" s="15">
        <v>64402.608695652176</v>
      </c>
      <c r="P82" s="15">
        <v>-46.608695652173921</v>
      </c>
      <c r="Q82" s="15">
        <v>52.621300366300375</v>
      </c>
      <c r="R82" s="15">
        <v>-38759.468695652176</v>
      </c>
      <c r="S82" s="15">
        <v>1473.3964102564105</v>
      </c>
      <c r="T82" s="15">
        <v>-40232.86510590859</v>
      </c>
      <c r="U82" s="17">
        <v>0.37529137529137524</v>
      </c>
      <c r="V82" s="17" t="s">
        <v>364</v>
      </c>
      <c r="W82" s="17" t="s">
        <v>364</v>
      </c>
      <c r="X82" s="17" t="s">
        <v>364</v>
      </c>
      <c r="Y82" s="17" t="s">
        <v>364</v>
      </c>
      <c r="Z82" s="86"/>
      <c r="AA82" s="86"/>
      <c r="AB82"/>
    </row>
    <row r="83" spans="1:28" hidden="1" outlineLevel="1" x14ac:dyDescent="0.25">
      <c r="A83" s="21" t="s">
        <v>364</v>
      </c>
      <c r="B83" s="21" t="s">
        <v>364</v>
      </c>
      <c r="C83" s="21" t="s">
        <v>362</v>
      </c>
      <c r="D83" s="15">
        <v>0</v>
      </c>
      <c r="E83" s="57" t="s">
        <v>364</v>
      </c>
      <c r="F83" s="15">
        <v>0</v>
      </c>
      <c r="G83" s="15">
        <v>0</v>
      </c>
      <c r="H83" s="57" t="s">
        <v>364</v>
      </c>
      <c r="I83" s="15">
        <v>0</v>
      </c>
      <c r="J83" s="15">
        <v>3</v>
      </c>
      <c r="K83" s="57">
        <v>1221.3500000000001</v>
      </c>
      <c r="L83" s="15">
        <v>3664.05</v>
      </c>
      <c r="M83" s="76">
        <v>11.343013904971476</v>
      </c>
      <c r="N83" s="76">
        <v>997.53188607863808</v>
      </c>
      <c r="O83" s="76">
        <v>11315.018054442415</v>
      </c>
      <c r="P83" s="15">
        <v>-8.3430139049714764</v>
      </c>
      <c r="Q83" s="15">
        <v>223.81811392136206</v>
      </c>
      <c r="R83" s="15">
        <v>-7650.9680544424145</v>
      </c>
      <c r="S83" s="15">
        <v>671.45434176408617</v>
      </c>
      <c r="T83" s="15">
        <v>-8322.4223962065007</v>
      </c>
      <c r="U83" s="78">
        <v>0.26447997200154572</v>
      </c>
      <c r="V83" s="17" t="s">
        <v>364</v>
      </c>
      <c r="W83" s="17" t="s">
        <v>364</v>
      </c>
      <c r="X83" s="17" t="s">
        <v>364</v>
      </c>
      <c r="Y83" s="17" t="s">
        <v>364</v>
      </c>
      <c r="Z83" s="86"/>
      <c r="AA83" s="86"/>
      <c r="AB83"/>
    </row>
    <row r="84" spans="1:28" hidden="1" outlineLevel="1" x14ac:dyDescent="0.25">
      <c r="A84" s="21" t="s">
        <v>364</v>
      </c>
      <c r="B84" s="21" t="s">
        <v>364</v>
      </c>
      <c r="C84" s="21" t="s">
        <v>363</v>
      </c>
      <c r="D84" s="15">
        <v>0</v>
      </c>
      <c r="E84" s="57" t="s">
        <v>364</v>
      </c>
      <c r="F84" s="15">
        <v>0</v>
      </c>
      <c r="G84" s="15">
        <v>0</v>
      </c>
      <c r="H84" s="57" t="s">
        <v>364</v>
      </c>
      <c r="I84" s="15">
        <v>0</v>
      </c>
      <c r="J84" s="15">
        <v>25</v>
      </c>
      <c r="K84" s="57">
        <v>879.16359999999986</v>
      </c>
      <c r="L84" s="15">
        <v>21979.089999999997</v>
      </c>
      <c r="M84" s="76">
        <v>63.265681747202443</v>
      </c>
      <c r="N84" s="76">
        <v>839.12145060473097</v>
      </c>
      <c r="O84" s="76">
        <v>53087.590641209761</v>
      </c>
      <c r="P84" s="15">
        <v>-38.265681747202443</v>
      </c>
      <c r="Q84" s="15">
        <v>40.042149395268893</v>
      </c>
      <c r="R84" s="15">
        <v>-31108.500641209765</v>
      </c>
      <c r="S84" s="15">
        <v>1001.0537348817223</v>
      </c>
      <c r="T84" s="15">
        <v>-32109.554376091492</v>
      </c>
      <c r="U84" s="78">
        <v>0.39515894414755881</v>
      </c>
      <c r="V84" s="17" t="s">
        <v>364</v>
      </c>
      <c r="W84" s="17" t="s">
        <v>364</v>
      </c>
      <c r="X84" s="17" t="s">
        <v>364</v>
      </c>
      <c r="Y84" s="17" t="s">
        <v>364</v>
      </c>
      <c r="Z84" s="86"/>
      <c r="AA84" s="86"/>
      <c r="AB84"/>
    </row>
    <row r="85" spans="1:28" collapsed="1" x14ac:dyDescent="0.25">
      <c r="A85" s="21" t="s">
        <v>145</v>
      </c>
      <c r="B85" s="21" t="s">
        <v>146</v>
      </c>
      <c r="C85" s="21" t="s">
        <v>161</v>
      </c>
      <c r="D85" s="15">
        <v>0</v>
      </c>
      <c r="E85" s="57" t="s">
        <v>364</v>
      </c>
      <c r="F85" s="15">
        <v>0</v>
      </c>
      <c r="G85" s="15">
        <v>0</v>
      </c>
      <c r="H85" s="57" t="s">
        <v>364</v>
      </c>
      <c r="I85" s="15">
        <v>0</v>
      </c>
      <c r="J85" s="15">
        <v>72</v>
      </c>
      <c r="K85" s="57">
        <v>1092.4670833333337</v>
      </c>
      <c r="L85" s="15">
        <v>78657.630000000019</v>
      </c>
      <c r="M85" s="15">
        <v>88</v>
      </c>
      <c r="N85" s="15">
        <v>861</v>
      </c>
      <c r="O85" s="15">
        <v>75768</v>
      </c>
      <c r="P85" s="15">
        <v>-16</v>
      </c>
      <c r="Q85" s="15">
        <v>231.46708333333368</v>
      </c>
      <c r="R85" s="15">
        <v>2889.6300000000192</v>
      </c>
      <c r="S85" s="15">
        <v>16665.630000000026</v>
      </c>
      <c r="T85" s="15">
        <v>-13776</v>
      </c>
      <c r="U85" s="17">
        <v>0.81818181818181823</v>
      </c>
      <c r="V85" s="17" t="s">
        <v>364</v>
      </c>
      <c r="W85" s="17" t="s">
        <v>364</v>
      </c>
      <c r="X85" s="17" t="s">
        <v>364</v>
      </c>
      <c r="Y85" s="17" t="s">
        <v>364</v>
      </c>
      <c r="Z85" s="86"/>
      <c r="AA85" s="86"/>
      <c r="AB85"/>
    </row>
    <row r="86" spans="1:28" hidden="1" outlineLevel="1" x14ac:dyDescent="0.25">
      <c r="A86" s="21" t="s">
        <v>364</v>
      </c>
      <c r="B86" s="21" t="s">
        <v>364</v>
      </c>
      <c r="C86" s="21" t="s">
        <v>362</v>
      </c>
      <c r="D86" s="15">
        <v>0</v>
      </c>
      <c r="E86" s="57" t="s">
        <v>364</v>
      </c>
      <c r="F86" s="15">
        <v>0</v>
      </c>
      <c r="G86" s="15">
        <v>0</v>
      </c>
      <c r="H86" s="57" t="s">
        <v>364</v>
      </c>
      <c r="I86" s="15">
        <v>0</v>
      </c>
      <c r="J86" s="15">
        <v>15</v>
      </c>
      <c r="K86" s="57">
        <v>2116.6866666666665</v>
      </c>
      <c r="L86" s="15">
        <v>31750.299999999996</v>
      </c>
      <c r="M86" s="76">
        <v>13.378939477658662</v>
      </c>
      <c r="N86" s="76">
        <v>994.98360916781803</v>
      </c>
      <c r="O86" s="76">
        <v>13311.825488318618</v>
      </c>
      <c r="P86" s="15">
        <v>1.6210605223413381</v>
      </c>
      <c r="Q86" s="15">
        <v>1121.7030574988485</v>
      </c>
      <c r="R86" s="15">
        <v>18438.474511681379</v>
      </c>
      <c r="S86" s="15">
        <v>16825.545862482726</v>
      </c>
      <c r="T86" s="15">
        <v>1612.9286491986529</v>
      </c>
      <c r="U86" s="78">
        <v>1.121165098702205</v>
      </c>
      <c r="V86" s="17" t="s">
        <v>364</v>
      </c>
      <c r="W86" s="17" t="s">
        <v>364</v>
      </c>
      <c r="X86" s="17" t="s">
        <v>364</v>
      </c>
      <c r="Y86" s="17" t="s">
        <v>364</v>
      </c>
      <c r="Z86" s="86"/>
      <c r="AA86" s="86"/>
      <c r="AB86"/>
    </row>
    <row r="87" spans="1:28" hidden="1" outlineLevel="1" x14ac:dyDescent="0.25">
      <c r="A87" s="21" t="s">
        <v>364</v>
      </c>
      <c r="B87" s="21" t="s">
        <v>364</v>
      </c>
      <c r="C87" s="21" t="s">
        <v>363</v>
      </c>
      <c r="D87" s="15">
        <v>0</v>
      </c>
      <c r="E87" s="57" t="s">
        <v>364</v>
      </c>
      <c r="F87" s="15">
        <v>0</v>
      </c>
      <c r="G87" s="15">
        <v>0</v>
      </c>
      <c r="H87" s="57" t="s">
        <v>364</v>
      </c>
      <c r="I87" s="15">
        <v>0</v>
      </c>
      <c r="J87" s="15">
        <v>57</v>
      </c>
      <c r="K87" s="57">
        <v>822.93561403508772</v>
      </c>
      <c r="L87" s="15">
        <v>46907.33</v>
      </c>
      <c r="M87" s="76">
        <v>74.621060522341338</v>
      </c>
      <c r="N87" s="76">
        <v>836.97784612672694</v>
      </c>
      <c r="O87" s="76">
        <v>62456.174511681384</v>
      </c>
      <c r="P87" s="15">
        <v>-17.621060522341338</v>
      </c>
      <c r="Q87" s="15">
        <v>-14.042232091639221</v>
      </c>
      <c r="R87" s="15">
        <v>-15548.844511681382</v>
      </c>
      <c r="S87" s="15">
        <v>-800.40722922343559</v>
      </c>
      <c r="T87" s="15">
        <v>-14748.437282457951</v>
      </c>
      <c r="U87" s="78">
        <v>0.76385941986088979</v>
      </c>
      <c r="V87" s="17" t="s">
        <v>364</v>
      </c>
      <c r="W87" s="17" t="s">
        <v>364</v>
      </c>
      <c r="X87" s="17" t="s">
        <v>364</v>
      </c>
      <c r="Y87" s="17" t="s">
        <v>364</v>
      </c>
      <c r="Z87" s="86"/>
      <c r="AA87" s="86"/>
      <c r="AB87"/>
    </row>
    <row r="88" spans="1:28" collapsed="1" x14ac:dyDescent="0.25">
      <c r="A88" s="21" t="s">
        <v>144</v>
      </c>
      <c r="B88" s="21" t="s">
        <v>146</v>
      </c>
      <c r="C88" s="21" t="s">
        <v>162</v>
      </c>
      <c r="D88" s="15">
        <v>0</v>
      </c>
      <c r="E88" s="57" t="s">
        <v>364</v>
      </c>
      <c r="F88" s="15">
        <v>0</v>
      </c>
      <c r="G88" s="15">
        <v>0</v>
      </c>
      <c r="H88" s="57" t="s">
        <v>364</v>
      </c>
      <c r="I88" s="15">
        <v>0</v>
      </c>
      <c r="J88" s="15">
        <v>38</v>
      </c>
      <c r="K88" s="57">
        <v>720.32894736842104</v>
      </c>
      <c r="L88" s="15">
        <v>27372.5</v>
      </c>
      <c r="M88" s="15">
        <v>61.695652173913047</v>
      </c>
      <c r="N88" s="15">
        <v>625.03100775193798</v>
      </c>
      <c r="O88" s="15">
        <v>38561.695652173912</v>
      </c>
      <c r="P88" s="15">
        <v>-23.695652173913047</v>
      </c>
      <c r="Q88" s="15">
        <v>95.297939616483063</v>
      </c>
      <c r="R88" s="15">
        <v>-11189.195652173912</v>
      </c>
      <c r="S88" s="15">
        <v>3621.3217054263564</v>
      </c>
      <c r="T88" s="15">
        <v>-14810.517357600271</v>
      </c>
      <c r="U88" s="17">
        <v>0.61592670894996471</v>
      </c>
      <c r="V88" s="17" t="s">
        <v>364</v>
      </c>
      <c r="W88" s="17" t="s">
        <v>364</v>
      </c>
      <c r="X88" s="17" t="s">
        <v>364</v>
      </c>
      <c r="Y88" s="17" t="s">
        <v>364</v>
      </c>
      <c r="Z88" s="86"/>
      <c r="AA88" s="86"/>
      <c r="AB88"/>
    </row>
    <row r="89" spans="1:28" hidden="1" outlineLevel="1" x14ac:dyDescent="0.25">
      <c r="A89" s="21" t="s">
        <v>364</v>
      </c>
      <c r="B89" s="21" t="s">
        <v>364</v>
      </c>
      <c r="C89" s="21" t="s">
        <v>362</v>
      </c>
      <c r="D89" s="15">
        <v>0</v>
      </c>
      <c r="E89" s="57" t="s">
        <v>364</v>
      </c>
      <c r="F89" s="15">
        <v>0</v>
      </c>
      <c r="G89" s="15">
        <v>0</v>
      </c>
      <c r="H89" s="57" t="s">
        <v>364</v>
      </c>
      <c r="I89" s="15">
        <v>0</v>
      </c>
      <c r="J89" s="15">
        <v>3</v>
      </c>
      <c r="K89" s="57">
        <v>149.66666666666666</v>
      </c>
      <c r="L89" s="15">
        <v>449</v>
      </c>
      <c r="M89" s="76">
        <v>9.3797999598802591</v>
      </c>
      <c r="N89" s="76">
        <v>722.29455044694726</v>
      </c>
      <c r="O89" s="76">
        <v>6774.978395304006</v>
      </c>
      <c r="P89" s="15">
        <v>-6.3797999598802591</v>
      </c>
      <c r="Q89" s="15">
        <v>-572.62788378028063</v>
      </c>
      <c r="R89" s="15">
        <v>-6325.978395304006</v>
      </c>
      <c r="S89" s="15">
        <v>-1717.8836513408419</v>
      </c>
      <c r="T89" s="15">
        <v>-4608.0947439631636</v>
      </c>
      <c r="U89" s="78">
        <v>0.3198362452111716</v>
      </c>
      <c r="V89" s="17" t="s">
        <v>364</v>
      </c>
      <c r="W89" s="17" t="s">
        <v>364</v>
      </c>
      <c r="X89" s="17" t="s">
        <v>364</v>
      </c>
      <c r="Y89" s="17" t="s">
        <v>364</v>
      </c>
      <c r="Z89" s="86"/>
      <c r="AA89" s="86"/>
      <c r="AB89"/>
    </row>
    <row r="90" spans="1:28" hidden="1" outlineLevel="1" x14ac:dyDescent="0.25">
      <c r="A90" s="21" t="s">
        <v>364</v>
      </c>
      <c r="B90" s="21" t="s">
        <v>364</v>
      </c>
      <c r="C90" s="21" t="s">
        <v>363</v>
      </c>
      <c r="D90" s="15">
        <v>0</v>
      </c>
      <c r="E90" s="57" t="s">
        <v>364</v>
      </c>
      <c r="F90" s="15">
        <v>0</v>
      </c>
      <c r="G90" s="15">
        <v>0</v>
      </c>
      <c r="H90" s="57" t="s">
        <v>364</v>
      </c>
      <c r="I90" s="15">
        <v>0</v>
      </c>
      <c r="J90" s="15">
        <v>35</v>
      </c>
      <c r="K90" s="57">
        <v>769.24285714285713</v>
      </c>
      <c r="L90" s="15">
        <v>26923.5</v>
      </c>
      <c r="M90" s="76">
        <v>52.315852214032788</v>
      </c>
      <c r="N90" s="76">
        <v>607.59245833987757</v>
      </c>
      <c r="O90" s="76">
        <v>31786.717256869906</v>
      </c>
      <c r="P90" s="15">
        <v>-17.315852214032788</v>
      </c>
      <c r="Q90" s="15">
        <v>161.65039880297957</v>
      </c>
      <c r="R90" s="15">
        <v>-4863.2172568699061</v>
      </c>
      <c r="S90" s="15">
        <v>5657.7639581042849</v>
      </c>
      <c r="T90" s="15">
        <v>-10520.981214974194</v>
      </c>
      <c r="U90" s="78">
        <v>0.66901328218470424</v>
      </c>
      <c r="V90" s="17" t="s">
        <v>364</v>
      </c>
      <c r="W90" s="17" t="s">
        <v>364</v>
      </c>
      <c r="X90" s="17" t="s">
        <v>364</v>
      </c>
      <c r="Y90" s="17" t="s">
        <v>364</v>
      </c>
      <c r="Z90" s="86"/>
      <c r="AA90" s="86"/>
      <c r="AB90"/>
    </row>
    <row r="91" spans="1:28" collapsed="1" x14ac:dyDescent="0.25">
      <c r="A91" s="21" t="s">
        <v>144</v>
      </c>
      <c r="B91" s="21" t="s">
        <v>146</v>
      </c>
      <c r="C91" s="21" t="s">
        <v>163</v>
      </c>
      <c r="D91" s="15">
        <v>69.826086956521735</v>
      </c>
      <c r="E91" s="57">
        <v>687.89376712328772</v>
      </c>
      <c r="F91" s="15">
        <v>48032.93</v>
      </c>
      <c r="G91" s="15">
        <v>112.86956521739131</v>
      </c>
      <c r="H91" s="57">
        <v>609.79237288135585</v>
      </c>
      <c r="I91" s="15">
        <v>68827</v>
      </c>
      <c r="J91" s="15">
        <v>58</v>
      </c>
      <c r="K91" s="57">
        <v>695.73293103448282</v>
      </c>
      <c r="L91" s="15">
        <v>40352.51</v>
      </c>
      <c r="M91" s="15">
        <v>83.695652173913047</v>
      </c>
      <c r="N91" s="15">
        <v>666.24</v>
      </c>
      <c r="O91" s="15">
        <v>55761.391304347824</v>
      </c>
      <c r="P91" s="15">
        <v>-25.695652173913047</v>
      </c>
      <c r="Q91" s="15">
        <v>29.492931034482808</v>
      </c>
      <c r="R91" s="15">
        <v>-15408.881304347822</v>
      </c>
      <c r="S91" s="15">
        <v>1710.5900000000029</v>
      </c>
      <c r="T91" s="15">
        <v>-17119.47130434783</v>
      </c>
      <c r="U91" s="17">
        <v>0.69298701298701293</v>
      </c>
      <c r="V91" s="17">
        <v>-0.16936488169364877</v>
      </c>
      <c r="W91" s="17">
        <v>-0.15989905258746442</v>
      </c>
      <c r="X91" s="17">
        <v>-0.48613251155624038</v>
      </c>
      <c r="Y91" s="17">
        <v>-0.41371104363113309</v>
      </c>
      <c r="Z91" s="86"/>
      <c r="AA91" s="86"/>
      <c r="AB91"/>
    </row>
    <row r="92" spans="1:28" hidden="1" outlineLevel="1" x14ac:dyDescent="0.25">
      <c r="A92" s="21" t="s">
        <v>364</v>
      </c>
      <c r="B92" s="21" t="s">
        <v>364</v>
      </c>
      <c r="C92" s="21" t="s">
        <v>362</v>
      </c>
      <c r="D92" s="15">
        <v>10.043478260869566</v>
      </c>
      <c r="E92" s="57">
        <v>511.71428571428567</v>
      </c>
      <c r="F92" s="15">
        <v>5139.391304347826</v>
      </c>
      <c r="G92" s="15">
        <v>22.478260869565219</v>
      </c>
      <c r="H92" s="57">
        <v>770.80851063829789</v>
      </c>
      <c r="I92" s="15">
        <v>17326.434782608696</v>
      </c>
      <c r="J92" s="15">
        <v>10</v>
      </c>
      <c r="K92" s="57">
        <v>534.9</v>
      </c>
      <c r="L92" s="15">
        <v>5349</v>
      </c>
      <c r="M92" s="76">
        <v>12.724534829294925</v>
      </c>
      <c r="N92" s="76">
        <v>769.91623666895123</v>
      </c>
      <c r="O92" s="76">
        <v>9796.8259691337444</v>
      </c>
      <c r="P92" s="15">
        <v>-2.7245348292949245</v>
      </c>
      <c r="Q92" s="15">
        <v>-235.01623666895125</v>
      </c>
      <c r="R92" s="15">
        <v>-4447.8259691337444</v>
      </c>
      <c r="S92" s="15">
        <v>-2350.1623666895125</v>
      </c>
      <c r="T92" s="15">
        <v>-2097.6636024442319</v>
      </c>
      <c r="U92" s="78">
        <v>0.78588334537602167</v>
      </c>
      <c r="V92" s="17">
        <v>-4.3290043290044366E-3</v>
      </c>
      <c r="W92" s="17">
        <v>4.0784731739505628E-2</v>
      </c>
      <c r="X92" s="17">
        <v>-0.55512572533849136</v>
      </c>
      <c r="Y92" s="17">
        <v>-0.6912809780481195</v>
      </c>
      <c r="Z92" s="86"/>
      <c r="AA92" s="86"/>
      <c r="AB92"/>
    </row>
    <row r="93" spans="1:28" hidden="1" outlineLevel="1" x14ac:dyDescent="0.25">
      <c r="A93" s="21" t="s">
        <v>364</v>
      </c>
      <c r="B93" s="21" t="s">
        <v>364</v>
      </c>
      <c r="C93" s="21" t="s">
        <v>363</v>
      </c>
      <c r="D93" s="15">
        <v>59.782608695652179</v>
      </c>
      <c r="E93" s="57">
        <v>717.49191999999982</v>
      </c>
      <c r="F93" s="15">
        <v>42893.538695652169</v>
      </c>
      <c r="G93" s="15">
        <v>90.391304347826093</v>
      </c>
      <c r="H93" s="57">
        <v>569.75132275132273</v>
      </c>
      <c r="I93" s="15">
        <v>51500.565217391304</v>
      </c>
      <c r="J93" s="15">
        <v>48</v>
      </c>
      <c r="K93" s="57">
        <v>729.23979166666675</v>
      </c>
      <c r="L93" s="15">
        <v>35003.51</v>
      </c>
      <c r="M93" s="76">
        <v>70.971117344618122</v>
      </c>
      <c r="N93" s="76">
        <v>647.65170755339193</v>
      </c>
      <c r="O93" s="76">
        <v>45964.56533521408</v>
      </c>
      <c r="P93" s="15">
        <v>-22.971117344618122</v>
      </c>
      <c r="Q93" s="15">
        <v>81.588084113274817</v>
      </c>
      <c r="R93" s="15">
        <v>-10961.055335214078</v>
      </c>
      <c r="S93" s="15">
        <v>3916.2280374371912</v>
      </c>
      <c r="T93" s="15">
        <v>-14877.283372651265</v>
      </c>
      <c r="U93" s="78">
        <v>0.67633146829186752</v>
      </c>
      <c r="V93" s="17">
        <v>-0.19709090909090915</v>
      </c>
      <c r="W93" s="17">
        <v>-0.18394445726745148</v>
      </c>
      <c r="X93" s="17">
        <v>-0.46897546897546899</v>
      </c>
      <c r="Y93" s="17">
        <v>-0.32032765364331162</v>
      </c>
      <c r="Z93" s="86"/>
      <c r="AA93" s="86"/>
      <c r="AB93"/>
    </row>
    <row r="94" spans="1:28" collapsed="1" x14ac:dyDescent="0.25">
      <c r="A94" s="21" t="s">
        <v>145</v>
      </c>
      <c r="B94" s="21" t="s">
        <v>146</v>
      </c>
      <c r="C94" s="21" t="s">
        <v>164</v>
      </c>
      <c r="D94" s="15">
        <v>0</v>
      </c>
      <c r="E94" s="57" t="s">
        <v>364</v>
      </c>
      <c r="F94" s="15">
        <v>0</v>
      </c>
      <c r="G94" s="15">
        <v>0</v>
      </c>
      <c r="H94" s="57" t="s">
        <v>364</v>
      </c>
      <c r="I94" s="15">
        <v>0</v>
      </c>
      <c r="J94" s="15">
        <v>38</v>
      </c>
      <c r="K94" s="57">
        <v>1258.8371052631578</v>
      </c>
      <c r="L94" s="15">
        <v>47835.81</v>
      </c>
      <c r="M94" s="15">
        <v>83.695652173913047</v>
      </c>
      <c r="N94" s="15">
        <v>906.96</v>
      </c>
      <c r="O94" s="15">
        <v>75908.608695652176</v>
      </c>
      <c r="P94" s="15">
        <v>-45.695652173913047</v>
      </c>
      <c r="Q94" s="15">
        <v>351.87710526315777</v>
      </c>
      <c r="R94" s="15">
        <v>-28072.798695652178</v>
      </c>
      <c r="S94" s="15">
        <v>13371.329999999994</v>
      </c>
      <c r="T94" s="15">
        <v>-41444.12869565218</v>
      </c>
      <c r="U94" s="17">
        <v>0.454025974025974</v>
      </c>
      <c r="V94" s="17" t="s">
        <v>364</v>
      </c>
      <c r="W94" s="17" t="s">
        <v>364</v>
      </c>
      <c r="X94" s="17" t="s">
        <v>364</v>
      </c>
      <c r="Y94" s="17" t="s">
        <v>364</v>
      </c>
      <c r="Z94" s="86"/>
      <c r="AA94" s="86"/>
      <c r="AB94"/>
    </row>
    <row r="95" spans="1:28" hidden="1" outlineLevel="1" x14ac:dyDescent="0.25">
      <c r="A95" s="21" t="s">
        <v>364</v>
      </c>
      <c r="B95" s="21" t="s">
        <v>364</v>
      </c>
      <c r="C95" s="21" t="s">
        <v>362</v>
      </c>
      <c r="D95" s="15">
        <v>0</v>
      </c>
      <c r="E95" s="57" t="s">
        <v>364</v>
      </c>
      <c r="F95" s="15">
        <v>0</v>
      </c>
      <c r="G95" s="15">
        <v>0</v>
      </c>
      <c r="H95" s="57" t="s">
        <v>364</v>
      </c>
      <c r="I95" s="15">
        <v>0</v>
      </c>
      <c r="J95" s="15">
        <v>6</v>
      </c>
      <c r="K95" s="57">
        <v>1395.1333333333332</v>
      </c>
      <c r="L95" s="15">
        <v>8370.7999999999993</v>
      </c>
      <c r="M95" s="76">
        <v>12.724534829294925</v>
      </c>
      <c r="N95" s="76">
        <v>1048.0956262146856</v>
      </c>
      <c r="O95" s="76">
        <v>13336.52930020044</v>
      </c>
      <c r="P95" s="15">
        <v>-6.7245348292949245</v>
      </c>
      <c r="Q95" s="15">
        <v>347.03770711864763</v>
      </c>
      <c r="R95" s="15">
        <v>-4965.7293002004408</v>
      </c>
      <c r="S95" s="15">
        <v>2082.2262427118858</v>
      </c>
      <c r="T95" s="15">
        <v>-7047.9555429123275</v>
      </c>
      <c r="U95" s="78">
        <v>0.471530007225613</v>
      </c>
      <c r="V95" s="17" t="s">
        <v>364</v>
      </c>
      <c r="W95" s="17" t="s">
        <v>364</v>
      </c>
      <c r="X95" s="17" t="s">
        <v>364</v>
      </c>
      <c r="Y95" s="17" t="s">
        <v>364</v>
      </c>
      <c r="Z95" s="86"/>
      <c r="AA95" s="86"/>
      <c r="AB95"/>
    </row>
    <row r="96" spans="1:28" hidden="1" outlineLevel="1" x14ac:dyDescent="0.25">
      <c r="A96" s="21" t="s">
        <v>364</v>
      </c>
      <c r="B96" s="21" t="s">
        <v>364</v>
      </c>
      <c r="C96" s="21" t="s">
        <v>363</v>
      </c>
      <c r="D96" s="15">
        <v>0</v>
      </c>
      <c r="E96" s="57" t="s">
        <v>364</v>
      </c>
      <c r="F96" s="15">
        <v>0</v>
      </c>
      <c r="G96" s="15">
        <v>0</v>
      </c>
      <c r="H96" s="57" t="s">
        <v>364</v>
      </c>
      <c r="I96" s="15">
        <v>0</v>
      </c>
      <c r="J96" s="15">
        <v>32</v>
      </c>
      <c r="K96" s="57">
        <v>1233.2815625000001</v>
      </c>
      <c r="L96" s="15">
        <v>39465.01</v>
      </c>
      <c r="M96" s="76">
        <v>70.971117344618122</v>
      </c>
      <c r="N96" s="76">
        <v>881.65554857502468</v>
      </c>
      <c r="O96" s="76">
        <v>62572.079395451736</v>
      </c>
      <c r="P96" s="15">
        <v>-38.971117344618122</v>
      </c>
      <c r="Q96" s="15">
        <v>351.62601392497538</v>
      </c>
      <c r="R96" s="15">
        <v>-23107.069395451734</v>
      </c>
      <c r="S96" s="15">
        <v>11252.032445599212</v>
      </c>
      <c r="T96" s="15">
        <v>-34359.10184105095</v>
      </c>
      <c r="U96" s="78">
        <v>0.45088764552791166</v>
      </c>
      <c r="V96" s="17" t="s">
        <v>364</v>
      </c>
      <c r="W96" s="17" t="s">
        <v>364</v>
      </c>
      <c r="X96" s="17" t="s">
        <v>364</v>
      </c>
      <c r="Y96" s="17" t="s">
        <v>364</v>
      </c>
      <c r="Z96" s="86"/>
      <c r="AA96" s="86"/>
      <c r="AB96"/>
    </row>
    <row r="97" spans="1:28" collapsed="1" x14ac:dyDescent="0.25">
      <c r="A97" s="21" t="s">
        <v>145</v>
      </c>
      <c r="B97" s="21" t="s">
        <v>147</v>
      </c>
      <c r="C97" s="21" t="s">
        <v>165</v>
      </c>
      <c r="D97" s="15">
        <v>0</v>
      </c>
      <c r="E97" s="57" t="s">
        <v>364</v>
      </c>
      <c r="F97" s="15">
        <v>0</v>
      </c>
      <c r="G97" s="15">
        <v>0</v>
      </c>
      <c r="H97" s="57" t="s">
        <v>364</v>
      </c>
      <c r="I97" s="15">
        <v>0</v>
      </c>
      <c r="J97" s="15">
        <v>43</v>
      </c>
      <c r="K97" s="57">
        <v>602.25813953488364</v>
      </c>
      <c r="L97" s="15">
        <v>25897.1</v>
      </c>
      <c r="M97" s="15">
        <v>83.695652173913047</v>
      </c>
      <c r="N97" s="15">
        <v>792.41714285714284</v>
      </c>
      <c r="O97" s="15">
        <v>66321.869565217392</v>
      </c>
      <c r="P97" s="15">
        <v>-40.695652173913047</v>
      </c>
      <c r="Q97" s="15">
        <v>-190.1590033222592</v>
      </c>
      <c r="R97" s="15">
        <v>-40424.769565217393</v>
      </c>
      <c r="S97" s="15">
        <v>-8176.8371428571454</v>
      </c>
      <c r="T97" s="15">
        <v>-32247.932422360249</v>
      </c>
      <c r="U97" s="17">
        <v>0.51376623376623376</v>
      </c>
      <c r="V97" s="17" t="s">
        <v>364</v>
      </c>
      <c r="W97" s="17" t="s">
        <v>364</v>
      </c>
      <c r="X97" s="17" t="s">
        <v>364</v>
      </c>
      <c r="Y97" s="17" t="s">
        <v>364</v>
      </c>
      <c r="Z97" s="86"/>
      <c r="AA97" s="86"/>
      <c r="AB97"/>
    </row>
    <row r="98" spans="1:28" hidden="1" outlineLevel="1" x14ac:dyDescent="0.25">
      <c r="A98" s="21" t="s">
        <v>364</v>
      </c>
      <c r="B98" s="21" t="s">
        <v>364</v>
      </c>
      <c r="C98" s="21" t="s">
        <v>362</v>
      </c>
      <c r="D98" s="15">
        <v>0</v>
      </c>
      <c r="E98" s="57" t="s">
        <v>364</v>
      </c>
      <c r="F98" s="15">
        <v>0</v>
      </c>
      <c r="G98" s="15">
        <v>0</v>
      </c>
      <c r="H98" s="57" t="s">
        <v>364</v>
      </c>
      <c r="I98" s="15">
        <v>0</v>
      </c>
      <c r="J98" s="15">
        <v>9</v>
      </c>
      <c r="K98" s="57">
        <v>608.88888888888891</v>
      </c>
      <c r="L98" s="15">
        <v>5480</v>
      </c>
      <c r="M98" s="76">
        <v>25.006059322143411</v>
      </c>
      <c r="N98" s="76">
        <v>880.17344713368834</v>
      </c>
      <c r="O98" s="76">
        <v>22009.669432800467</v>
      </c>
      <c r="P98" s="15">
        <v>-16.006059322143411</v>
      </c>
      <c r="Q98" s="15">
        <v>-271.28455824479943</v>
      </c>
      <c r="R98" s="15">
        <v>-16529.669432800467</v>
      </c>
      <c r="S98" s="15">
        <v>-2441.5610242031948</v>
      </c>
      <c r="T98" s="15">
        <v>-14088.108408597273</v>
      </c>
      <c r="U98" s="78">
        <v>0.35991276690407209</v>
      </c>
      <c r="V98" s="17" t="s">
        <v>364</v>
      </c>
      <c r="W98" s="17" t="s">
        <v>364</v>
      </c>
      <c r="X98" s="17" t="s">
        <v>364</v>
      </c>
      <c r="Y98" s="17" t="s">
        <v>364</v>
      </c>
      <c r="Z98" s="86"/>
      <c r="AA98" s="86"/>
      <c r="AB98"/>
    </row>
    <row r="99" spans="1:28" hidden="1" outlineLevel="1" x14ac:dyDescent="0.25">
      <c r="A99" s="21" t="s">
        <v>364</v>
      </c>
      <c r="B99" s="21" t="s">
        <v>364</v>
      </c>
      <c r="C99" s="21" t="s">
        <v>363</v>
      </c>
      <c r="D99" s="15">
        <v>0</v>
      </c>
      <c r="E99" s="57" t="s">
        <v>364</v>
      </c>
      <c r="F99" s="15">
        <v>0</v>
      </c>
      <c r="G99" s="15">
        <v>0</v>
      </c>
      <c r="H99" s="57" t="s">
        <v>364</v>
      </c>
      <c r="I99" s="15">
        <v>0</v>
      </c>
      <c r="J99" s="15">
        <v>34</v>
      </c>
      <c r="K99" s="57">
        <v>600.50294117647059</v>
      </c>
      <c r="L99" s="15">
        <v>20417.099999999999</v>
      </c>
      <c r="M99" s="76">
        <v>58.689592851769632</v>
      </c>
      <c r="N99" s="76">
        <v>755.02653842453446</v>
      </c>
      <c r="O99" s="76">
        <v>44312.200132416925</v>
      </c>
      <c r="P99" s="15">
        <v>-24.689592851769632</v>
      </c>
      <c r="Q99" s="15">
        <v>-154.52359724806388</v>
      </c>
      <c r="R99" s="15">
        <v>-23895.100132416926</v>
      </c>
      <c r="S99" s="15">
        <v>-5253.8023064341724</v>
      </c>
      <c r="T99" s="15">
        <v>-18641.297825982754</v>
      </c>
      <c r="U99" s="78">
        <v>0.57931906404381917</v>
      </c>
      <c r="V99" s="17" t="s">
        <v>364</v>
      </c>
      <c r="W99" s="17" t="s">
        <v>364</v>
      </c>
      <c r="X99" s="17" t="s">
        <v>364</v>
      </c>
      <c r="Y99" s="17" t="s">
        <v>364</v>
      </c>
      <c r="Z99" s="86"/>
      <c r="AA99" s="86"/>
      <c r="AB99"/>
    </row>
    <row r="100" spans="1:28" collapsed="1" x14ac:dyDescent="0.25">
      <c r="A100" s="21" t="s">
        <v>145</v>
      </c>
      <c r="B100" s="21" t="s">
        <v>147</v>
      </c>
      <c r="C100" s="21" t="s">
        <v>166</v>
      </c>
      <c r="D100" s="15">
        <v>0</v>
      </c>
      <c r="E100" s="57" t="s">
        <v>364</v>
      </c>
      <c r="F100" s="15">
        <v>0</v>
      </c>
      <c r="G100" s="15">
        <v>0</v>
      </c>
      <c r="H100" s="57" t="s">
        <v>364</v>
      </c>
      <c r="I100" s="15">
        <v>0</v>
      </c>
      <c r="J100" s="15">
        <v>0</v>
      </c>
      <c r="K100" s="57" t="s">
        <v>364</v>
      </c>
      <c r="L100" s="15">
        <v>0</v>
      </c>
      <c r="M100" s="15">
        <v>52.130434782608695</v>
      </c>
      <c r="N100" s="15">
        <v>791.87155963302757</v>
      </c>
      <c r="O100" s="15">
        <v>41280.608695652176</v>
      </c>
      <c r="P100" s="15">
        <v>-52.130434782608695</v>
      </c>
      <c r="Q100" s="15" t="s">
        <v>364</v>
      </c>
      <c r="R100" s="15">
        <v>-41280.608695652176</v>
      </c>
      <c r="S100" s="15" t="s">
        <v>364</v>
      </c>
      <c r="T100" s="15">
        <v>-41280.608695652176</v>
      </c>
      <c r="U100" s="17">
        <v>0</v>
      </c>
      <c r="V100" s="17" t="s">
        <v>364</v>
      </c>
      <c r="W100" s="17" t="s">
        <v>364</v>
      </c>
      <c r="X100" s="17" t="s">
        <v>364</v>
      </c>
      <c r="Y100" s="17" t="s">
        <v>364</v>
      </c>
      <c r="Z100" s="86"/>
      <c r="AA100" s="86"/>
      <c r="AB100"/>
    </row>
    <row r="101" spans="1:28" hidden="1" outlineLevel="1" x14ac:dyDescent="0.25">
      <c r="A101" s="21" t="s">
        <v>364</v>
      </c>
      <c r="B101" s="21" t="s">
        <v>364</v>
      </c>
      <c r="C101" s="21" t="s">
        <v>362</v>
      </c>
      <c r="D101" s="15">
        <v>0</v>
      </c>
      <c r="E101" s="57" t="s">
        <v>364</v>
      </c>
      <c r="F101" s="15">
        <v>0</v>
      </c>
      <c r="G101" s="15">
        <v>0</v>
      </c>
      <c r="H101" s="57" t="s">
        <v>364</v>
      </c>
      <c r="I101" s="15">
        <v>0</v>
      </c>
      <c r="J101" s="15">
        <v>0</v>
      </c>
      <c r="K101" s="57" t="s">
        <v>364</v>
      </c>
      <c r="L101" s="15">
        <v>0</v>
      </c>
      <c r="M101" s="76">
        <v>15.575202663506468</v>
      </c>
      <c r="N101" s="76">
        <v>879.56744324874398</v>
      </c>
      <c r="O101" s="76">
        <v>13699.441184821411</v>
      </c>
      <c r="P101" s="15">
        <v>-15.575202663506468</v>
      </c>
      <c r="Q101" s="15" t="s">
        <v>364</v>
      </c>
      <c r="R101" s="15">
        <v>-13699.441184821411</v>
      </c>
      <c r="S101" s="15" t="s">
        <v>364</v>
      </c>
      <c r="T101" s="15">
        <v>-13699.441184821411</v>
      </c>
      <c r="U101" s="78">
        <v>0</v>
      </c>
      <c r="V101" s="17" t="s">
        <v>364</v>
      </c>
      <c r="W101" s="17" t="s">
        <v>364</v>
      </c>
      <c r="X101" s="17" t="s">
        <v>364</v>
      </c>
      <c r="Y101" s="17" t="s">
        <v>364</v>
      </c>
      <c r="Z101" s="86"/>
      <c r="AA101" s="86"/>
      <c r="AB101"/>
    </row>
    <row r="102" spans="1:28" hidden="1" outlineLevel="1" x14ac:dyDescent="0.25">
      <c r="A102" s="21" t="s">
        <v>364</v>
      </c>
      <c r="B102" s="21" t="s">
        <v>364</v>
      </c>
      <c r="C102" s="21" t="s">
        <v>363</v>
      </c>
      <c r="D102" s="15">
        <v>0</v>
      </c>
      <c r="E102" s="57" t="s">
        <v>364</v>
      </c>
      <c r="F102" s="15">
        <v>0</v>
      </c>
      <c r="G102" s="15">
        <v>0</v>
      </c>
      <c r="H102" s="57" t="s">
        <v>364</v>
      </c>
      <c r="I102" s="15">
        <v>0</v>
      </c>
      <c r="J102" s="15">
        <v>0</v>
      </c>
      <c r="K102" s="57" t="s">
        <v>364</v>
      </c>
      <c r="L102" s="15">
        <v>0</v>
      </c>
      <c r="M102" s="76">
        <v>36.555232119102229</v>
      </c>
      <c r="N102" s="76">
        <v>754.50669882131604</v>
      </c>
      <c r="O102" s="76">
        <v>27581.167510830765</v>
      </c>
      <c r="P102" s="15">
        <v>-36.555232119102229</v>
      </c>
      <c r="Q102" s="15" t="s">
        <v>364</v>
      </c>
      <c r="R102" s="15">
        <v>-27581.167510830765</v>
      </c>
      <c r="S102" s="15" t="s">
        <v>364</v>
      </c>
      <c r="T102" s="15">
        <v>-27581.167510830765</v>
      </c>
      <c r="U102" s="78">
        <v>0</v>
      </c>
      <c r="V102" s="17" t="s">
        <v>364</v>
      </c>
      <c r="W102" s="17" t="s">
        <v>364</v>
      </c>
      <c r="X102" s="17" t="s">
        <v>364</v>
      </c>
      <c r="Y102" s="17" t="s">
        <v>364</v>
      </c>
      <c r="Z102" s="86"/>
      <c r="AA102" s="86"/>
      <c r="AB102"/>
    </row>
    <row r="103" spans="1:28" collapsed="1" x14ac:dyDescent="0.25">
      <c r="A103" s="21" t="s">
        <v>145</v>
      </c>
      <c r="B103" s="21" t="s">
        <v>147</v>
      </c>
      <c r="C103" s="21" t="s">
        <v>167</v>
      </c>
      <c r="D103" s="15">
        <v>0</v>
      </c>
      <c r="E103" s="57" t="s">
        <v>364</v>
      </c>
      <c r="F103" s="15">
        <v>0</v>
      </c>
      <c r="G103" s="15">
        <v>0</v>
      </c>
      <c r="H103" s="57" t="s">
        <v>364</v>
      </c>
      <c r="I103" s="15">
        <v>0</v>
      </c>
      <c r="J103" s="15">
        <v>10</v>
      </c>
      <c r="K103" s="57">
        <v>2174.3029999999999</v>
      </c>
      <c r="L103" s="15">
        <v>21743.03</v>
      </c>
      <c r="M103" s="15">
        <v>51.652173913043477</v>
      </c>
      <c r="N103" s="15">
        <v>793.32407407407413</v>
      </c>
      <c r="O103" s="15">
        <v>40976.913043478264</v>
      </c>
      <c r="P103" s="15">
        <v>-41.652173913043477</v>
      </c>
      <c r="Q103" s="15">
        <v>1380.9789259259258</v>
      </c>
      <c r="R103" s="15">
        <v>-19233.883043478265</v>
      </c>
      <c r="S103" s="15">
        <v>13809.789259259258</v>
      </c>
      <c r="T103" s="15">
        <v>-33043.672302737519</v>
      </c>
      <c r="U103" s="17">
        <v>0.19360269360269361</v>
      </c>
      <c r="V103" s="17" t="s">
        <v>364</v>
      </c>
      <c r="W103" s="17" t="s">
        <v>364</v>
      </c>
      <c r="X103" s="17" t="s">
        <v>364</v>
      </c>
      <c r="Y103" s="17" t="s">
        <v>364</v>
      </c>
      <c r="Z103" s="86"/>
      <c r="AA103" s="86"/>
      <c r="AB103"/>
    </row>
    <row r="104" spans="1:28" hidden="1" outlineLevel="1" x14ac:dyDescent="0.25">
      <c r="A104" s="21" t="s">
        <v>364</v>
      </c>
      <c r="B104" s="21" t="s">
        <v>364</v>
      </c>
      <c r="C104" s="21" t="s">
        <v>362</v>
      </c>
      <c r="D104" s="15">
        <v>0</v>
      </c>
      <c r="E104" s="57" t="s">
        <v>364</v>
      </c>
      <c r="F104" s="15">
        <v>0</v>
      </c>
      <c r="G104" s="15">
        <v>0</v>
      </c>
      <c r="H104" s="57" t="s">
        <v>364</v>
      </c>
      <c r="I104" s="15">
        <v>0</v>
      </c>
      <c r="J104" s="15">
        <v>1</v>
      </c>
      <c r="K104" s="57">
        <v>6429.42</v>
      </c>
      <c r="L104" s="15">
        <v>6429.42</v>
      </c>
      <c r="M104" s="76">
        <v>15.432310895951362</v>
      </c>
      <c r="N104" s="76">
        <v>881.180816525826</v>
      </c>
      <c r="O104" s="76">
        <v>13598.656316174824</v>
      </c>
      <c r="P104" s="15">
        <v>-14.432310895951362</v>
      </c>
      <c r="Q104" s="15">
        <v>5548.2391834741738</v>
      </c>
      <c r="R104" s="15">
        <v>-7169.2363161748235</v>
      </c>
      <c r="S104" s="15">
        <v>5548.2391834741738</v>
      </c>
      <c r="T104" s="15">
        <v>-12717.475499648997</v>
      </c>
      <c r="U104" s="78">
        <v>6.4799109267708446E-2</v>
      </c>
      <c r="V104" s="17" t="s">
        <v>364</v>
      </c>
      <c r="W104" s="17" t="s">
        <v>364</v>
      </c>
      <c r="X104" s="17" t="s">
        <v>364</v>
      </c>
      <c r="Y104" s="17" t="s">
        <v>364</v>
      </c>
      <c r="Z104" s="86"/>
      <c r="AA104" s="86"/>
      <c r="AB104"/>
    </row>
    <row r="105" spans="1:28" hidden="1" outlineLevel="1" x14ac:dyDescent="0.25">
      <c r="A105" s="21" t="s">
        <v>364</v>
      </c>
      <c r="B105" s="21" t="s">
        <v>364</v>
      </c>
      <c r="C105" s="21" t="s">
        <v>363</v>
      </c>
      <c r="D105" s="15">
        <v>0</v>
      </c>
      <c r="E105" s="57" t="s">
        <v>364</v>
      </c>
      <c r="F105" s="15">
        <v>0</v>
      </c>
      <c r="G105" s="15">
        <v>0</v>
      </c>
      <c r="H105" s="57" t="s">
        <v>364</v>
      </c>
      <c r="I105" s="15">
        <v>0</v>
      </c>
      <c r="J105" s="15">
        <v>9</v>
      </c>
      <c r="K105" s="57">
        <v>1701.5122222222224</v>
      </c>
      <c r="L105" s="15">
        <v>15313.61</v>
      </c>
      <c r="M105" s="76">
        <v>36.219863017092116</v>
      </c>
      <c r="N105" s="76">
        <v>755.8906756324194</v>
      </c>
      <c r="O105" s="76">
        <v>27378.25672730344</v>
      </c>
      <c r="P105" s="15">
        <v>-27.219863017092116</v>
      </c>
      <c r="Q105" s="15">
        <v>945.62154658980296</v>
      </c>
      <c r="R105" s="15">
        <v>-12064.64672730344</v>
      </c>
      <c r="S105" s="15">
        <v>8510.5939193082268</v>
      </c>
      <c r="T105" s="15">
        <v>-20575.240646611666</v>
      </c>
      <c r="U105" s="78">
        <v>0.24848244168546163</v>
      </c>
      <c r="V105" s="17" t="s">
        <v>364</v>
      </c>
      <c r="W105" s="17" t="s">
        <v>364</v>
      </c>
      <c r="X105" s="17" t="s">
        <v>364</v>
      </c>
      <c r="Y105" s="17" t="s">
        <v>364</v>
      </c>
      <c r="Z105" s="86"/>
      <c r="AA105" s="86"/>
      <c r="AB105"/>
    </row>
    <row r="106" spans="1:28" collapsed="1" x14ac:dyDescent="0.25">
      <c r="A106" s="21" t="s">
        <v>145</v>
      </c>
      <c r="B106" s="21" t="s">
        <v>147</v>
      </c>
      <c r="C106" s="21" t="s">
        <v>168</v>
      </c>
      <c r="D106" s="15">
        <v>0</v>
      </c>
      <c r="E106" s="57" t="s">
        <v>364</v>
      </c>
      <c r="F106" s="15">
        <v>0</v>
      </c>
      <c r="G106" s="15">
        <v>0</v>
      </c>
      <c r="H106" s="57" t="s">
        <v>364</v>
      </c>
      <c r="I106" s="15">
        <v>0</v>
      </c>
      <c r="J106" s="15">
        <v>27</v>
      </c>
      <c r="K106" s="57">
        <v>413.85518518518518</v>
      </c>
      <c r="L106" s="15">
        <v>11174.09</v>
      </c>
      <c r="M106" s="15">
        <v>39.217391304347828</v>
      </c>
      <c r="N106" s="15">
        <v>789.45121951219505</v>
      </c>
      <c r="O106" s="15">
        <v>30960.217391304348</v>
      </c>
      <c r="P106" s="15">
        <v>-12.217391304347828</v>
      </c>
      <c r="Q106" s="15">
        <v>-375.59603432700987</v>
      </c>
      <c r="R106" s="15">
        <v>-19786.127391304348</v>
      </c>
      <c r="S106" s="15">
        <v>-10141.092926829268</v>
      </c>
      <c r="T106" s="15">
        <v>-9645.0344644750803</v>
      </c>
      <c r="U106" s="17">
        <v>0.68847006651884701</v>
      </c>
      <c r="V106" s="17" t="s">
        <v>364</v>
      </c>
      <c r="W106" s="17" t="s">
        <v>364</v>
      </c>
      <c r="X106" s="17" t="s">
        <v>364</v>
      </c>
      <c r="Y106" s="17" t="s">
        <v>364</v>
      </c>
      <c r="Z106" s="86"/>
      <c r="AA106" s="86"/>
      <c r="AB106"/>
    </row>
    <row r="107" spans="1:28" hidden="1" outlineLevel="1" x14ac:dyDescent="0.25">
      <c r="A107" s="21" t="s">
        <v>364</v>
      </c>
      <c r="B107" s="21" t="s">
        <v>364</v>
      </c>
      <c r="C107" s="21" t="s">
        <v>362</v>
      </c>
      <c r="D107" s="15">
        <v>0</v>
      </c>
      <c r="E107" s="57" t="s">
        <v>364</v>
      </c>
      <c r="F107" s="15">
        <v>0</v>
      </c>
      <c r="G107" s="15">
        <v>0</v>
      </c>
      <c r="H107" s="57" t="s">
        <v>364</v>
      </c>
      <c r="I107" s="15">
        <v>0</v>
      </c>
      <c r="J107" s="15">
        <v>6</v>
      </c>
      <c r="K107" s="57">
        <v>1062.5</v>
      </c>
      <c r="L107" s="15">
        <v>6375</v>
      </c>
      <c r="M107" s="76">
        <v>11.717124939518628</v>
      </c>
      <c r="N107" s="76">
        <v>876.8790623541712</v>
      </c>
      <c r="O107" s="76">
        <v>10274.501530451769</v>
      </c>
      <c r="P107" s="15">
        <v>-5.7171249395186283</v>
      </c>
      <c r="Q107" s="15">
        <v>185.6209376458288</v>
      </c>
      <c r="R107" s="15">
        <v>-3899.5015304517692</v>
      </c>
      <c r="S107" s="15">
        <v>1113.7256258749728</v>
      </c>
      <c r="T107" s="15">
        <v>-5013.2271563267423</v>
      </c>
      <c r="U107" s="78">
        <v>0.51207100982286669</v>
      </c>
      <c r="V107" s="17" t="s">
        <v>364</v>
      </c>
      <c r="W107" s="17" t="s">
        <v>364</v>
      </c>
      <c r="X107" s="17" t="s">
        <v>364</v>
      </c>
      <c r="Y107" s="17" t="s">
        <v>364</v>
      </c>
      <c r="Z107" s="86"/>
      <c r="AA107" s="86"/>
      <c r="AB107"/>
    </row>
    <row r="108" spans="1:28" hidden="1" outlineLevel="1" x14ac:dyDescent="0.25">
      <c r="A108" s="21" t="s">
        <v>364</v>
      </c>
      <c r="B108" s="21" t="s">
        <v>364</v>
      </c>
      <c r="C108" s="21" t="s">
        <v>363</v>
      </c>
      <c r="D108" s="15">
        <v>0</v>
      </c>
      <c r="E108" s="57" t="s">
        <v>364</v>
      </c>
      <c r="F108" s="15">
        <v>0</v>
      </c>
      <c r="G108" s="15">
        <v>0</v>
      </c>
      <c r="H108" s="57" t="s">
        <v>364</v>
      </c>
      <c r="I108" s="15">
        <v>0</v>
      </c>
      <c r="J108" s="15">
        <v>21</v>
      </c>
      <c r="K108" s="57">
        <v>228.52809523809523</v>
      </c>
      <c r="L108" s="15">
        <v>4799.09</v>
      </c>
      <c r="M108" s="76">
        <v>27.500266364829201</v>
      </c>
      <c r="N108" s="76">
        <v>752.20056367556037</v>
      </c>
      <c r="O108" s="76">
        <v>20685.715860852579</v>
      </c>
      <c r="P108" s="15">
        <v>-6.5002663648292014</v>
      </c>
      <c r="Q108" s="15">
        <v>-523.67246843746511</v>
      </c>
      <c r="R108" s="15">
        <v>-15886.625860852579</v>
      </c>
      <c r="S108" s="15">
        <v>-10997.121837186767</v>
      </c>
      <c r="T108" s="15">
        <v>-4889.5040236658115</v>
      </c>
      <c r="U108" s="78">
        <v>0.76362896713093076</v>
      </c>
      <c r="V108" s="17" t="s">
        <v>364</v>
      </c>
      <c r="W108" s="17" t="s">
        <v>364</v>
      </c>
      <c r="X108" s="17" t="s">
        <v>364</v>
      </c>
      <c r="Y108" s="17" t="s">
        <v>364</v>
      </c>
      <c r="Z108" s="86"/>
      <c r="AA108" s="86"/>
      <c r="AB108"/>
    </row>
    <row r="109" spans="1:28" collapsed="1" x14ac:dyDescent="0.25">
      <c r="A109" s="21" t="s">
        <v>144</v>
      </c>
      <c r="B109" s="21" t="s">
        <v>216</v>
      </c>
      <c r="C109" s="21" t="s">
        <v>169</v>
      </c>
      <c r="D109" s="15">
        <v>0</v>
      </c>
      <c r="E109" s="57" t="s">
        <v>364</v>
      </c>
      <c r="F109" s="15">
        <v>0</v>
      </c>
      <c r="G109" s="15">
        <v>0</v>
      </c>
      <c r="H109" s="57" t="s">
        <v>364</v>
      </c>
      <c r="I109" s="15">
        <v>0</v>
      </c>
      <c r="J109" s="15">
        <v>47</v>
      </c>
      <c r="K109" s="57">
        <v>481.10638297872339</v>
      </c>
      <c r="L109" s="15">
        <v>22612</v>
      </c>
      <c r="M109" s="15">
        <v>74.608695652173921</v>
      </c>
      <c r="N109" s="15">
        <v>612.91666666666663</v>
      </c>
      <c r="O109" s="15">
        <v>45728.913043478264</v>
      </c>
      <c r="P109" s="15">
        <v>-27.608695652173921</v>
      </c>
      <c r="Q109" s="15">
        <v>-131.81028368794324</v>
      </c>
      <c r="R109" s="15">
        <v>-23116.913043478264</v>
      </c>
      <c r="S109" s="15">
        <v>-6195.0833333333321</v>
      </c>
      <c r="T109" s="15">
        <v>-16921.829710144932</v>
      </c>
      <c r="U109" s="17">
        <v>0.62995337995337986</v>
      </c>
      <c r="V109" s="17" t="s">
        <v>364</v>
      </c>
      <c r="W109" s="17" t="s">
        <v>364</v>
      </c>
      <c r="X109" s="17" t="s">
        <v>364</v>
      </c>
      <c r="Y109" s="17" t="s">
        <v>364</v>
      </c>
      <c r="Z109" s="86"/>
      <c r="AA109" s="86"/>
      <c r="AB109"/>
    </row>
    <row r="110" spans="1:28" hidden="1" outlineLevel="1" x14ac:dyDescent="0.25">
      <c r="A110" s="21" t="s">
        <v>364</v>
      </c>
      <c r="B110" s="21" t="s">
        <v>364</v>
      </c>
      <c r="C110" s="21" t="s">
        <v>362</v>
      </c>
      <c r="D110" s="15">
        <v>0</v>
      </c>
      <c r="E110" s="57" t="s">
        <v>364</v>
      </c>
      <c r="F110" s="15">
        <v>0</v>
      </c>
      <c r="G110" s="15">
        <v>0</v>
      </c>
      <c r="H110" s="57" t="s">
        <v>364</v>
      </c>
      <c r="I110" s="15">
        <v>0</v>
      </c>
      <c r="J110" s="15">
        <v>9</v>
      </c>
      <c r="K110" s="57">
        <v>269.44444444444446</v>
      </c>
      <c r="L110" s="15">
        <v>2425</v>
      </c>
      <c r="M110" s="76">
        <v>11.935306944789149</v>
      </c>
      <c r="N110" s="76">
        <v>795.15485123021244</v>
      </c>
      <c r="O110" s="76">
        <v>9490.4172180707374</v>
      </c>
      <c r="P110" s="15">
        <v>-2.9353069447891489</v>
      </c>
      <c r="Q110" s="15">
        <v>-525.71040678576799</v>
      </c>
      <c r="R110" s="15">
        <v>-7065.4172180707374</v>
      </c>
      <c r="S110" s="15">
        <v>-4731.393661071912</v>
      </c>
      <c r="T110" s="15">
        <v>-2334.0235569988249</v>
      </c>
      <c r="U110" s="78">
        <v>0.75406523197372155</v>
      </c>
      <c r="V110" s="17" t="s">
        <v>364</v>
      </c>
      <c r="W110" s="17" t="s">
        <v>364</v>
      </c>
      <c r="X110" s="17" t="s">
        <v>364</v>
      </c>
      <c r="Y110" s="17" t="s">
        <v>364</v>
      </c>
      <c r="Z110" s="86"/>
      <c r="AA110" s="86"/>
      <c r="AB110"/>
    </row>
    <row r="111" spans="1:28" hidden="1" outlineLevel="1" x14ac:dyDescent="0.25">
      <c r="A111" s="21" t="s">
        <v>364</v>
      </c>
      <c r="B111" s="21" t="s">
        <v>364</v>
      </c>
      <c r="C111" s="21" t="s">
        <v>363</v>
      </c>
      <c r="D111" s="15">
        <v>0</v>
      </c>
      <c r="E111" s="57" t="s">
        <v>364</v>
      </c>
      <c r="F111" s="15">
        <v>0</v>
      </c>
      <c r="G111" s="15">
        <v>0</v>
      </c>
      <c r="H111" s="57" t="s">
        <v>364</v>
      </c>
      <c r="I111" s="15">
        <v>0</v>
      </c>
      <c r="J111" s="15">
        <v>38</v>
      </c>
      <c r="K111" s="57">
        <v>531.23684210526312</v>
      </c>
      <c r="L111" s="15">
        <v>20187</v>
      </c>
      <c r="M111" s="76">
        <v>62.673388707384774</v>
      </c>
      <c r="N111" s="76">
        <v>578.21184673133143</v>
      </c>
      <c r="O111" s="76">
        <v>36238.495825407525</v>
      </c>
      <c r="P111" s="15">
        <v>-24.673388707384774</v>
      </c>
      <c r="Q111" s="15">
        <v>-46.975004626068312</v>
      </c>
      <c r="R111" s="15">
        <v>-16051.495825407525</v>
      </c>
      <c r="S111" s="15">
        <v>-1785.0501757905959</v>
      </c>
      <c r="T111" s="15">
        <v>-14266.44564961693</v>
      </c>
      <c r="U111" s="78">
        <v>0.60631794105498049</v>
      </c>
      <c r="V111" s="17" t="s">
        <v>364</v>
      </c>
      <c r="W111" s="17" t="s">
        <v>364</v>
      </c>
      <c r="X111" s="17" t="s">
        <v>364</v>
      </c>
      <c r="Y111" s="17" t="s">
        <v>364</v>
      </c>
      <c r="Z111" s="86"/>
      <c r="AA111" s="86"/>
      <c r="AB111"/>
    </row>
    <row r="112" spans="1:28" collapsed="1" x14ac:dyDescent="0.25">
      <c r="A112" s="21" t="s">
        <v>144</v>
      </c>
      <c r="B112" s="21" t="s">
        <v>216</v>
      </c>
      <c r="C112" s="21" t="s">
        <v>170</v>
      </c>
      <c r="D112" s="15">
        <v>37.782608695652172</v>
      </c>
      <c r="E112" s="57">
        <v>562.97468354430384</v>
      </c>
      <c r="F112" s="15">
        <v>21270.652173913044</v>
      </c>
      <c r="G112" s="15">
        <v>0</v>
      </c>
      <c r="H112" s="57" t="s">
        <v>364</v>
      </c>
      <c r="I112" s="15">
        <v>0</v>
      </c>
      <c r="J112" s="15">
        <v>43</v>
      </c>
      <c r="K112" s="57">
        <v>435.08139534883719</v>
      </c>
      <c r="L112" s="15">
        <v>18708.5</v>
      </c>
      <c r="M112" s="15">
        <v>61.695652173913047</v>
      </c>
      <c r="N112" s="15">
        <v>511.7906976744186</v>
      </c>
      <c r="O112" s="15">
        <v>31575.26086956522</v>
      </c>
      <c r="P112" s="15">
        <v>-18.695652173913047</v>
      </c>
      <c r="Q112" s="15">
        <v>-76.709302325581405</v>
      </c>
      <c r="R112" s="15">
        <v>-12866.76086956522</v>
      </c>
      <c r="S112" s="15">
        <v>-3298.5000000000005</v>
      </c>
      <c r="T112" s="15">
        <v>-9568.2608695652179</v>
      </c>
      <c r="U112" s="17">
        <v>0.69696969696969691</v>
      </c>
      <c r="V112" s="17">
        <v>0.13808975834292295</v>
      </c>
      <c r="W112" s="17">
        <v>-0.12045480096070317</v>
      </c>
      <c r="X112" s="17" t="s">
        <v>364</v>
      </c>
      <c r="Y112" s="17" t="s">
        <v>364</v>
      </c>
      <c r="Z112" s="86"/>
      <c r="AA112" s="86"/>
      <c r="AB112"/>
    </row>
    <row r="113" spans="1:28" hidden="1" outlineLevel="1" x14ac:dyDescent="0.25">
      <c r="A113" s="21" t="s">
        <v>364</v>
      </c>
      <c r="B113" s="21" t="s">
        <v>364</v>
      </c>
      <c r="C113" s="21" t="s">
        <v>362</v>
      </c>
      <c r="D113" s="15">
        <v>7.1739130434782608</v>
      </c>
      <c r="E113" s="57">
        <v>571.66666666666663</v>
      </c>
      <c r="F113" s="15">
        <v>4101.086956521739</v>
      </c>
      <c r="G113" s="15">
        <v>0</v>
      </c>
      <c r="H113" s="57" t="s">
        <v>364</v>
      </c>
      <c r="I113" s="15">
        <v>0</v>
      </c>
      <c r="J113" s="15">
        <v>8</v>
      </c>
      <c r="K113" s="57">
        <v>509.375</v>
      </c>
      <c r="L113" s="15">
        <v>4075</v>
      </c>
      <c r="M113" s="76">
        <v>9.8695807428064111</v>
      </c>
      <c r="N113" s="76">
        <v>663.96115198418875</v>
      </c>
      <c r="O113" s="76">
        <v>6553.0181995947105</v>
      </c>
      <c r="P113" s="15">
        <v>-1.8695807428064111</v>
      </c>
      <c r="Q113" s="15">
        <v>-154.58615198418875</v>
      </c>
      <c r="R113" s="15">
        <v>-2478.0181995947105</v>
      </c>
      <c r="S113" s="15">
        <v>-1236.68921587351</v>
      </c>
      <c r="T113" s="15">
        <v>-1241.3289837212001</v>
      </c>
      <c r="U113" s="78">
        <v>0.81057141214746309</v>
      </c>
      <c r="V113" s="17">
        <v>0.11515151515151517</v>
      </c>
      <c r="W113" s="17">
        <v>-6.3609859528226589E-3</v>
      </c>
      <c r="X113" s="17" t="s">
        <v>364</v>
      </c>
      <c r="Y113" s="17" t="s">
        <v>364</v>
      </c>
      <c r="Z113" s="86"/>
      <c r="AA113" s="86"/>
      <c r="AB113"/>
    </row>
    <row r="114" spans="1:28" hidden="1" outlineLevel="1" x14ac:dyDescent="0.25">
      <c r="A114" s="21" t="s">
        <v>364</v>
      </c>
      <c r="B114" s="21" t="s">
        <v>364</v>
      </c>
      <c r="C114" s="21" t="s">
        <v>363</v>
      </c>
      <c r="D114" s="15">
        <v>30.608695652173914</v>
      </c>
      <c r="E114" s="57">
        <v>560.9375</v>
      </c>
      <c r="F114" s="15">
        <v>17169.565217391304</v>
      </c>
      <c r="G114" s="15">
        <v>0</v>
      </c>
      <c r="H114" s="57" t="s">
        <v>364</v>
      </c>
      <c r="I114" s="15">
        <v>0</v>
      </c>
      <c r="J114" s="15">
        <v>35</v>
      </c>
      <c r="K114" s="57">
        <v>418.1</v>
      </c>
      <c r="L114" s="15">
        <v>14633.5</v>
      </c>
      <c r="M114" s="76">
        <v>51.826071431106634</v>
      </c>
      <c r="N114" s="76">
        <v>482.81187400501784</v>
      </c>
      <c r="O114" s="76">
        <v>25022.24266997051</v>
      </c>
      <c r="P114" s="15">
        <v>-16.826071431106634</v>
      </c>
      <c r="Q114" s="15">
        <v>-64.711874005017819</v>
      </c>
      <c r="R114" s="15">
        <v>-10388.74266997051</v>
      </c>
      <c r="S114" s="15">
        <v>-2264.9155901756235</v>
      </c>
      <c r="T114" s="15">
        <v>-8123.8270797948862</v>
      </c>
      <c r="U114" s="78">
        <v>0.67533577277849732</v>
      </c>
      <c r="V114" s="17">
        <v>0.14346590909090906</v>
      </c>
      <c r="W114" s="17">
        <v>-0.14770701443403392</v>
      </c>
      <c r="X114" s="17" t="s">
        <v>364</v>
      </c>
      <c r="Y114" s="17" t="s">
        <v>364</v>
      </c>
      <c r="Z114" s="86"/>
      <c r="AA114" s="86"/>
      <c r="AB114"/>
    </row>
    <row r="115" spans="1:28" collapsed="1" x14ac:dyDescent="0.25">
      <c r="A115" s="21" t="s">
        <v>144</v>
      </c>
      <c r="B115" s="21" t="s">
        <v>216</v>
      </c>
      <c r="C115" s="21" t="s">
        <v>171</v>
      </c>
      <c r="D115" s="15">
        <v>0</v>
      </c>
      <c r="E115" s="57" t="s">
        <v>364</v>
      </c>
      <c r="F115" s="15">
        <v>0</v>
      </c>
      <c r="G115" s="15">
        <v>0</v>
      </c>
      <c r="H115" s="57" t="s">
        <v>364</v>
      </c>
      <c r="I115" s="15">
        <v>0</v>
      </c>
      <c r="J115" s="15">
        <v>36</v>
      </c>
      <c r="K115" s="57">
        <v>535.40277777777783</v>
      </c>
      <c r="L115" s="15">
        <v>19274.5</v>
      </c>
      <c r="M115" s="15">
        <v>65.521739130434781</v>
      </c>
      <c r="N115" s="15">
        <v>610.67883211678839</v>
      </c>
      <c r="O115" s="15">
        <v>40012.739130434784</v>
      </c>
      <c r="P115" s="15">
        <v>-29.521739130434781</v>
      </c>
      <c r="Q115" s="15">
        <v>-75.276054339010557</v>
      </c>
      <c r="R115" s="15">
        <v>-20738.239130434784</v>
      </c>
      <c r="S115" s="15">
        <v>-2709.93795620438</v>
      </c>
      <c r="T115" s="15">
        <v>-18028.301174230404</v>
      </c>
      <c r="U115" s="17">
        <v>0.54943596549435969</v>
      </c>
      <c r="V115" s="17" t="s">
        <v>364</v>
      </c>
      <c r="W115" s="17" t="s">
        <v>364</v>
      </c>
      <c r="X115" s="17" t="s">
        <v>364</v>
      </c>
      <c r="Y115" s="17" t="s">
        <v>364</v>
      </c>
      <c r="Z115" s="86"/>
      <c r="AA115" s="86"/>
      <c r="AB115"/>
    </row>
    <row r="116" spans="1:28" hidden="1" outlineLevel="1" x14ac:dyDescent="0.25">
      <c r="A116" s="21" t="s">
        <v>364</v>
      </c>
      <c r="B116" s="21" t="s">
        <v>364</v>
      </c>
      <c r="C116" s="21" t="s">
        <v>362</v>
      </c>
      <c r="D116" s="15">
        <v>0</v>
      </c>
      <c r="E116" s="57" t="s">
        <v>364</v>
      </c>
      <c r="F116" s="15">
        <v>0</v>
      </c>
      <c r="G116" s="15">
        <v>0</v>
      </c>
      <c r="H116" s="57" t="s">
        <v>364</v>
      </c>
      <c r="I116" s="15">
        <v>0</v>
      </c>
      <c r="J116" s="15">
        <v>4</v>
      </c>
      <c r="K116" s="57">
        <v>1552.25</v>
      </c>
      <c r="L116" s="15">
        <v>6209</v>
      </c>
      <c r="M116" s="76">
        <v>10.48164776561611</v>
      </c>
      <c r="N116" s="76">
        <v>792.25164253095556</v>
      </c>
      <c r="O116" s="76">
        <v>8304.102658740283</v>
      </c>
      <c r="P116" s="15">
        <v>-6.4816477656161098</v>
      </c>
      <c r="Q116" s="15">
        <v>759.99835746904444</v>
      </c>
      <c r="R116" s="15">
        <v>-2095.102658740283</v>
      </c>
      <c r="S116" s="15">
        <v>3039.9934298761777</v>
      </c>
      <c r="T116" s="15">
        <v>-5135.0960886164612</v>
      </c>
      <c r="U116" s="78">
        <v>0.38161938747088592</v>
      </c>
      <c r="V116" s="17" t="s">
        <v>364</v>
      </c>
      <c r="W116" s="17" t="s">
        <v>364</v>
      </c>
      <c r="X116" s="17" t="s">
        <v>364</v>
      </c>
      <c r="Y116" s="17" t="s">
        <v>364</v>
      </c>
      <c r="Z116" s="86"/>
      <c r="AA116" s="86"/>
      <c r="AB116"/>
    </row>
    <row r="117" spans="1:28" hidden="1" outlineLevel="1" x14ac:dyDescent="0.25">
      <c r="A117" s="21" t="s">
        <v>364</v>
      </c>
      <c r="B117" s="21" t="s">
        <v>364</v>
      </c>
      <c r="C117" s="21" t="s">
        <v>363</v>
      </c>
      <c r="D117" s="15">
        <v>0</v>
      </c>
      <c r="E117" s="57" t="s">
        <v>364</v>
      </c>
      <c r="F117" s="15">
        <v>0</v>
      </c>
      <c r="G117" s="15">
        <v>0</v>
      </c>
      <c r="H117" s="57" t="s">
        <v>364</v>
      </c>
      <c r="I117" s="15">
        <v>0</v>
      </c>
      <c r="J117" s="15">
        <v>32</v>
      </c>
      <c r="K117" s="57">
        <v>408.296875</v>
      </c>
      <c r="L117" s="15">
        <v>13065.5</v>
      </c>
      <c r="M117" s="76">
        <v>55.040091364818672</v>
      </c>
      <c r="N117" s="76">
        <v>576.10072377100903</v>
      </c>
      <c r="O117" s="76">
        <v>31708.636471694503</v>
      </c>
      <c r="P117" s="15">
        <v>-23.040091364818672</v>
      </c>
      <c r="Q117" s="15">
        <v>-167.80384877100903</v>
      </c>
      <c r="R117" s="15">
        <v>-18643.136471694503</v>
      </c>
      <c r="S117" s="15">
        <v>-5369.7231606722889</v>
      </c>
      <c r="T117" s="15">
        <v>-13273.413311022212</v>
      </c>
      <c r="U117" s="78">
        <v>0.58139438373923602</v>
      </c>
      <c r="V117" s="17" t="s">
        <v>364</v>
      </c>
      <c r="W117" s="17" t="s">
        <v>364</v>
      </c>
      <c r="X117" s="17" t="s">
        <v>364</v>
      </c>
      <c r="Y117" s="17" t="s">
        <v>364</v>
      </c>
      <c r="Z117" s="86"/>
      <c r="AA117" s="86"/>
      <c r="AB117"/>
    </row>
    <row r="118" spans="1:28" collapsed="1" x14ac:dyDescent="0.25">
      <c r="A118" s="21" t="s">
        <v>145</v>
      </c>
      <c r="B118" s="21" t="s">
        <v>216</v>
      </c>
      <c r="C118" s="21" t="s">
        <v>172</v>
      </c>
      <c r="D118" s="15">
        <v>39.695652173913047</v>
      </c>
      <c r="E118" s="57">
        <v>807.61530120481927</v>
      </c>
      <c r="F118" s="15">
        <v>32058.816086956525</v>
      </c>
      <c r="G118" s="15">
        <v>70.782608695652172</v>
      </c>
      <c r="H118" s="57">
        <v>609.20317567567588</v>
      </c>
      <c r="I118" s="15">
        <v>43120.990000000013</v>
      </c>
      <c r="J118" s="15">
        <v>36</v>
      </c>
      <c r="K118" s="57">
        <v>586.68638888888881</v>
      </c>
      <c r="L118" s="15">
        <v>21120.71</v>
      </c>
      <c r="M118" s="15">
        <v>77.478260869565219</v>
      </c>
      <c r="N118" s="15">
        <v>791.6111111111112</v>
      </c>
      <c r="O118" s="15">
        <v>61332.652173913048</v>
      </c>
      <c r="P118" s="15">
        <v>-41.478260869565219</v>
      </c>
      <c r="Q118" s="15">
        <v>-204.92472222222239</v>
      </c>
      <c r="R118" s="15">
        <v>-40211.942173913048</v>
      </c>
      <c r="S118" s="15">
        <v>-7377.2900000000063</v>
      </c>
      <c r="T118" s="15">
        <v>-32834.652173913048</v>
      </c>
      <c r="U118" s="17">
        <v>0.46464646464646464</v>
      </c>
      <c r="V118" s="17">
        <v>-9.3099671412924495E-2</v>
      </c>
      <c r="W118" s="17">
        <v>-0.34118870944229324</v>
      </c>
      <c r="X118" s="17">
        <v>-0.49140049140049141</v>
      </c>
      <c r="Y118" s="17">
        <v>-0.5101988613897781</v>
      </c>
      <c r="Z118" s="86"/>
      <c r="AA118" s="86"/>
      <c r="AB118"/>
    </row>
    <row r="119" spans="1:28" hidden="1" outlineLevel="1" x14ac:dyDescent="0.25">
      <c r="A119" s="21" t="s">
        <v>364</v>
      </c>
      <c r="B119" s="21" t="s">
        <v>364</v>
      </c>
      <c r="C119" s="21" t="s">
        <v>362</v>
      </c>
      <c r="D119" s="15">
        <v>7.6521739130434785</v>
      </c>
      <c r="E119" s="57">
        <v>1503.319375</v>
      </c>
      <c r="F119" s="15">
        <v>11503.661304347826</v>
      </c>
      <c r="G119" s="15">
        <v>10.043478260869566</v>
      </c>
      <c r="H119" s="57">
        <v>1304.1423809523808</v>
      </c>
      <c r="I119" s="15">
        <v>13098.125652173912</v>
      </c>
      <c r="J119" s="15">
        <v>7</v>
      </c>
      <c r="K119" s="57">
        <v>1195.2728571428572</v>
      </c>
      <c r="L119" s="15">
        <v>8366.91</v>
      </c>
      <c r="M119" s="76">
        <v>12.394357211896422</v>
      </c>
      <c r="N119" s="76">
        <v>1026.9804192322049</v>
      </c>
      <c r="O119" s="76">
        <v>12728.76216558709</v>
      </c>
      <c r="P119" s="15">
        <v>-5.3943572118964216</v>
      </c>
      <c r="Q119" s="15">
        <v>168.29243791065232</v>
      </c>
      <c r="R119" s="15">
        <v>-4361.85216558709</v>
      </c>
      <c r="S119" s="15">
        <v>1178.0470653745663</v>
      </c>
      <c r="T119" s="15">
        <v>-5539.8992309616551</v>
      </c>
      <c r="U119" s="78">
        <v>0.56477313670459817</v>
      </c>
      <c r="V119" s="17">
        <v>-8.5227272727272749E-2</v>
      </c>
      <c r="W119" s="17">
        <v>-0.27267417054101606</v>
      </c>
      <c r="X119" s="17">
        <v>-0.30303030303030309</v>
      </c>
      <c r="Y119" s="17">
        <v>-0.36121318254331042</v>
      </c>
      <c r="Z119" s="86"/>
      <c r="AA119" s="86"/>
      <c r="AB119"/>
    </row>
    <row r="120" spans="1:28" hidden="1" outlineLevel="1" x14ac:dyDescent="0.25">
      <c r="A120" s="21" t="s">
        <v>364</v>
      </c>
      <c r="B120" s="21" t="s">
        <v>364</v>
      </c>
      <c r="C120" s="21" t="s">
        <v>363</v>
      </c>
      <c r="D120" s="15">
        <v>32.043478260869563</v>
      </c>
      <c r="E120" s="57">
        <v>641.47701492537351</v>
      </c>
      <c r="F120" s="15">
        <v>20555.154782608704</v>
      </c>
      <c r="G120" s="15">
        <v>60.739130434782609</v>
      </c>
      <c r="H120" s="57">
        <v>494.2919685039372</v>
      </c>
      <c r="I120" s="15">
        <v>30022.8643478261</v>
      </c>
      <c r="J120" s="15">
        <v>29</v>
      </c>
      <c r="K120" s="57">
        <v>439.78620689655179</v>
      </c>
      <c r="L120" s="15">
        <v>12753.800000000001</v>
      </c>
      <c r="M120" s="76">
        <v>65.083903657668799</v>
      </c>
      <c r="N120" s="76">
        <v>746.78818074550122</v>
      </c>
      <c r="O120" s="76">
        <v>48603.890008325958</v>
      </c>
      <c r="P120" s="15">
        <v>-36.083903657668799</v>
      </c>
      <c r="Q120" s="15">
        <v>-307.00197384894943</v>
      </c>
      <c r="R120" s="15">
        <v>-35850.090008325955</v>
      </c>
      <c r="S120" s="15">
        <v>-8903.0572416195337</v>
      </c>
      <c r="T120" s="15">
        <v>-26947.032766706419</v>
      </c>
      <c r="U120" s="78">
        <v>0.44557868182792915</v>
      </c>
      <c r="V120" s="17">
        <v>-9.4979647218453117E-2</v>
      </c>
      <c r="W120" s="17">
        <v>-0.37953276757659204</v>
      </c>
      <c r="X120" s="17">
        <v>-0.52254831782390843</v>
      </c>
      <c r="Y120" s="17">
        <v>-0.57519709471280067</v>
      </c>
      <c r="Z120" s="86"/>
      <c r="AA120" s="86"/>
      <c r="AB120"/>
    </row>
    <row r="121" spans="1:28" collapsed="1" x14ac:dyDescent="0.25">
      <c r="A121" s="21" t="s">
        <v>145</v>
      </c>
      <c r="B121" s="21" t="s">
        <v>216</v>
      </c>
      <c r="C121" s="21" t="s">
        <v>173</v>
      </c>
      <c r="D121" s="15">
        <v>49.260869565217391</v>
      </c>
      <c r="E121" s="57">
        <v>678.74854368932085</v>
      </c>
      <c r="F121" s="15">
        <v>33435.743478260891</v>
      </c>
      <c r="G121" s="15">
        <v>76.521739130434781</v>
      </c>
      <c r="H121" s="57">
        <v>585.10400000000004</v>
      </c>
      <c r="I121" s="15">
        <v>44773.175652173915</v>
      </c>
      <c r="J121" s="15">
        <v>35</v>
      </c>
      <c r="K121" s="57">
        <v>1416.6679999999999</v>
      </c>
      <c r="L121" s="15">
        <v>49583.38</v>
      </c>
      <c r="M121" s="15">
        <v>83.695652173913047</v>
      </c>
      <c r="N121" s="15">
        <v>791.09714285714279</v>
      </c>
      <c r="O121" s="15">
        <v>66211.391304347824</v>
      </c>
      <c r="P121" s="15">
        <v>-48.695652173913047</v>
      </c>
      <c r="Q121" s="15">
        <v>625.57085714285711</v>
      </c>
      <c r="R121" s="15">
        <v>-16628.011304347827</v>
      </c>
      <c r="S121" s="15">
        <v>21894.98</v>
      </c>
      <c r="T121" s="15">
        <v>-38522.991304347823</v>
      </c>
      <c r="U121" s="17">
        <v>0.41818181818181815</v>
      </c>
      <c r="V121" s="17">
        <v>-0.28949691085613416</v>
      </c>
      <c r="W121" s="17">
        <v>0.4829453405825388</v>
      </c>
      <c r="X121" s="17">
        <v>-0.54261363636363635</v>
      </c>
      <c r="Y121" s="17">
        <v>0.10743496028056539</v>
      </c>
      <c r="Z121" s="86"/>
      <c r="AA121" s="86"/>
      <c r="AB121"/>
    </row>
    <row r="122" spans="1:28" hidden="1" outlineLevel="1" x14ac:dyDescent="0.25">
      <c r="A122" s="21" t="s">
        <v>364</v>
      </c>
      <c r="B122" s="21" t="s">
        <v>364</v>
      </c>
      <c r="C122" s="21" t="s">
        <v>362</v>
      </c>
      <c r="D122" s="15">
        <v>12.913043478260869</v>
      </c>
      <c r="E122" s="57">
        <v>631.15703703703718</v>
      </c>
      <c r="F122" s="15">
        <v>8150.1582608695662</v>
      </c>
      <c r="G122" s="15">
        <v>11.956521739130435</v>
      </c>
      <c r="H122" s="57">
        <v>987.67919999999992</v>
      </c>
      <c r="I122" s="15">
        <v>11809.207826086957</v>
      </c>
      <c r="J122" s="15">
        <v>3</v>
      </c>
      <c r="K122" s="57">
        <v>2580.5499999999997</v>
      </c>
      <c r="L122" s="15">
        <v>7741.65</v>
      </c>
      <c r="M122" s="76">
        <v>13.388966123962184</v>
      </c>
      <c r="N122" s="76">
        <v>1026.3136330722791</v>
      </c>
      <c r="O122" s="76">
        <v>13741.278465765299</v>
      </c>
      <c r="P122" s="15">
        <v>-10.388966123962184</v>
      </c>
      <c r="Q122" s="15">
        <v>1554.2363669277206</v>
      </c>
      <c r="R122" s="15">
        <v>-5999.6284657652996</v>
      </c>
      <c r="S122" s="15">
        <v>4662.7091007831623</v>
      </c>
      <c r="T122" s="15">
        <v>-10662.337566548464</v>
      </c>
      <c r="U122" s="78">
        <v>0.22406509750076303</v>
      </c>
      <c r="V122" s="17">
        <v>-0.76767676767676762</v>
      </c>
      <c r="W122" s="17">
        <v>-5.0122739681128785E-2</v>
      </c>
      <c r="X122" s="17">
        <v>-0.74909090909090914</v>
      </c>
      <c r="Y122" s="17">
        <v>-0.34443951584132326</v>
      </c>
      <c r="Z122" s="86"/>
      <c r="AA122" s="86"/>
      <c r="AB122"/>
    </row>
    <row r="123" spans="1:28" hidden="1" outlineLevel="1" x14ac:dyDescent="0.25">
      <c r="A123" s="21" t="s">
        <v>364</v>
      </c>
      <c r="B123" s="21" t="s">
        <v>364</v>
      </c>
      <c r="C123" s="21" t="s">
        <v>363</v>
      </c>
      <c r="D123" s="15">
        <v>36.347826086956523</v>
      </c>
      <c r="E123" s="57">
        <v>695.65605263157954</v>
      </c>
      <c r="F123" s="15">
        <v>25285.585217391326</v>
      </c>
      <c r="G123" s="15">
        <v>64.565217391304344</v>
      </c>
      <c r="H123" s="57">
        <v>510.55303703703714</v>
      </c>
      <c r="I123" s="15">
        <v>32963.967826086962</v>
      </c>
      <c r="J123" s="15">
        <v>32</v>
      </c>
      <c r="K123" s="57">
        <v>1307.5540624999999</v>
      </c>
      <c r="L123" s="15">
        <v>41841.729999999996</v>
      </c>
      <c r="M123" s="76">
        <v>70.306686049950869</v>
      </c>
      <c r="N123" s="76">
        <v>746.30331461369167</v>
      </c>
      <c r="O123" s="76">
        <v>52470.112838582529</v>
      </c>
      <c r="P123" s="15">
        <v>-38.306686049950869</v>
      </c>
      <c r="Q123" s="15">
        <v>561.2507478863082</v>
      </c>
      <c r="R123" s="15">
        <v>-10628.382838582533</v>
      </c>
      <c r="S123" s="15">
        <v>17960.023932361863</v>
      </c>
      <c r="T123" s="15">
        <v>-28588.406770944399</v>
      </c>
      <c r="U123" s="78">
        <v>0.45514874612728756</v>
      </c>
      <c r="V123" s="17">
        <v>-0.11961722488038282</v>
      </c>
      <c r="W123" s="17">
        <v>0.65476613019901231</v>
      </c>
      <c r="X123" s="17">
        <v>-0.50437710437710437</v>
      </c>
      <c r="Y123" s="17">
        <v>0.26931715929195171</v>
      </c>
      <c r="Z123" s="86"/>
      <c r="AA123" s="86"/>
      <c r="AB123"/>
    </row>
    <row r="124" spans="1:28" collapsed="1" x14ac:dyDescent="0.25">
      <c r="A124" s="21" t="s">
        <v>145</v>
      </c>
      <c r="B124" s="21" t="s">
        <v>216</v>
      </c>
      <c r="C124" s="21" t="s">
        <v>174</v>
      </c>
      <c r="D124" s="15">
        <v>60.739130434782609</v>
      </c>
      <c r="E124" s="57">
        <v>660.30866141732304</v>
      </c>
      <c r="F124" s="15">
        <v>40106.573913043489</v>
      </c>
      <c r="G124" s="15">
        <v>94.695652173913047</v>
      </c>
      <c r="H124" s="57">
        <v>716.00949494949498</v>
      </c>
      <c r="I124" s="15">
        <v>67802.986086956531</v>
      </c>
      <c r="J124" s="15">
        <v>79</v>
      </c>
      <c r="K124" s="57">
        <v>1024.4917721518987</v>
      </c>
      <c r="L124" s="15">
        <v>80934.849999999991</v>
      </c>
      <c r="M124" s="15">
        <v>61.695652173913047</v>
      </c>
      <c r="N124" s="15">
        <v>793.22480620155045</v>
      </c>
      <c r="O124" s="15">
        <v>48938.52173913044</v>
      </c>
      <c r="P124" s="15">
        <v>17.304347826086953</v>
      </c>
      <c r="Q124" s="15">
        <v>231.26696595034821</v>
      </c>
      <c r="R124" s="15">
        <v>31996.328260869552</v>
      </c>
      <c r="S124" s="15">
        <v>18270.090310077507</v>
      </c>
      <c r="T124" s="15">
        <v>13726.237950792045</v>
      </c>
      <c r="U124" s="17">
        <v>1.2804792107117688</v>
      </c>
      <c r="V124" s="17">
        <v>0.30064423765211168</v>
      </c>
      <c r="W124" s="17">
        <v>1.0179946104466007</v>
      </c>
      <c r="X124" s="17">
        <v>-0.16574839302112032</v>
      </c>
      <c r="Y124" s="17">
        <v>0.19367677842686751</v>
      </c>
      <c r="Z124" s="86"/>
      <c r="AA124" s="86"/>
      <c r="AB124"/>
    </row>
    <row r="125" spans="1:28" hidden="1" outlineLevel="1" x14ac:dyDescent="0.25">
      <c r="A125" s="21" t="s">
        <v>364</v>
      </c>
      <c r="B125" s="21" t="s">
        <v>364</v>
      </c>
      <c r="C125" s="21" t="s">
        <v>362</v>
      </c>
      <c r="D125" s="15">
        <v>13.869565217391305</v>
      </c>
      <c r="E125" s="57">
        <v>682.44068965517249</v>
      </c>
      <c r="F125" s="15">
        <v>9465.1556521739149</v>
      </c>
      <c r="G125" s="15">
        <v>21.521739130434785</v>
      </c>
      <c r="H125" s="57">
        <v>758.59911111111114</v>
      </c>
      <c r="I125" s="15">
        <v>16326.372173913047</v>
      </c>
      <c r="J125" s="15">
        <v>14</v>
      </c>
      <c r="K125" s="57">
        <v>1280.5135714285716</v>
      </c>
      <c r="L125" s="15">
        <v>17927.190000000002</v>
      </c>
      <c r="M125" s="76">
        <v>9.8695807428064111</v>
      </c>
      <c r="N125" s="76">
        <v>1029.0739134204891</v>
      </c>
      <c r="O125" s="76">
        <v>10156.52807881929</v>
      </c>
      <c r="P125" s="15">
        <v>4.1304192571935889</v>
      </c>
      <c r="Q125" s="15">
        <v>251.43965800808246</v>
      </c>
      <c r="R125" s="15">
        <v>7770.6619211807119</v>
      </c>
      <c r="S125" s="15">
        <v>3520.1552121131544</v>
      </c>
      <c r="T125" s="15">
        <v>4250.5067090675566</v>
      </c>
      <c r="U125" s="78">
        <v>1.4184999712580604</v>
      </c>
      <c r="V125" s="17">
        <v>9.4043887147335203E-3</v>
      </c>
      <c r="W125" s="17">
        <v>0.8940195659521526</v>
      </c>
      <c r="X125" s="17">
        <v>-0.34949494949494958</v>
      </c>
      <c r="Y125" s="17">
        <v>9.8051043369255561E-2</v>
      </c>
      <c r="Z125" s="86"/>
      <c r="AA125" s="86"/>
      <c r="AB125"/>
    </row>
    <row r="126" spans="1:28" hidden="1" outlineLevel="1" x14ac:dyDescent="0.25">
      <c r="A126" s="21" t="s">
        <v>364</v>
      </c>
      <c r="B126" s="21" t="s">
        <v>364</v>
      </c>
      <c r="C126" s="21" t="s">
        <v>363</v>
      </c>
      <c r="D126" s="15">
        <v>46.869565217391305</v>
      </c>
      <c r="E126" s="57">
        <v>653.75938775510224</v>
      </c>
      <c r="F126" s="15">
        <v>30641.418260869577</v>
      </c>
      <c r="G126" s="15">
        <v>73.173913043478265</v>
      </c>
      <c r="H126" s="57">
        <v>703.48313725490198</v>
      </c>
      <c r="I126" s="15">
        <v>51476.613913043482</v>
      </c>
      <c r="J126" s="15">
        <v>65</v>
      </c>
      <c r="K126" s="57">
        <v>969.3486153846153</v>
      </c>
      <c r="L126" s="15">
        <v>63007.659999999996</v>
      </c>
      <c r="M126" s="76">
        <v>51.826071431106634</v>
      </c>
      <c r="N126" s="76">
        <v>748.31050452791465</v>
      </c>
      <c r="O126" s="76">
        <v>38781.993660311149</v>
      </c>
      <c r="P126" s="15">
        <v>13.173928568893366</v>
      </c>
      <c r="Q126" s="15">
        <v>221.03811085670065</v>
      </c>
      <c r="R126" s="15">
        <v>24225.666339688847</v>
      </c>
      <c r="S126" s="15">
        <v>14367.477205685542</v>
      </c>
      <c r="T126" s="15">
        <v>9858.1891340033035</v>
      </c>
      <c r="U126" s="78">
        <v>1.2541950065886378</v>
      </c>
      <c r="V126" s="17">
        <v>0.38682745825602965</v>
      </c>
      <c r="W126" s="17">
        <v>1.0562905888877707</v>
      </c>
      <c r="X126" s="17">
        <v>-0.11170528817587647</v>
      </c>
      <c r="Y126" s="17">
        <v>0.22400552814983624</v>
      </c>
      <c r="Z126" s="86"/>
      <c r="AA126" s="86"/>
      <c r="AB126"/>
    </row>
    <row r="127" spans="1:28" collapsed="1" x14ac:dyDescent="0.25">
      <c r="A127" s="21" t="s">
        <v>145</v>
      </c>
      <c r="B127" s="21" t="s">
        <v>216</v>
      </c>
      <c r="C127" s="21" t="s">
        <v>175</v>
      </c>
      <c r="D127" s="15">
        <v>0</v>
      </c>
      <c r="E127" s="57" t="s">
        <v>364</v>
      </c>
      <c r="F127" s="15">
        <v>0</v>
      </c>
      <c r="G127" s="15">
        <v>0</v>
      </c>
      <c r="H127" s="57" t="s">
        <v>364</v>
      </c>
      <c r="I127" s="15">
        <v>0</v>
      </c>
      <c r="J127" s="15">
        <v>44</v>
      </c>
      <c r="K127" s="57">
        <v>868.01272727272726</v>
      </c>
      <c r="L127" s="15">
        <v>38192.559999999998</v>
      </c>
      <c r="M127" s="15">
        <v>83.695652173913047</v>
      </c>
      <c r="N127" s="15">
        <v>701.00571428571425</v>
      </c>
      <c r="O127" s="15">
        <v>58671.130434782608</v>
      </c>
      <c r="P127" s="15">
        <v>-39.695652173913047</v>
      </c>
      <c r="Q127" s="15">
        <v>167.00701298701301</v>
      </c>
      <c r="R127" s="15">
        <v>-20478.57043478261</v>
      </c>
      <c r="S127" s="15">
        <v>7348.3085714285726</v>
      </c>
      <c r="T127" s="15">
        <v>-27826.87900621118</v>
      </c>
      <c r="U127" s="17">
        <v>0.52571428571428569</v>
      </c>
      <c r="V127" s="17" t="s">
        <v>364</v>
      </c>
      <c r="W127" s="17" t="s">
        <v>364</v>
      </c>
      <c r="X127" s="17" t="s">
        <v>364</v>
      </c>
      <c r="Y127" s="17" t="s">
        <v>364</v>
      </c>
      <c r="Z127" s="86"/>
      <c r="AA127" s="86"/>
      <c r="AB127"/>
    </row>
    <row r="128" spans="1:28" hidden="1" outlineLevel="1" x14ac:dyDescent="0.25">
      <c r="A128" s="21" t="s">
        <v>364</v>
      </c>
      <c r="B128" s="21" t="s">
        <v>364</v>
      </c>
      <c r="C128" s="21" t="s">
        <v>362</v>
      </c>
      <c r="D128" s="15">
        <v>0</v>
      </c>
      <c r="E128" s="57" t="s">
        <v>364</v>
      </c>
      <c r="F128" s="15">
        <v>0</v>
      </c>
      <c r="G128" s="15">
        <v>0</v>
      </c>
      <c r="H128" s="57" t="s">
        <v>364</v>
      </c>
      <c r="I128" s="15">
        <v>0</v>
      </c>
      <c r="J128" s="15">
        <v>16</v>
      </c>
      <c r="K128" s="57">
        <v>739.44375000000002</v>
      </c>
      <c r="L128" s="15">
        <v>11831.1</v>
      </c>
      <c r="M128" s="76">
        <v>13.388966123962184</v>
      </c>
      <c r="N128" s="76">
        <v>909.435368246449</v>
      </c>
      <c r="O128" s="76">
        <v>12176.399337384781</v>
      </c>
      <c r="P128" s="15">
        <v>2.6110338760378156</v>
      </c>
      <c r="Q128" s="15">
        <v>-169.99161824644898</v>
      </c>
      <c r="R128" s="15">
        <v>-345.2993373847803</v>
      </c>
      <c r="S128" s="15">
        <v>-2719.8658919431837</v>
      </c>
      <c r="T128" s="15">
        <v>2374.5665545584038</v>
      </c>
      <c r="U128" s="78">
        <v>1.1950138533374028</v>
      </c>
      <c r="V128" s="17" t="s">
        <v>364</v>
      </c>
      <c r="W128" s="17" t="s">
        <v>364</v>
      </c>
      <c r="X128" s="17" t="s">
        <v>364</v>
      </c>
      <c r="Y128" s="17" t="s">
        <v>364</v>
      </c>
      <c r="Z128" s="86"/>
      <c r="AA128" s="86"/>
      <c r="AB128"/>
    </row>
    <row r="129" spans="1:28" hidden="1" outlineLevel="1" x14ac:dyDescent="0.25">
      <c r="A129" s="21" t="s">
        <v>364</v>
      </c>
      <c r="B129" s="21" t="s">
        <v>364</v>
      </c>
      <c r="C129" s="21" t="s">
        <v>363</v>
      </c>
      <c r="D129" s="15">
        <v>0</v>
      </c>
      <c r="E129" s="57" t="s">
        <v>364</v>
      </c>
      <c r="F129" s="15">
        <v>0</v>
      </c>
      <c r="G129" s="15">
        <v>0</v>
      </c>
      <c r="H129" s="57" t="s">
        <v>364</v>
      </c>
      <c r="I129" s="15">
        <v>0</v>
      </c>
      <c r="J129" s="15">
        <v>28</v>
      </c>
      <c r="K129" s="57">
        <v>941.48071428571427</v>
      </c>
      <c r="L129" s="15">
        <v>26361.46</v>
      </c>
      <c r="M129" s="76">
        <v>70.306686049950869</v>
      </c>
      <c r="N129" s="76">
        <v>661.3130800158134</v>
      </c>
      <c r="O129" s="76">
        <v>46494.731097397831</v>
      </c>
      <c r="P129" s="15">
        <v>-42.306686049950869</v>
      </c>
      <c r="Q129" s="15">
        <v>280.16763426990087</v>
      </c>
      <c r="R129" s="15">
        <v>-20133.271097397832</v>
      </c>
      <c r="S129" s="15">
        <v>7844.6937595572244</v>
      </c>
      <c r="T129" s="15">
        <v>-27977.964856955055</v>
      </c>
      <c r="U129" s="78">
        <v>0.39825515286137664</v>
      </c>
      <c r="V129" s="17" t="s">
        <v>364</v>
      </c>
      <c r="W129" s="17" t="s">
        <v>364</v>
      </c>
      <c r="X129" s="17" t="s">
        <v>364</v>
      </c>
      <c r="Y129" s="17" t="s">
        <v>364</v>
      </c>
      <c r="Z129" s="86"/>
      <c r="AA129" s="86"/>
      <c r="AB129"/>
    </row>
    <row r="130" spans="1:28" collapsed="1" x14ac:dyDescent="0.25">
      <c r="A130" s="21" t="s">
        <v>145</v>
      </c>
      <c r="B130" s="21" t="s">
        <v>216</v>
      </c>
      <c r="C130" s="21" t="s">
        <v>176</v>
      </c>
      <c r="D130" s="15">
        <v>47.347826086956523</v>
      </c>
      <c r="E130" s="57">
        <v>404.61222222222227</v>
      </c>
      <c r="F130" s="15">
        <v>19157.509130434784</v>
      </c>
      <c r="G130" s="15">
        <v>106.65217391304348</v>
      </c>
      <c r="H130" s="57">
        <v>387.73829596412554</v>
      </c>
      <c r="I130" s="15">
        <v>41353.132173913044</v>
      </c>
      <c r="J130" s="15">
        <v>60</v>
      </c>
      <c r="K130" s="57">
        <v>762.32316666666679</v>
      </c>
      <c r="L130" s="15">
        <v>45739.390000000007</v>
      </c>
      <c r="M130" s="15">
        <v>88</v>
      </c>
      <c r="N130" s="15">
        <v>639.71195652173913</v>
      </c>
      <c r="O130" s="15">
        <v>56294.652173913048</v>
      </c>
      <c r="P130" s="15">
        <v>-28</v>
      </c>
      <c r="Q130" s="15">
        <v>122.61121014492767</v>
      </c>
      <c r="R130" s="15">
        <v>-10555.262173913041</v>
      </c>
      <c r="S130" s="15">
        <v>7356.6726086956605</v>
      </c>
      <c r="T130" s="15">
        <v>-17911.934782608696</v>
      </c>
      <c r="U130" s="17">
        <v>0.68181818181818177</v>
      </c>
      <c r="V130" s="17">
        <v>0.26721763085399447</v>
      </c>
      <c r="W130" s="17">
        <v>1.3875436878866276</v>
      </c>
      <c r="X130" s="17">
        <v>-0.43742356298410112</v>
      </c>
      <c r="Y130" s="17">
        <v>0.10606833377554804</v>
      </c>
      <c r="Z130" s="86"/>
      <c r="AA130" s="86"/>
      <c r="AB130"/>
    </row>
    <row r="131" spans="1:28" hidden="1" outlineLevel="1" x14ac:dyDescent="0.25">
      <c r="A131" s="21" t="s">
        <v>364</v>
      </c>
      <c r="B131" s="21" t="s">
        <v>364</v>
      </c>
      <c r="C131" s="21" t="s">
        <v>362</v>
      </c>
      <c r="D131" s="15">
        <v>4.7826086956521738</v>
      </c>
      <c r="E131" s="57">
        <v>312.94200000000006</v>
      </c>
      <c r="F131" s="15">
        <v>1496.6791304347828</v>
      </c>
      <c r="G131" s="15">
        <v>20.565217391304348</v>
      </c>
      <c r="H131" s="57">
        <v>555.41511627906982</v>
      </c>
      <c r="I131" s="15">
        <v>11422.232608695653</v>
      </c>
      <c r="J131" s="15">
        <v>13</v>
      </c>
      <c r="K131" s="57">
        <v>786.53230769230765</v>
      </c>
      <c r="L131" s="15">
        <v>10224.92</v>
      </c>
      <c r="M131" s="76">
        <v>14.077541524623097</v>
      </c>
      <c r="N131" s="76">
        <v>829.9171702812755</v>
      </c>
      <c r="O131" s="76">
        <v>11683.193426632353</v>
      </c>
      <c r="P131" s="15">
        <v>-1.077541524623097</v>
      </c>
      <c r="Q131" s="15">
        <v>-43.384862588967849</v>
      </c>
      <c r="R131" s="15">
        <v>-1458.2734266323532</v>
      </c>
      <c r="S131" s="15">
        <v>-564.00321365658203</v>
      </c>
      <c r="T131" s="15">
        <v>-894.2702129757721</v>
      </c>
      <c r="U131" s="78">
        <v>0.92345669712723888</v>
      </c>
      <c r="V131" s="17">
        <v>1.7181818181818183</v>
      </c>
      <c r="W131" s="17">
        <v>5.8317382076609023</v>
      </c>
      <c r="X131" s="17">
        <v>-0.3678646934460888</v>
      </c>
      <c r="Y131" s="17">
        <v>-0.10482299299211857</v>
      </c>
      <c r="Z131" s="86"/>
      <c r="AA131" s="86"/>
      <c r="AB131"/>
    </row>
    <row r="132" spans="1:28" hidden="1" outlineLevel="1" x14ac:dyDescent="0.25">
      <c r="A132" s="21" t="s">
        <v>364</v>
      </c>
      <c r="B132" s="21" t="s">
        <v>364</v>
      </c>
      <c r="C132" s="21" t="s">
        <v>363</v>
      </c>
      <c r="D132" s="15">
        <v>42.565217391304351</v>
      </c>
      <c r="E132" s="57">
        <v>414.91224719101126</v>
      </c>
      <c r="F132" s="15">
        <v>17660.830000000002</v>
      </c>
      <c r="G132" s="15">
        <v>86.08695652173914</v>
      </c>
      <c r="H132" s="57">
        <v>347.68216666666666</v>
      </c>
      <c r="I132" s="15">
        <v>29930.899565217394</v>
      </c>
      <c r="J132" s="15">
        <v>47</v>
      </c>
      <c r="K132" s="57">
        <v>755.62702127659588</v>
      </c>
      <c r="L132" s="15">
        <v>35514.470000000008</v>
      </c>
      <c r="M132" s="76">
        <v>73.922458475376899</v>
      </c>
      <c r="N132" s="76">
        <v>603.48992264834499</v>
      </c>
      <c r="O132" s="76">
        <v>44611.458747280696</v>
      </c>
      <c r="P132" s="15">
        <v>-26.922458475376899</v>
      </c>
      <c r="Q132" s="15">
        <v>152.1370986282509</v>
      </c>
      <c r="R132" s="15">
        <v>-9096.9887472806877</v>
      </c>
      <c r="S132" s="15">
        <v>7150.4436355277921</v>
      </c>
      <c r="T132" s="15">
        <v>-16247.432382808485</v>
      </c>
      <c r="U132" s="78">
        <v>0.63580136496211637</v>
      </c>
      <c r="V132" s="17">
        <v>0.10418794688457601</v>
      </c>
      <c r="W132" s="17">
        <v>1.0109173804402174</v>
      </c>
      <c r="X132" s="17">
        <v>-0.45404040404040408</v>
      </c>
      <c r="Y132" s="17">
        <v>0.18654870103774843</v>
      </c>
      <c r="Z132" s="86"/>
      <c r="AA132" s="86"/>
      <c r="AB132"/>
    </row>
    <row r="133" spans="1:28" collapsed="1" x14ac:dyDescent="0.25">
      <c r="A133" s="21" t="s">
        <v>144</v>
      </c>
      <c r="B133" s="21" t="s">
        <v>147</v>
      </c>
      <c r="C133" s="21" t="s">
        <v>177</v>
      </c>
      <c r="D133" s="15">
        <v>56.434782608695656</v>
      </c>
      <c r="E133" s="57">
        <v>748.4152542372882</v>
      </c>
      <c r="F133" s="15">
        <v>42236.652173913048</v>
      </c>
      <c r="G133" s="15">
        <v>73.652173913043484</v>
      </c>
      <c r="H133" s="57">
        <v>974.52597402597405</v>
      </c>
      <c r="I133" s="15">
        <v>71775.956521739135</v>
      </c>
      <c r="J133" s="15">
        <v>46</v>
      </c>
      <c r="K133" s="57">
        <v>538.45652173913038</v>
      </c>
      <c r="L133" s="15">
        <v>24769</v>
      </c>
      <c r="M133" s="15">
        <v>81.304347826086953</v>
      </c>
      <c r="N133" s="15">
        <v>873.0235294117648</v>
      </c>
      <c r="O133" s="15">
        <v>70980.608695652176</v>
      </c>
      <c r="P133" s="15">
        <v>-35.304347826086953</v>
      </c>
      <c r="Q133" s="15">
        <v>-334.56700767263442</v>
      </c>
      <c r="R133" s="15">
        <v>-46211.608695652176</v>
      </c>
      <c r="S133" s="15">
        <v>-15390.082352941183</v>
      </c>
      <c r="T133" s="15">
        <v>-30821.526342710997</v>
      </c>
      <c r="U133" s="17">
        <v>0.56577540106951874</v>
      </c>
      <c r="V133" s="17">
        <v>-0.18489984591679512</v>
      </c>
      <c r="W133" s="17">
        <v>-0.41356621026658286</v>
      </c>
      <c r="X133" s="17">
        <v>-0.37544273907910275</v>
      </c>
      <c r="Y133" s="17">
        <v>-0.65491229653626293</v>
      </c>
      <c r="Z133" s="86"/>
      <c r="AA133" s="86"/>
      <c r="AB133"/>
    </row>
    <row r="134" spans="1:28" hidden="1" outlineLevel="1" x14ac:dyDescent="0.25">
      <c r="A134" s="21" t="s">
        <v>364</v>
      </c>
      <c r="B134" s="21" t="s">
        <v>364</v>
      </c>
      <c r="C134" s="21" t="s">
        <v>362</v>
      </c>
      <c r="D134" s="15">
        <v>13.391304347826088</v>
      </c>
      <c r="E134" s="57">
        <v>500.32142857142856</v>
      </c>
      <c r="F134" s="15">
        <v>6699.9565217391309</v>
      </c>
      <c r="G134" s="15">
        <v>19.608695652173914</v>
      </c>
      <c r="H134" s="57">
        <v>1529.560487804878</v>
      </c>
      <c r="I134" s="15">
        <v>29992.686086956521</v>
      </c>
      <c r="J134" s="15">
        <v>18</v>
      </c>
      <c r="K134" s="57">
        <v>478.61111111111109</v>
      </c>
      <c r="L134" s="15">
        <v>8615</v>
      </c>
      <c r="M134" s="76">
        <v>24.291600484367883</v>
      </c>
      <c r="N134" s="76">
        <v>969.70659486313184</v>
      </c>
      <c r="O134" s="76">
        <v>23555.725189471985</v>
      </c>
      <c r="P134" s="15">
        <v>-6.2916004843678834</v>
      </c>
      <c r="Q134" s="15">
        <v>-491.09548375202075</v>
      </c>
      <c r="R134" s="15">
        <v>-14940.725189471985</v>
      </c>
      <c r="S134" s="15">
        <v>-8839.7187075363727</v>
      </c>
      <c r="T134" s="15">
        <v>-6101.0064819356112</v>
      </c>
      <c r="U134" s="78">
        <v>0.74099687303779549</v>
      </c>
      <c r="V134" s="17">
        <v>0.34415584415584405</v>
      </c>
      <c r="W134" s="17">
        <v>0.28582923964464391</v>
      </c>
      <c r="X134" s="17">
        <v>-8.2039911308204039E-2</v>
      </c>
      <c r="Y134" s="17">
        <v>-0.71276330585987213</v>
      </c>
      <c r="Z134" s="86"/>
      <c r="AA134" s="86"/>
      <c r="AB134"/>
    </row>
    <row r="135" spans="1:28" hidden="1" outlineLevel="1" x14ac:dyDescent="0.25">
      <c r="A135" s="21" t="s">
        <v>364</v>
      </c>
      <c r="B135" s="21" t="s">
        <v>364</v>
      </c>
      <c r="C135" s="21" t="s">
        <v>363</v>
      </c>
      <c r="D135" s="15">
        <v>43.04347826086957</v>
      </c>
      <c r="E135" s="57">
        <v>825.59999999999991</v>
      </c>
      <c r="F135" s="15">
        <v>35536.695652173912</v>
      </c>
      <c r="G135" s="15">
        <v>54.04347826086957</v>
      </c>
      <c r="H135" s="57">
        <v>773.1417699115043</v>
      </c>
      <c r="I135" s="15">
        <v>41783.270434782607</v>
      </c>
      <c r="J135" s="15">
        <v>28</v>
      </c>
      <c r="K135" s="57">
        <v>576.92857142857144</v>
      </c>
      <c r="L135" s="15">
        <v>16154</v>
      </c>
      <c r="M135" s="76">
        <v>57.01274734171907</v>
      </c>
      <c r="N135" s="76">
        <v>831.82947178335758</v>
      </c>
      <c r="O135" s="76">
        <v>47424.883506180195</v>
      </c>
      <c r="P135" s="15">
        <v>-29.01274734171907</v>
      </c>
      <c r="Q135" s="15">
        <v>-254.90090035478613</v>
      </c>
      <c r="R135" s="15">
        <v>-31270.883506180195</v>
      </c>
      <c r="S135" s="15">
        <v>-7137.2252099340112</v>
      </c>
      <c r="T135" s="15">
        <v>-24133.658296246187</v>
      </c>
      <c r="U135" s="78">
        <v>0.49111823768420654</v>
      </c>
      <c r="V135" s="17">
        <v>-0.34949494949494958</v>
      </c>
      <c r="W135" s="17">
        <v>-0.5454276290032104</v>
      </c>
      <c r="X135" s="17">
        <v>-0.48189863234111024</v>
      </c>
      <c r="Y135" s="17">
        <v>-0.61338593576072598</v>
      </c>
      <c r="Z135" s="86"/>
      <c r="AA135" s="86"/>
      <c r="AB135"/>
    </row>
    <row r="136" spans="1:28" collapsed="1" x14ac:dyDescent="0.25">
      <c r="A136" s="21" t="s">
        <v>144</v>
      </c>
      <c r="B136" s="21" t="s">
        <v>147</v>
      </c>
      <c r="C136" s="21" t="s">
        <v>178</v>
      </c>
      <c r="D136" s="15">
        <v>51.652173913043477</v>
      </c>
      <c r="E136" s="57">
        <v>373.39814814814821</v>
      </c>
      <c r="F136" s="15">
        <v>19286.826086956524</v>
      </c>
      <c r="G136" s="15">
        <v>98.521739130434781</v>
      </c>
      <c r="H136" s="57">
        <v>746.80893203883454</v>
      </c>
      <c r="I136" s="15">
        <v>73576.914782608656</v>
      </c>
      <c r="J136" s="15">
        <v>73</v>
      </c>
      <c r="K136" s="57">
        <v>539.63698630136992</v>
      </c>
      <c r="L136" s="15">
        <v>39393.5</v>
      </c>
      <c r="M136" s="15">
        <v>86.08695652173914</v>
      </c>
      <c r="N136" s="15">
        <v>873.54999999999984</v>
      </c>
      <c r="O136" s="15">
        <v>75201.260869565216</v>
      </c>
      <c r="P136" s="15">
        <v>-13.08695652173914</v>
      </c>
      <c r="Q136" s="15">
        <v>-333.91301369862992</v>
      </c>
      <c r="R136" s="15">
        <v>-35807.760869565216</v>
      </c>
      <c r="S136" s="15">
        <v>-24375.649999999983</v>
      </c>
      <c r="T136" s="15">
        <v>-11432.110869565224</v>
      </c>
      <c r="U136" s="17">
        <v>0.84797979797979783</v>
      </c>
      <c r="V136" s="17">
        <v>0.41329966329966333</v>
      </c>
      <c r="W136" s="17">
        <v>1.0425081774673857</v>
      </c>
      <c r="X136" s="17">
        <v>-0.25904677846425417</v>
      </c>
      <c r="Y136" s="17">
        <v>-0.46459429406094876</v>
      </c>
      <c r="Z136" s="86"/>
      <c r="AA136" s="86"/>
      <c r="AB136"/>
    </row>
    <row r="137" spans="1:28" hidden="1" outlineLevel="1" x14ac:dyDescent="0.25">
      <c r="A137" s="21" t="s">
        <v>364</v>
      </c>
      <c r="B137" s="21" t="s">
        <v>364</v>
      </c>
      <c r="C137" s="21" t="s">
        <v>362</v>
      </c>
      <c r="D137" s="15">
        <v>22.956521739130437</v>
      </c>
      <c r="E137" s="57">
        <v>303.22916666666663</v>
      </c>
      <c r="F137" s="15">
        <v>6961.086956521739</v>
      </c>
      <c r="G137" s="15">
        <v>29.173913043478262</v>
      </c>
      <c r="H137" s="57">
        <v>884.90131147540956</v>
      </c>
      <c r="I137" s="15">
        <v>25816.03391304347</v>
      </c>
      <c r="J137" s="15">
        <v>24</v>
      </c>
      <c r="K137" s="57">
        <v>268.75</v>
      </c>
      <c r="L137" s="15">
        <v>6450</v>
      </c>
      <c r="M137" s="76">
        <v>25.720518159918939</v>
      </c>
      <c r="N137" s="76">
        <v>970.29136948170037</v>
      </c>
      <c r="O137" s="76">
        <v>24956.396789166691</v>
      </c>
      <c r="P137" s="15">
        <v>-1.7205181599189387</v>
      </c>
      <c r="Q137" s="15">
        <v>-701.54136948170037</v>
      </c>
      <c r="R137" s="15">
        <v>-18506.396789166691</v>
      </c>
      <c r="S137" s="15">
        <v>-16836.99286756081</v>
      </c>
      <c r="T137" s="15">
        <v>-1669.4039216058823</v>
      </c>
      <c r="U137" s="78">
        <v>0.9331071734550016</v>
      </c>
      <c r="V137" s="17">
        <v>4.5454545454545345E-2</v>
      </c>
      <c r="W137" s="17">
        <v>-7.3420567752412458E-2</v>
      </c>
      <c r="X137" s="17">
        <v>-0.17734724292101345</v>
      </c>
      <c r="Y137" s="17">
        <v>-0.75015527087833744</v>
      </c>
      <c r="Z137" s="86"/>
      <c r="AA137" s="86"/>
      <c r="AB137"/>
    </row>
    <row r="138" spans="1:28" hidden="1" outlineLevel="1" x14ac:dyDescent="0.25">
      <c r="A138" s="21" t="s">
        <v>364</v>
      </c>
      <c r="B138" s="21" t="s">
        <v>364</v>
      </c>
      <c r="C138" s="21" t="s">
        <v>363</v>
      </c>
      <c r="D138" s="15">
        <v>28.695652173913043</v>
      </c>
      <c r="E138" s="57">
        <v>429.53333333333336</v>
      </c>
      <c r="F138" s="15">
        <v>12325.739130434784</v>
      </c>
      <c r="G138" s="15">
        <v>69.34782608695653</v>
      </c>
      <c r="H138" s="57">
        <v>688.71489655172354</v>
      </c>
      <c r="I138" s="15">
        <v>47760.880869565182</v>
      </c>
      <c r="J138" s="15">
        <v>49</v>
      </c>
      <c r="K138" s="57">
        <v>672.31632653061229</v>
      </c>
      <c r="L138" s="15">
        <v>32943.5</v>
      </c>
      <c r="M138" s="76">
        <v>60.366438361820201</v>
      </c>
      <c r="N138" s="76">
        <v>832.33110059010471</v>
      </c>
      <c r="O138" s="76">
        <v>50244.864080398525</v>
      </c>
      <c r="P138" s="15">
        <v>-11.366438361820201</v>
      </c>
      <c r="Q138" s="15">
        <v>-160.01477405949242</v>
      </c>
      <c r="R138" s="15">
        <v>-17301.364080398525</v>
      </c>
      <c r="S138" s="15">
        <v>-7840.7239289151285</v>
      </c>
      <c r="T138" s="15">
        <v>-9460.6401514833942</v>
      </c>
      <c r="U138" s="78">
        <v>0.81170930950584119</v>
      </c>
      <c r="V138" s="17">
        <v>0.70757575757575764</v>
      </c>
      <c r="W138" s="17">
        <v>1.6727403242419536</v>
      </c>
      <c r="X138" s="17">
        <v>-0.2934169278996866</v>
      </c>
      <c r="Y138" s="17">
        <v>-0.31024094614233361</v>
      </c>
      <c r="Z138" s="86"/>
      <c r="AA138" s="86"/>
      <c r="AB138"/>
    </row>
    <row r="139" spans="1:28" collapsed="1" x14ac:dyDescent="0.25">
      <c r="A139" s="21" t="s">
        <v>144</v>
      </c>
      <c r="B139" s="21" t="s">
        <v>211</v>
      </c>
      <c r="C139" s="21" t="s">
        <v>179</v>
      </c>
      <c r="D139" s="15">
        <v>88.478260869565219</v>
      </c>
      <c r="E139" s="57">
        <v>417.97297297297303</v>
      </c>
      <c r="F139" s="15">
        <v>36981.52173913044</v>
      </c>
      <c r="G139" s="15">
        <v>110</v>
      </c>
      <c r="H139" s="57">
        <v>728.69339130434787</v>
      </c>
      <c r="I139" s="15">
        <v>80156.273043478272</v>
      </c>
      <c r="J139" s="15">
        <v>56</v>
      </c>
      <c r="K139" s="57">
        <v>660.71428571428567</v>
      </c>
      <c r="L139" s="15">
        <v>37000</v>
      </c>
      <c r="M139" s="15">
        <v>99</v>
      </c>
      <c r="N139" s="15">
        <v>792</v>
      </c>
      <c r="O139" s="15">
        <v>78408</v>
      </c>
      <c r="P139" s="15">
        <v>-43</v>
      </c>
      <c r="Q139" s="15">
        <v>-131.28571428571433</v>
      </c>
      <c r="R139" s="15">
        <v>-41408</v>
      </c>
      <c r="S139" s="15">
        <v>-7352.0000000000027</v>
      </c>
      <c r="T139" s="15">
        <v>-34056</v>
      </c>
      <c r="U139" s="17">
        <v>0.56565656565656564</v>
      </c>
      <c r="V139" s="17">
        <v>-0.36707616707616708</v>
      </c>
      <c r="W139" s="17">
        <v>4.9966199335730634E-4</v>
      </c>
      <c r="X139" s="17">
        <v>-0.49090909090909091</v>
      </c>
      <c r="Y139" s="17">
        <v>-0.53840169215539124</v>
      </c>
      <c r="Z139" s="86"/>
      <c r="AA139" s="86"/>
      <c r="AB139"/>
    </row>
    <row r="140" spans="1:28" hidden="1" outlineLevel="1" x14ac:dyDescent="0.25">
      <c r="A140" s="21" t="s">
        <v>364</v>
      </c>
      <c r="B140" s="21" t="s">
        <v>364</v>
      </c>
      <c r="C140" s="21" t="s">
        <v>362</v>
      </c>
      <c r="D140" s="15">
        <v>52.608695652173914</v>
      </c>
      <c r="E140" s="57">
        <v>456.94545454545454</v>
      </c>
      <c r="F140" s="15">
        <v>24039.304347826088</v>
      </c>
      <c r="G140" s="15">
        <v>59.304347826086961</v>
      </c>
      <c r="H140" s="57">
        <v>645.31854838709671</v>
      </c>
      <c r="I140" s="15">
        <v>38270.195652173912</v>
      </c>
      <c r="J140" s="15">
        <v>35</v>
      </c>
      <c r="K140" s="57">
        <v>565.71428571428567</v>
      </c>
      <c r="L140" s="15">
        <v>19800</v>
      </c>
      <c r="M140" s="76">
        <v>47.257231441622189</v>
      </c>
      <c r="N140" s="76">
        <v>774.88851755503072</v>
      </c>
      <c r="O140" s="76">
        <v>36619.086015553607</v>
      </c>
      <c r="P140" s="15">
        <v>-12.257231441622189</v>
      </c>
      <c r="Q140" s="15">
        <v>-209.17423184074505</v>
      </c>
      <c r="R140" s="15">
        <v>-16819.086015553607</v>
      </c>
      <c r="S140" s="15">
        <v>-7321.0981144260768</v>
      </c>
      <c r="T140" s="15">
        <v>-9497.9879011275298</v>
      </c>
      <c r="U140" s="78">
        <v>0.74062739039709102</v>
      </c>
      <c r="V140" s="17">
        <v>-0.33471074380165289</v>
      </c>
      <c r="W140" s="17">
        <v>-0.17634887792455836</v>
      </c>
      <c r="X140" s="17">
        <v>-0.40982404692082114</v>
      </c>
      <c r="Y140" s="17">
        <v>-0.48262610988571536</v>
      </c>
      <c r="Z140" s="86"/>
      <c r="AA140" s="86"/>
      <c r="AB140"/>
    </row>
    <row r="141" spans="1:28" hidden="1" outlineLevel="1" x14ac:dyDescent="0.25">
      <c r="A141" s="21" t="s">
        <v>364</v>
      </c>
      <c r="B141" s="21" t="s">
        <v>364</v>
      </c>
      <c r="C141" s="21" t="s">
        <v>363</v>
      </c>
      <c r="D141" s="15">
        <v>35.869565217391305</v>
      </c>
      <c r="E141" s="57">
        <v>360.81333333333333</v>
      </c>
      <c r="F141" s="15">
        <v>12942.217391304348</v>
      </c>
      <c r="G141" s="15">
        <v>50.695652173913047</v>
      </c>
      <c r="H141" s="57">
        <v>826.2262264150944</v>
      </c>
      <c r="I141" s="15">
        <v>41886.077391304352</v>
      </c>
      <c r="J141" s="15">
        <v>21</v>
      </c>
      <c r="K141" s="57">
        <v>819.04761904761904</v>
      </c>
      <c r="L141" s="15">
        <v>17200</v>
      </c>
      <c r="M141" s="76">
        <v>51.742768558377811</v>
      </c>
      <c r="N141" s="76">
        <v>807.62810241394084</v>
      </c>
      <c r="O141" s="76">
        <v>41788.913984446393</v>
      </c>
      <c r="P141" s="15">
        <v>-30.742768558377811</v>
      </c>
      <c r="Q141" s="15">
        <v>11.419516633678199</v>
      </c>
      <c r="R141" s="15">
        <v>-24588.913984446393</v>
      </c>
      <c r="S141" s="15">
        <v>239.80984930724219</v>
      </c>
      <c r="T141" s="15">
        <v>-24828.723833753636</v>
      </c>
      <c r="U141" s="78">
        <v>0.40585381465058529</v>
      </c>
      <c r="V141" s="17">
        <v>-0.41454545454545455</v>
      </c>
      <c r="W141" s="17">
        <v>0.32898401255076914</v>
      </c>
      <c r="X141" s="17">
        <v>-0.58576329331046317</v>
      </c>
      <c r="Y141" s="17">
        <v>-0.58936235925566138</v>
      </c>
      <c r="Z141" s="86"/>
      <c r="AA141" s="86"/>
      <c r="AB141"/>
    </row>
    <row r="142" spans="1:28" collapsed="1" x14ac:dyDescent="0.25">
      <c r="A142" s="21" t="s">
        <v>145</v>
      </c>
      <c r="B142" s="21" t="s">
        <v>219</v>
      </c>
      <c r="C142" s="21" t="s">
        <v>180</v>
      </c>
      <c r="D142" s="15">
        <v>72.695652173913047</v>
      </c>
      <c r="E142" s="57">
        <v>379.16559210526299</v>
      </c>
      <c r="F142" s="15">
        <v>27563.689999999988</v>
      </c>
      <c r="G142" s="15">
        <v>139.65217391304347</v>
      </c>
      <c r="H142" s="57">
        <v>413.98780821917808</v>
      </c>
      <c r="I142" s="15">
        <v>57814.297391304346</v>
      </c>
      <c r="J142" s="15">
        <v>98</v>
      </c>
      <c r="K142" s="57">
        <v>585.6583673469388</v>
      </c>
      <c r="L142" s="15">
        <v>57394.520000000004</v>
      </c>
      <c r="M142" s="15">
        <v>138.21739130434784</v>
      </c>
      <c r="N142" s="15">
        <v>522.63667820069202</v>
      </c>
      <c r="O142" s="15">
        <v>72237.478260869568</v>
      </c>
      <c r="P142" s="15">
        <v>-40.217391304347842</v>
      </c>
      <c r="Q142" s="15">
        <v>63.021689146246786</v>
      </c>
      <c r="R142" s="15">
        <v>-14842.958260869564</v>
      </c>
      <c r="S142" s="15">
        <v>6176.1255363321852</v>
      </c>
      <c r="T142" s="15">
        <v>-21019.083797201754</v>
      </c>
      <c r="U142" s="17">
        <v>0.70902799622522794</v>
      </c>
      <c r="V142" s="17">
        <v>0.34808612440191383</v>
      </c>
      <c r="W142" s="17">
        <v>1.0822509613190407</v>
      </c>
      <c r="X142" s="17">
        <v>-0.29825653798256535</v>
      </c>
      <c r="Y142" s="17">
        <v>-7.2607885980722703E-3</v>
      </c>
      <c r="Z142" s="86"/>
      <c r="AA142" s="86"/>
      <c r="AB142"/>
    </row>
    <row r="143" spans="1:28" hidden="1" outlineLevel="1" x14ac:dyDescent="0.25">
      <c r="A143" s="21" t="s">
        <v>364</v>
      </c>
      <c r="B143" s="21" t="s">
        <v>364</v>
      </c>
      <c r="C143" s="21" t="s">
        <v>362</v>
      </c>
      <c r="D143" s="15">
        <v>13.391304347826088</v>
      </c>
      <c r="E143" s="57">
        <v>371.83357142857147</v>
      </c>
      <c r="F143" s="15">
        <v>4979.3365217391311</v>
      </c>
      <c r="G143" s="15">
        <v>21.043478260869566</v>
      </c>
      <c r="H143" s="57">
        <v>540.21113636363623</v>
      </c>
      <c r="I143" s="15">
        <v>11367.921304347825</v>
      </c>
      <c r="J143" s="15">
        <v>12</v>
      </c>
      <c r="K143" s="57">
        <v>888.12166666666678</v>
      </c>
      <c r="L143" s="15">
        <v>10657.460000000001</v>
      </c>
      <c r="M143" s="76">
        <v>26.546092768723039</v>
      </c>
      <c r="N143" s="76">
        <v>624.05274223352274</v>
      </c>
      <c r="O143" s="76">
        <v>16566.1619879071</v>
      </c>
      <c r="P143" s="15">
        <v>-14.546092768723039</v>
      </c>
      <c r="Q143" s="15">
        <v>264.06892443314405</v>
      </c>
      <c r="R143" s="15">
        <v>-5908.7019879070995</v>
      </c>
      <c r="S143" s="15">
        <v>3168.8270931977286</v>
      </c>
      <c r="T143" s="15">
        <v>-9077.5290811048271</v>
      </c>
      <c r="U143" s="78">
        <v>0.45204392618331241</v>
      </c>
      <c r="V143" s="17">
        <v>-0.10389610389610396</v>
      </c>
      <c r="W143" s="17">
        <v>1.1403373629138995</v>
      </c>
      <c r="X143" s="17">
        <v>-0.42975206611570249</v>
      </c>
      <c r="Y143" s="17">
        <v>-6.2497028729086801E-2</v>
      </c>
      <c r="Z143" s="86"/>
      <c r="AA143" s="86"/>
      <c r="AB143"/>
    </row>
    <row r="144" spans="1:28" hidden="1" outlineLevel="1" x14ac:dyDescent="0.25">
      <c r="A144" s="21" t="s">
        <v>364</v>
      </c>
      <c r="B144" s="21" t="s">
        <v>364</v>
      </c>
      <c r="C144" s="21" t="s">
        <v>363</v>
      </c>
      <c r="D144" s="15">
        <v>59.304347826086961</v>
      </c>
      <c r="E144" s="57">
        <v>380.82120967741912</v>
      </c>
      <c r="F144" s="15">
        <v>22584.353478260859</v>
      </c>
      <c r="G144" s="15">
        <v>118.60869565217392</v>
      </c>
      <c r="H144" s="57">
        <v>391.59334677419355</v>
      </c>
      <c r="I144" s="15">
        <v>46446.376086956523</v>
      </c>
      <c r="J144" s="15">
        <v>86</v>
      </c>
      <c r="K144" s="57">
        <v>543.45418604651161</v>
      </c>
      <c r="L144" s="15">
        <v>46737.06</v>
      </c>
      <c r="M144" s="76">
        <v>111.6712985356248</v>
      </c>
      <c r="N144" s="76">
        <v>498.5284222803453</v>
      </c>
      <c r="O144" s="76">
        <v>55671.316272962467</v>
      </c>
      <c r="P144" s="15">
        <v>-25.6712985356248</v>
      </c>
      <c r="Q144" s="15">
        <v>44.925763766166313</v>
      </c>
      <c r="R144" s="15">
        <v>-8934.2562729624697</v>
      </c>
      <c r="S144" s="15">
        <v>3863.615683890303</v>
      </c>
      <c r="T144" s="15">
        <v>-12797.87195685277</v>
      </c>
      <c r="U144" s="78">
        <v>0.77011730970930481</v>
      </c>
      <c r="V144" s="17">
        <v>0.45014662756598228</v>
      </c>
      <c r="W144" s="17">
        <v>1.0694442302715435</v>
      </c>
      <c r="X144" s="17">
        <v>-0.27492668621700883</v>
      </c>
      <c r="Y144" s="17">
        <v>6.258484246419109E-3</v>
      </c>
      <c r="Z144" s="86"/>
      <c r="AA144" s="86"/>
      <c r="AB144"/>
    </row>
    <row r="145" spans="1:28" collapsed="1" x14ac:dyDescent="0.25">
      <c r="A145" s="21" t="s">
        <v>145</v>
      </c>
      <c r="B145" s="21" t="s">
        <v>219</v>
      </c>
      <c r="C145" s="21" t="s">
        <v>181</v>
      </c>
      <c r="D145" s="15">
        <v>106.17391304347827</v>
      </c>
      <c r="E145" s="57">
        <v>478.64252252252265</v>
      </c>
      <c r="F145" s="15">
        <v>50819.34956521741</v>
      </c>
      <c r="G145" s="15">
        <v>100.43478260869566</v>
      </c>
      <c r="H145" s="57">
        <v>463.35395238095259</v>
      </c>
      <c r="I145" s="15">
        <v>46536.853478260891</v>
      </c>
      <c r="J145" s="15">
        <v>120</v>
      </c>
      <c r="K145" s="57">
        <v>548.72316666666666</v>
      </c>
      <c r="L145" s="15">
        <v>65846.78</v>
      </c>
      <c r="M145" s="15">
        <v>138.21739130434784</v>
      </c>
      <c r="N145" s="15">
        <v>522.63667820069202</v>
      </c>
      <c r="O145" s="15">
        <v>72237.478260869568</v>
      </c>
      <c r="P145" s="15">
        <v>-18.217391304347842</v>
      </c>
      <c r="Q145" s="15">
        <v>26.086488465974639</v>
      </c>
      <c r="R145" s="15">
        <v>-6390.6982608695689</v>
      </c>
      <c r="S145" s="15">
        <v>3130.3786159169567</v>
      </c>
      <c r="T145" s="15">
        <v>-9521.0768767865284</v>
      </c>
      <c r="U145" s="17">
        <v>0.86819754639823832</v>
      </c>
      <c r="V145" s="17">
        <v>0.13022113022113019</v>
      </c>
      <c r="W145" s="17">
        <v>0.29570292739574738</v>
      </c>
      <c r="X145" s="17">
        <v>0.19480519480519476</v>
      </c>
      <c r="Y145" s="17">
        <v>0.41493837847802706</v>
      </c>
      <c r="Z145" s="86"/>
      <c r="AA145" s="86"/>
      <c r="AB145"/>
    </row>
    <row r="146" spans="1:28" hidden="1" outlineLevel="1" x14ac:dyDescent="0.25">
      <c r="A146" s="21" t="s">
        <v>364</v>
      </c>
      <c r="B146" s="21" t="s">
        <v>364</v>
      </c>
      <c r="C146" s="21" t="s">
        <v>362</v>
      </c>
      <c r="D146" s="15">
        <v>22</v>
      </c>
      <c r="E146" s="57">
        <v>499.64195652173913</v>
      </c>
      <c r="F146" s="15">
        <v>10992.123043478261</v>
      </c>
      <c r="G146" s="15">
        <v>19.130434782608695</v>
      </c>
      <c r="H146" s="57">
        <v>820.71450000000004</v>
      </c>
      <c r="I146" s="15">
        <v>15700.625217391305</v>
      </c>
      <c r="J146" s="15">
        <v>23</v>
      </c>
      <c r="K146" s="57">
        <v>851.71260869565219</v>
      </c>
      <c r="L146" s="15">
        <v>19589.39</v>
      </c>
      <c r="M146" s="76">
        <v>26.546092768723039</v>
      </c>
      <c r="N146" s="76">
        <v>624.05274223352274</v>
      </c>
      <c r="O146" s="76">
        <v>16566.1619879071</v>
      </c>
      <c r="P146" s="15">
        <v>-3.5460927687230388</v>
      </c>
      <c r="Q146" s="15">
        <v>227.65986646212946</v>
      </c>
      <c r="R146" s="15">
        <v>3023.228012092899</v>
      </c>
      <c r="S146" s="15">
        <v>5236.1769286289773</v>
      </c>
      <c r="T146" s="15">
        <v>-2212.9489165360774</v>
      </c>
      <c r="U146" s="78">
        <v>0.86641752518468207</v>
      </c>
      <c r="V146" s="17">
        <v>4.5454545454545456E-2</v>
      </c>
      <c r="W146" s="17">
        <v>0.78212979626557078</v>
      </c>
      <c r="X146" s="17">
        <v>0.2022727272727273</v>
      </c>
      <c r="Y146" s="17">
        <v>0.24768216098179185</v>
      </c>
      <c r="Z146" s="86"/>
      <c r="AA146" s="86"/>
      <c r="AB146"/>
    </row>
    <row r="147" spans="1:28" hidden="1" outlineLevel="1" x14ac:dyDescent="0.25">
      <c r="A147" s="21" t="s">
        <v>364</v>
      </c>
      <c r="B147" s="21" t="s">
        <v>364</v>
      </c>
      <c r="C147" s="21" t="s">
        <v>363</v>
      </c>
      <c r="D147" s="15">
        <v>84.173913043478265</v>
      </c>
      <c r="E147" s="57">
        <v>473.15403409090925</v>
      </c>
      <c r="F147" s="15">
        <v>39827.226521739147</v>
      </c>
      <c r="G147" s="15">
        <v>81.304347826086953</v>
      </c>
      <c r="H147" s="57">
        <v>379.26911764705909</v>
      </c>
      <c r="I147" s="15">
        <v>30836.228260869586</v>
      </c>
      <c r="J147" s="15">
        <v>97</v>
      </c>
      <c r="K147" s="57">
        <v>476.88030927835052</v>
      </c>
      <c r="L147" s="15">
        <v>46257.39</v>
      </c>
      <c r="M147" s="76">
        <v>111.6712985356248</v>
      </c>
      <c r="N147" s="76">
        <v>498.5284222803453</v>
      </c>
      <c r="O147" s="76">
        <v>55671.316272962467</v>
      </c>
      <c r="P147" s="15">
        <v>-14.6712985356248</v>
      </c>
      <c r="Q147" s="15">
        <v>-21.648113001994773</v>
      </c>
      <c r="R147" s="15">
        <v>-9413.9262729624679</v>
      </c>
      <c r="S147" s="15">
        <v>-2099.8669611934929</v>
      </c>
      <c r="T147" s="15">
        <v>-7314.0593117689714</v>
      </c>
      <c r="U147" s="78">
        <v>0.86862068653258795</v>
      </c>
      <c r="V147" s="17">
        <v>0.15237603305785119</v>
      </c>
      <c r="W147" s="17">
        <v>0.16145145017193291</v>
      </c>
      <c r="X147" s="17">
        <v>0.19304812834224602</v>
      </c>
      <c r="Y147" s="17">
        <v>0.50009883208380213</v>
      </c>
      <c r="Z147" s="86"/>
      <c r="AA147" s="86"/>
      <c r="AB147"/>
    </row>
    <row r="148" spans="1:28" collapsed="1" x14ac:dyDescent="0.25">
      <c r="A148" s="21" t="s">
        <v>145</v>
      </c>
      <c r="B148" s="21" t="s">
        <v>219</v>
      </c>
      <c r="C148" s="21" t="s">
        <v>182</v>
      </c>
      <c r="D148" s="15">
        <v>0</v>
      </c>
      <c r="E148" s="57" t="s">
        <v>364</v>
      </c>
      <c r="F148" s="15">
        <v>0</v>
      </c>
      <c r="G148" s="15">
        <v>0</v>
      </c>
      <c r="H148" s="57" t="s">
        <v>364</v>
      </c>
      <c r="I148" s="15">
        <v>0</v>
      </c>
      <c r="J148" s="15">
        <v>0</v>
      </c>
      <c r="K148" s="57" t="s">
        <v>364</v>
      </c>
      <c r="L148" s="15">
        <v>0</v>
      </c>
      <c r="M148" s="15">
        <v>55</v>
      </c>
      <c r="N148" s="15">
        <v>523.91304347826087</v>
      </c>
      <c r="O148" s="15">
        <v>28815.217391304348</v>
      </c>
      <c r="P148" s="15">
        <v>-55</v>
      </c>
      <c r="Q148" s="15" t="s">
        <v>364</v>
      </c>
      <c r="R148" s="15">
        <v>-28815.217391304348</v>
      </c>
      <c r="S148" s="15" t="s">
        <v>364</v>
      </c>
      <c r="T148" s="15">
        <v>-28815.217391304348</v>
      </c>
      <c r="U148" s="17">
        <v>0</v>
      </c>
      <c r="V148" s="17" t="s">
        <v>364</v>
      </c>
      <c r="W148" s="17" t="s">
        <v>364</v>
      </c>
      <c r="X148" s="17" t="s">
        <v>364</v>
      </c>
      <c r="Y148" s="17" t="s">
        <v>364</v>
      </c>
      <c r="Z148" s="86"/>
      <c r="AA148" s="86"/>
      <c r="AB148"/>
    </row>
    <row r="149" spans="1:28" hidden="1" outlineLevel="1" x14ac:dyDescent="0.25">
      <c r="A149" s="21" t="s">
        <v>364</v>
      </c>
      <c r="B149" s="21" t="s">
        <v>364</v>
      </c>
      <c r="C149" s="21" t="s">
        <v>362</v>
      </c>
      <c r="D149" s="15">
        <v>0</v>
      </c>
      <c r="E149" s="57" t="s">
        <v>364</v>
      </c>
      <c r="F149" s="15">
        <v>0</v>
      </c>
      <c r="G149" s="15">
        <v>0</v>
      </c>
      <c r="H149" s="57" t="s">
        <v>364</v>
      </c>
      <c r="I149" s="15">
        <v>0</v>
      </c>
      <c r="J149" s="15">
        <v>0</v>
      </c>
      <c r="K149" s="57" t="s">
        <v>364</v>
      </c>
      <c r="L149" s="15">
        <v>0</v>
      </c>
      <c r="M149" s="76">
        <v>10.563324112121622</v>
      </c>
      <c r="N149" s="76">
        <v>625.57678232634737</v>
      </c>
      <c r="O149" s="76">
        <v>6608.1703087313645</v>
      </c>
      <c r="P149" s="15">
        <v>-10.563324112121622</v>
      </c>
      <c r="Q149" s="15" t="s">
        <v>364</v>
      </c>
      <c r="R149" s="15">
        <v>-6608.1703087313645</v>
      </c>
      <c r="S149" s="15" t="s">
        <v>364</v>
      </c>
      <c r="T149" s="15">
        <v>-6608.1703087313645</v>
      </c>
      <c r="U149" s="78">
        <v>0</v>
      </c>
      <c r="V149" s="17" t="s">
        <v>364</v>
      </c>
      <c r="W149" s="17" t="s">
        <v>364</v>
      </c>
      <c r="X149" s="17" t="s">
        <v>364</v>
      </c>
      <c r="Y149" s="17" t="s">
        <v>364</v>
      </c>
      <c r="Z149" s="86"/>
      <c r="AA149" s="86"/>
      <c r="AB149"/>
    </row>
    <row r="150" spans="1:28" hidden="1" outlineLevel="1" x14ac:dyDescent="0.25">
      <c r="A150" s="21" t="s">
        <v>364</v>
      </c>
      <c r="B150" s="21" t="s">
        <v>364</v>
      </c>
      <c r="C150" s="21" t="s">
        <v>363</v>
      </c>
      <c r="D150" s="15">
        <v>0</v>
      </c>
      <c r="E150" s="57" t="s">
        <v>364</v>
      </c>
      <c r="F150" s="15">
        <v>0</v>
      </c>
      <c r="G150" s="15">
        <v>0</v>
      </c>
      <c r="H150" s="57" t="s">
        <v>364</v>
      </c>
      <c r="I150" s="15">
        <v>0</v>
      </c>
      <c r="J150" s="15">
        <v>0</v>
      </c>
      <c r="K150" s="57" t="s">
        <v>364</v>
      </c>
      <c r="L150" s="15">
        <v>0</v>
      </c>
      <c r="M150" s="76">
        <v>44.43667588787838</v>
      </c>
      <c r="N150" s="76">
        <v>499.74591120643913</v>
      </c>
      <c r="O150" s="76">
        <v>22207.047082572983</v>
      </c>
      <c r="P150" s="15">
        <v>-44.43667588787838</v>
      </c>
      <c r="Q150" s="15" t="s">
        <v>364</v>
      </c>
      <c r="R150" s="15">
        <v>-22207.047082572983</v>
      </c>
      <c r="S150" s="15" t="s">
        <v>364</v>
      </c>
      <c r="T150" s="15">
        <v>-22207.047082572983</v>
      </c>
      <c r="U150" s="78">
        <v>0</v>
      </c>
      <c r="V150" s="17" t="s">
        <v>364</v>
      </c>
      <c r="W150" s="17" t="s">
        <v>364</v>
      </c>
      <c r="X150" s="17" t="s">
        <v>364</v>
      </c>
      <c r="Y150" s="17" t="s">
        <v>364</v>
      </c>
      <c r="Z150" s="86"/>
      <c r="AA150" s="86"/>
      <c r="AB150"/>
    </row>
    <row r="151" spans="1:28" collapsed="1" x14ac:dyDescent="0.25">
      <c r="A151" s="21" t="s">
        <v>145</v>
      </c>
      <c r="B151" s="21" t="s">
        <v>149</v>
      </c>
      <c r="C151" s="21" t="s">
        <v>183</v>
      </c>
      <c r="D151" s="15">
        <v>67.434782608695656</v>
      </c>
      <c r="E151" s="57">
        <v>621.61652482269517</v>
      </c>
      <c r="F151" s="15">
        <v>41918.575217391313</v>
      </c>
      <c r="G151" s="15">
        <v>103.78260869565217</v>
      </c>
      <c r="H151" s="57">
        <v>539.73502304147485</v>
      </c>
      <c r="I151" s="15">
        <v>56015.10869565219</v>
      </c>
      <c r="J151" s="15">
        <v>21</v>
      </c>
      <c r="K151" s="57">
        <v>625.71428571428567</v>
      </c>
      <c r="L151" s="15">
        <v>13140</v>
      </c>
      <c r="M151" s="15">
        <v>58.347826086956523</v>
      </c>
      <c r="N151" s="15">
        <v>519.29508196721315</v>
      </c>
      <c r="O151" s="15">
        <v>30299.739130434784</v>
      </c>
      <c r="P151" s="15">
        <v>-37.347826086956523</v>
      </c>
      <c r="Q151" s="15">
        <v>106.41920374707252</v>
      </c>
      <c r="R151" s="15">
        <v>-17159.739130434784</v>
      </c>
      <c r="S151" s="15">
        <v>2234.8032786885228</v>
      </c>
      <c r="T151" s="15">
        <v>-19394.542409123311</v>
      </c>
      <c r="U151" s="17">
        <v>0.3599105812220566</v>
      </c>
      <c r="V151" s="17">
        <v>-0.68858800773694395</v>
      </c>
      <c r="W151" s="17">
        <v>-0.68653514744106969</v>
      </c>
      <c r="X151" s="17">
        <v>-0.79765395894428148</v>
      </c>
      <c r="Y151" s="17">
        <v>-0.76542043198748788</v>
      </c>
      <c r="Z151" s="86"/>
      <c r="AA151" s="86"/>
      <c r="AB151"/>
    </row>
    <row r="152" spans="1:28" hidden="1" outlineLevel="1" x14ac:dyDescent="0.25">
      <c r="A152" s="21" t="s">
        <v>364</v>
      </c>
      <c r="B152" s="21" t="s">
        <v>364</v>
      </c>
      <c r="C152" s="21" t="s">
        <v>362</v>
      </c>
      <c r="D152" s="15">
        <v>6.6956521739130439</v>
      </c>
      <c r="E152" s="57">
        <v>521.91428571428571</v>
      </c>
      <c r="F152" s="15">
        <v>3494.5565217391304</v>
      </c>
      <c r="G152" s="15">
        <v>10.043478260869566</v>
      </c>
      <c r="H152" s="57">
        <v>486.91428571428571</v>
      </c>
      <c r="I152" s="15">
        <v>4890.3130434782615</v>
      </c>
      <c r="J152" s="15">
        <v>2</v>
      </c>
      <c r="K152" s="57">
        <v>974.5</v>
      </c>
      <c r="L152" s="15">
        <v>1949</v>
      </c>
      <c r="M152" s="76">
        <v>5.5659610260344961</v>
      </c>
      <c r="N152" s="76">
        <v>505.13259799653423</v>
      </c>
      <c r="O152" s="76">
        <v>2811.5483534282603</v>
      </c>
      <c r="P152" s="15">
        <v>-3.5659610260344961</v>
      </c>
      <c r="Q152" s="15">
        <v>469.36740200346577</v>
      </c>
      <c r="R152" s="15">
        <v>-862.54835342826027</v>
      </c>
      <c r="S152" s="15">
        <v>938.73480400693154</v>
      </c>
      <c r="T152" s="15">
        <v>-1801.2831574351919</v>
      </c>
      <c r="U152" s="78">
        <v>0.35932698605777208</v>
      </c>
      <c r="V152" s="17">
        <v>-0.70129870129870131</v>
      </c>
      <c r="W152" s="17">
        <v>-0.44227543956563498</v>
      </c>
      <c r="X152" s="17">
        <v>-0.80086580086580084</v>
      </c>
      <c r="Y152" s="17">
        <v>-0.60145700639774113</v>
      </c>
      <c r="Z152" s="86"/>
      <c r="AA152" s="86"/>
      <c r="AB152"/>
    </row>
    <row r="153" spans="1:28" hidden="1" outlineLevel="1" x14ac:dyDescent="0.25">
      <c r="A153" s="21" t="s">
        <v>364</v>
      </c>
      <c r="B153" s="21" t="s">
        <v>364</v>
      </c>
      <c r="C153" s="21" t="s">
        <v>363</v>
      </c>
      <c r="D153" s="15">
        <v>60.739130434782609</v>
      </c>
      <c r="E153" s="57">
        <v>632.60732283464586</v>
      </c>
      <c r="F153" s="15">
        <v>38424.018695652187</v>
      </c>
      <c r="G153" s="15">
        <v>93.739130434782609</v>
      </c>
      <c r="H153" s="57">
        <v>545.39438775510223</v>
      </c>
      <c r="I153" s="15">
        <v>51124.795652173932</v>
      </c>
      <c r="J153" s="15">
        <v>19</v>
      </c>
      <c r="K153" s="57">
        <v>589</v>
      </c>
      <c r="L153" s="15">
        <v>11191</v>
      </c>
      <c r="M153" s="76">
        <v>52.78186506092203</v>
      </c>
      <c r="N153" s="76">
        <v>520.78854631754723</v>
      </c>
      <c r="O153" s="76">
        <v>27488.190777006523</v>
      </c>
      <c r="P153" s="15">
        <v>-33.78186506092203</v>
      </c>
      <c r="Q153" s="15">
        <v>68.21145368245277</v>
      </c>
      <c r="R153" s="15">
        <v>-16297.190777006523</v>
      </c>
      <c r="S153" s="15">
        <v>1296.0176199666025</v>
      </c>
      <c r="T153" s="15">
        <v>-17593.208396973125</v>
      </c>
      <c r="U153" s="78">
        <v>0.35997212258547073</v>
      </c>
      <c r="V153" s="17">
        <v>-0.68718682891911242</v>
      </c>
      <c r="W153" s="17">
        <v>-0.70874988145718598</v>
      </c>
      <c r="X153" s="17">
        <v>-0.79730983302411873</v>
      </c>
      <c r="Y153" s="17">
        <v>-0.78110425954291052</v>
      </c>
      <c r="Z153" s="86"/>
      <c r="AA153" s="86"/>
      <c r="AB153"/>
    </row>
    <row r="154" spans="1:28" collapsed="1" x14ac:dyDescent="0.25">
      <c r="A154" s="21" t="s">
        <v>145</v>
      </c>
      <c r="B154" s="21" t="s">
        <v>211</v>
      </c>
      <c r="C154" s="21" t="s">
        <v>184</v>
      </c>
      <c r="D154" s="15">
        <v>0</v>
      </c>
      <c r="E154" s="57" t="s">
        <v>364</v>
      </c>
      <c r="F154" s="15">
        <v>0</v>
      </c>
      <c r="G154" s="15">
        <v>0</v>
      </c>
      <c r="H154" s="57" t="s">
        <v>364</v>
      </c>
      <c r="I154" s="15">
        <v>0</v>
      </c>
      <c r="J154" s="15">
        <v>85</v>
      </c>
      <c r="K154" s="57">
        <v>402.51776470588231</v>
      </c>
      <c r="L154" s="15">
        <v>34214.009999999995</v>
      </c>
      <c r="M154" s="15">
        <v>125.30434782608695</v>
      </c>
      <c r="N154" s="15">
        <v>520.83206106870239</v>
      </c>
      <c r="O154" s="15">
        <v>65262.52173913044</v>
      </c>
      <c r="P154" s="15">
        <v>-40.304347826086953</v>
      </c>
      <c r="Q154" s="15">
        <v>-118.31429636282007</v>
      </c>
      <c r="R154" s="15">
        <v>-31048.511739130445</v>
      </c>
      <c r="S154" s="15">
        <v>-10056.715190839706</v>
      </c>
      <c r="T154" s="15">
        <v>-20991.796548290742</v>
      </c>
      <c r="U154" s="17">
        <v>0.67834836918806385</v>
      </c>
      <c r="V154" s="17" t="s">
        <v>364</v>
      </c>
      <c r="W154" s="17" t="s">
        <v>364</v>
      </c>
      <c r="X154" s="17" t="s">
        <v>364</v>
      </c>
      <c r="Y154" s="17" t="s">
        <v>364</v>
      </c>
      <c r="Z154" s="86"/>
      <c r="AA154" s="86"/>
      <c r="AB154"/>
    </row>
    <row r="155" spans="1:28" hidden="1" outlineLevel="1" x14ac:dyDescent="0.25">
      <c r="A155" s="21" t="s">
        <v>364</v>
      </c>
      <c r="B155" s="21" t="s">
        <v>364</v>
      </c>
      <c r="C155" s="21" t="s">
        <v>362</v>
      </c>
      <c r="D155" s="15">
        <v>0</v>
      </c>
      <c r="E155" s="57" t="s">
        <v>364</v>
      </c>
      <c r="F155" s="15">
        <v>0</v>
      </c>
      <c r="G155" s="15">
        <v>0</v>
      </c>
      <c r="H155" s="57" t="s">
        <v>364</v>
      </c>
      <c r="I155" s="15">
        <v>0</v>
      </c>
      <c r="J155" s="15">
        <v>36</v>
      </c>
      <c r="K155" s="57">
        <v>539.94444444444446</v>
      </c>
      <c r="L155" s="15">
        <v>19438</v>
      </c>
      <c r="M155" s="76">
        <v>59.813500665241612</v>
      </c>
      <c r="N155" s="76">
        <v>509.57927234426518</v>
      </c>
      <c r="O155" s="76">
        <v>30479.720145357041</v>
      </c>
      <c r="P155" s="15">
        <v>-23.813500665241612</v>
      </c>
      <c r="Q155" s="15">
        <v>30.365172100179279</v>
      </c>
      <c r="R155" s="15">
        <v>-11041.720145357041</v>
      </c>
      <c r="S155" s="15">
        <v>1093.1461956064541</v>
      </c>
      <c r="T155" s="15">
        <v>-12134.866340963496</v>
      </c>
      <c r="U155" s="78">
        <v>0.6018708084230231</v>
      </c>
      <c r="V155" s="17" t="s">
        <v>364</v>
      </c>
      <c r="W155" s="17" t="s">
        <v>364</v>
      </c>
      <c r="X155" s="17" t="s">
        <v>364</v>
      </c>
      <c r="Y155" s="17" t="s">
        <v>364</v>
      </c>
      <c r="Z155" s="86"/>
      <c r="AA155" s="86"/>
      <c r="AB155"/>
    </row>
    <row r="156" spans="1:28" hidden="1" outlineLevel="1" x14ac:dyDescent="0.25">
      <c r="A156" s="21" t="s">
        <v>364</v>
      </c>
      <c r="B156" s="21" t="s">
        <v>364</v>
      </c>
      <c r="C156" s="21" t="s">
        <v>363</v>
      </c>
      <c r="D156" s="15">
        <v>0</v>
      </c>
      <c r="E156" s="57" t="s">
        <v>364</v>
      </c>
      <c r="F156" s="15">
        <v>0</v>
      </c>
      <c r="G156" s="15">
        <v>0</v>
      </c>
      <c r="H156" s="57" t="s">
        <v>364</v>
      </c>
      <c r="I156" s="15">
        <v>0</v>
      </c>
      <c r="J156" s="15">
        <v>49</v>
      </c>
      <c r="K156" s="57">
        <v>301.55122448979591</v>
      </c>
      <c r="L156" s="15">
        <v>14776.01</v>
      </c>
      <c r="M156" s="76">
        <v>65.490847160845348</v>
      </c>
      <c r="N156" s="76">
        <v>531.1093549965376</v>
      </c>
      <c r="O156" s="76">
        <v>34782.801593773402</v>
      </c>
      <c r="P156" s="15">
        <v>-16.490847160845348</v>
      </c>
      <c r="Q156" s="15">
        <v>-229.55813050674169</v>
      </c>
      <c r="R156" s="15">
        <v>-20006.7915937734</v>
      </c>
      <c r="S156" s="15">
        <v>-11248.348394830344</v>
      </c>
      <c r="T156" s="15">
        <v>-8758.4431989430559</v>
      </c>
      <c r="U156" s="78">
        <v>0.74819615448943777</v>
      </c>
      <c r="V156" s="17" t="s">
        <v>364</v>
      </c>
      <c r="W156" s="17" t="s">
        <v>364</v>
      </c>
      <c r="X156" s="17" t="s">
        <v>364</v>
      </c>
      <c r="Y156" s="17" t="s">
        <v>364</v>
      </c>
      <c r="Z156" s="86"/>
      <c r="AA156" s="86"/>
      <c r="AB156"/>
    </row>
    <row r="157" spans="1:28" collapsed="1" x14ac:dyDescent="0.25">
      <c r="A157" s="21" t="s">
        <v>144</v>
      </c>
      <c r="B157" s="21" t="s">
        <v>219</v>
      </c>
      <c r="C157" s="21" t="s">
        <v>185</v>
      </c>
      <c r="D157" s="15">
        <v>0</v>
      </c>
      <c r="E157" s="57" t="s">
        <v>364</v>
      </c>
      <c r="F157" s="15">
        <v>0</v>
      </c>
      <c r="G157" s="15">
        <v>0</v>
      </c>
      <c r="H157" s="57" t="s">
        <v>364</v>
      </c>
      <c r="I157" s="15">
        <v>0</v>
      </c>
      <c r="J157" s="15">
        <v>67</v>
      </c>
      <c r="K157" s="57">
        <v>486.17134328358213</v>
      </c>
      <c r="L157" s="15">
        <v>32573.480000000003</v>
      </c>
      <c r="M157" s="15">
        <v>116.21739130434783</v>
      </c>
      <c r="N157" s="15">
        <v>430.78189300411526</v>
      </c>
      <c r="O157" s="15">
        <v>50064.34782608696</v>
      </c>
      <c r="P157" s="15">
        <v>-49.217391304347828</v>
      </c>
      <c r="Q157" s="15">
        <v>55.389450279466871</v>
      </c>
      <c r="R157" s="15">
        <v>-17490.867826086956</v>
      </c>
      <c r="S157" s="15">
        <v>3711.0931687242805</v>
      </c>
      <c r="T157" s="15">
        <v>-21201.960994811237</v>
      </c>
      <c r="U157" s="17">
        <v>0.57650579872802099</v>
      </c>
      <c r="V157" s="17" t="s">
        <v>364</v>
      </c>
      <c r="W157" s="17" t="s">
        <v>364</v>
      </c>
      <c r="X157" s="17" t="s">
        <v>364</v>
      </c>
      <c r="Y157" s="17" t="s">
        <v>364</v>
      </c>
      <c r="Z157" s="86"/>
      <c r="AA157" s="86"/>
      <c r="AB157"/>
    </row>
    <row r="158" spans="1:28" hidden="1" outlineLevel="1" x14ac:dyDescent="0.25">
      <c r="A158" s="21" t="s">
        <v>364</v>
      </c>
      <c r="B158" s="21" t="s">
        <v>364</v>
      </c>
      <c r="C158" s="21" t="s">
        <v>362</v>
      </c>
      <c r="D158" s="15">
        <v>0</v>
      </c>
      <c r="E158" s="57" t="s">
        <v>364</v>
      </c>
      <c r="F158" s="15">
        <v>0</v>
      </c>
      <c r="G158" s="15">
        <v>0</v>
      </c>
      <c r="H158" s="57" t="s">
        <v>364</v>
      </c>
      <c r="I158" s="15">
        <v>0</v>
      </c>
      <c r="J158" s="15">
        <v>14</v>
      </c>
      <c r="K158" s="57">
        <v>616.07142857142856</v>
      </c>
      <c r="L158" s="15">
        <v>8625</v>
      </c>
      <c r="M158" s="76">
        <v>22.320763123874386</v>
      </c>
      <c r="N158" s="76">
        <v>514.37381425138972</v>
      </c>
      <c r="O158" s="76">
        <v>11481.216065029033</v>
      </c>
      <c r="P158" s="15">
        <v>-8.3207631238743858</v>
      </c>
      <c r="Q158" s="15">
        <v>101.69761432003884</v>
      </c>
      <c r="R158" s="15">
        <v>-2856.2160650290334</v>
      </c>
      <c r="S158" s="15">
        <v>1423.7666004805437</v>
      </c>
      <c r="T158" s="15">
        <v>-4279.9826655095767</v>
      </c>
      <c r="U158" s="78">
        <v>0.62721869867547397</v>
      </c>
      <c r="V158" s="17" t="s">
        <v>364</v>
      </c>
      <c r="W158" s="17" t="s">
        <v>364</v>
      </c>
      <c r="X158" s="17" t="s">
        <v>364</v>
      </c>
      <c r="Y158" s="17" t="s">
        <v>364</v>
      </c>
      <c r="Z158" s="86"/>
      <c r="AA158" s="86"/>
      <c r="AB158"/>
    </row>
    <row r="159" spans="1:28" hidden="1" outlineLevel="1" x14ac:dyDescent="0.25">
      <c r="A159" s="21" t="s">
        <v>364</v>
      </c>
      <c r="B159" s="21" t="s">
        <v>364</v>
      </c>
      <c r="C159" s="21" t="s">
        <v>363</v>
      </c>
      <c r="D159" s="15">
        <v>0</v>
      </c>
      <c r="E159" s="57" t="s">
        <v>364</v>
      </c>
      <c r="F159" s="15">
        <v>0</v>
      </c>
      <c r="G159" s="15">
        <v>0</v>
      </c>
      <c r="H159" s="57" t="s">
        <v>364</v>
      </c>
      <c r="I159" s="15">
        <v>0</v>
      </c>
      <c r="J159" s="15">
        <v>53</v>
      </c>
      <c r="K159" s="57">
        <v>451.85811320754715</v>
      </c>
      <c r="L159" s="15">
        <v>23948.48</v>
      </c>
      <c r="M159" s="76">
        <v>93.896628180473442</v>
      </c>
      <c r="N159" s="76">
        <v>410.91072713388019</v>
      </c>
      <c r="O159" s="76">
        <v>38583.131761057928</v>
      </c>
      <c r="P159" s="15">
        <v>-40.896628180473442</v>
      </c>
      <c r="Q159" s="15">
        <v>40.947386073666962</v>
      </c>
      <c r="R159" s="15">
        <v>-14634.651761057929</v>
      </c>
      <c r="S159" s="15">
        <v>2170.2114619043491</v>
      </c>
      <c r="T159" s="15">
        <v>-16804.863222962278</v>
      </c>
      <c r="U159" s="78">
        <v>0.56445051358108056</v>
      </c>
      <c r="V159" s="17" t="s">
        <v>364</v>
      </c>
      <c r="W159" s="17" t="s">
        <v>364</v>
      </c>
      <c r="X159" s="17" t="s">
        <v>364</v>
      </c>
      <c r="Y159" s="17" t="s">
        <v>364</v>
      </c>
      <c r="Z159" s="86"/>
      <c r="AA159" s="86"/>
      <c r="AB159"/>
    </row>
    <row r="160" spans="1:28" collapsed="1" x14ac:dyDescent="0.25">
      <c r="A160" s="21" t="s">
        <v>144</v>
      </c>
      <c r="B160" s="21" t="s">
        <v>219</v>
      </c>
      <c r="C160" s="21" t="s">
        <v>186</v>
      </c>
      <c r="D160" s="15">
        <v>63.608695652173914</v>
      </c>
      <c r="E160" s="57">
        <v>249.30458646616543</v>
      </c>
      <c r="F160" s="15">
        <v>15857.939565217393</v>
      </c>
      <c r="G160" s="15">
        <v>118.1304347826087</v>
      </c>
      <c r="H160" s="57">
        <v>405.35838056680154</v>
      </c>
      <c r="I160" s="15">
        <v>47885.161739130432</v>
      </c>
      <c r="J160" s="15">
        <v>81</v>
      </c>
      <c r="K160" s="57">
        <v>386.64913580246912</v>
      </c>
      <c r="L160" s="15">
        <v>31318.579999999998</v>
      </c>
      <c r="M160" s="15">
        <v>116.21739130434783</v>
      </c>
      <c r="N160" s="15">
        <v>499.5267489711934</v>
      </c>
      <c r="O160" s="15">
        <v>58053.695652173912</v>
      </c>
      <c r="P160" s="15">
        <v>-35.217391304347828</v>
      </c>
      <c r="Q160" s="15">
        <v>-112.87761316872428</v>
      </c>
      <c r="R160" s="15">
        <v>-26735.115652173914</v>
      </c>
      <c r="S160" s="15">
        <v>-9143.0866666666661</v>
      </c>
      <c r="T160" s="15">
        <v>-17592.028985507248</v>
      </c>
      <c r="U160" s="17">
        <v>0.69696969696969691</v>
      </c>
      <c r="V160" s="17">
        <v>0.27341079972658916</v>
      </c>
      <c r="W160" s="17">
        <v>0.97494635864887391</v>
      </c>
      <c r="X160" s="17">
        <v>-0.3143172616856828</v>
      </c>
      <c r="Y160" s="17">
        <v>-0.34596482788096505</v>
      </c>
      <c r="Z160" s="86"/>
      <c r="AA160" s="86"/>
      <c r="AB160"/>
    </row>
    <row r="161" spans="1:28" hidden="1" outlineLevel="1" x14ac:dyDescent="0.25">
      <c r="A161" s="21" t="s">
        <v>364</v>
      </c>
      <c r="B161" s="21" t="s">
        <v>364</v>
      </c>
      <c r="C161" s="21" t="s">
        <v>362</v>
      </c>
      <c r="D161" s="15">
        <v>8.608695652173914</v>
      </c>
      <c r="E161" s="57">
        <v>177.77777777777777</v>
      </c>
      <c r="F161" s="15">
        <v>1530.4347826086957</v>
      </c>
      <c r="G161" s="15">
        <v>21.521739130434785</v>
      </c>
      <c r="H161" s="57">
        <v>428.62222222222221</v>
      </c>
      <c r="I161" s="15">
        <v>9224.6956521739139</v>
      </c>
      <c r="J161" s="15">
        <v>14</v>
      </c>
      <c r="K161" s="57">
        <v>158.92857142857142</v>
      </c>
      <c r="L161" s="15">
        <v>2225</v>
      </c>
      <c r="M161" s="76">
        <v>22.320763123874386</v>
      </c>
      <c r="N161" s="76">
        <v>596.45840125052484</v>
      </c>
      <c r="O161" s="76">
        <v>13313.406687557786</v>
      </c>
      <c r="P161" s="15">
        <v>-8.3207631238743858</v>
      </c>
      <c r="Q161" s="15">
        <v>-437.5298298219534</v>
      </c>
      <c r="R161" s="15">
        <v>-11088.406687557786</v>
      </c>
      <c r="S161" s="15">
        <v>-6125.417617507348</v>
      </c>
      <c r="T161" s="15">
        <v>-4962.9890700504393</v>
      </c>
      <c r="U161" s="78">
        <v>0.62721869867547397</v>
      </c>
      <c r="V161" s="17">
        <v>0.62626262626262608</v>
      </c>
      <c r="W161" s="17">
        <v>0.45383522727272718</v>
      </c>
      <c r="X161" s="17">
        <v>-0.34949494949494958</v>
      </c>
      <c r="Y161" s="17">
        <v>-0.75879963048150523</v>
      </c>
      <c r="Z161" s="86"/>
      <c r="AA161" s="86"/>
      <c r="AB161"/>
    </row>
    <row r="162" spans="1:28" hidden="1" outlineLevel="1" x14ac:dyDescent="0.25">
      <c r="A162" s="21" t="s">
        <v>364</v>
      </c>
      <c r="B162" s="21" t="s">
        <v>364</v>
      </c>
      <c r="C162" s="21" t="s">
        <v>363</v>
      </c>
      <c r="D162" s="15">
        <v>55</v>
      </c>
      <c r="E162" s="57">
        <v>260.50008695652178</v>
      </c>
      <c r="F162" s="15">
        <v>14327.504782608697</v>
      </c>
      <c r="G162" s="15">
        <v>96.608695652173921</v>
      </c>
      <c r="H162" s="57">
        <v>400.17584158415838</v>
      </c>
      <c r="I162" s="15">
        <v>38660.46608695652</v>
      </c>
      <c r="J162" s="15">
        <v>67</v>
      </c>
      <c r="K162" s="57">
        <v>434.23253731343283</v>
      </c>
      <c r="L162" s="15">
        <v>29093.579999999998</v>
      </c>
      <c r="M162" s="76">
        <v>93.896628180473442</v>
      </c>
      <c r="N162" s="76">
        <v>476.48451101591559</v>
      </c>
      <c r="O162" s="76">
        <v>44740.288964616127</v>
      </c>
      <c r="P162" s="15">
        <v>-26.896628180473442</v>
      </c>
      <c r="Q162" s="15">
        <v>-42.251973702482758</v>
      </c>
      <c r="R162" s="15">
        <v>-15646.708964616129</v>
      </c>
      <c r="S162" s="15">
        <v>-2830.8822380663446</v>
      </c>
      <c r="T162" s="15">
        <v>-12815.826726549783</v>
      </c>
      <c r="U162" s="78">
        <v>0.71355064924400757</v>
      </c>
      <c r="V162" s="17">
        <v>0.21818181818181817</v>
      </c>
      <c r="W162" s="17">
        <v>1.0306103848113843</v>
      </c>
      <c r="X162" s="17">
        <v>-0.30648064806480652</v>
      </c>
      <c r="Y162" s="17">
        <v>-0.24745915027093401</v>
      </c>
      <c r="Z162" s="86"/>
      <c r="AA162" s="86"/>
      <c r="AB162"/>
    </row>
    <row r="163" spans="1:28" collapsed="1" x14ac:dyDescent="0.25">
      <c r="A163" s="21" t="s">
        <v>145</v>
      </c>
      <c r="B163" s="21" t="s">
        <v>149</v>
      </c>
      <c r="C163" s="21" t="s">
        <v>187</v>
      </c>
      <c r="D163" s="15">
        <v>46.869565217391305</v>
      </c>
      <c r="E163" s="57">
        <v>484.95693877551048</v>
      </c>
      <c r="F163" s="15">
        <v>22729.72086956523</v>
      </c>
      <c r="G163" s="15">
        <v>56.434782608695656</v>
      </c>
      <c r="H163" s="57">
        <v>487.5899152542371</v>
      </c>
      <c r="I163" s="15">
        <v>27517.030869565209</v>
      </c>
      <c r="J163" s="15">
        <v>47</v>
      </c>
      <c r="K163" s="57">
        <v>380.68063829787235</v>
      </c>
      <c r="L163" s="15">
        <v>17891.990000000002</v>
      </c>
      <c r="M163" s="15">
        <v>79.391304347826093</v>
      </c>
      <c r="N163" s="15">
        <v>507.43975903614455</v>
      </c>
      <c r="O163" s="15">
        <v>40286.304347826088</v>
      </c>
      <c r="P163" s="15">
        <v>-32.391304347826093</v>
      </c>
      <c r="Q163" s="15">
        <v>-126.7591207382722</v>
      </c>
      <c r="R163" s="15">
        <v>-22394.314347826086</v>
      </c>
      <c r="S163" s="15">
        <v>-5957.6786746987937</v>
      </c>
      <c r="T163" s="15">
        <v>-16436.635673127294</v>
      </c>
      <c r="U163" s="17">
        <v>0.59200438116100762</v>
      </c>
      <c r="V163" s="17">
        <v>2.7829313543599192E-3</v>
      </c>
      <c r="W163" s="17">
        <v>-0.21283723180441166</v>
      </c>
      <c r="X163" s="17">
        <v>-0.16718027734976892</v>
      </c>
      <c r="Y163" s="17">
        <v>-0.34978486287962257</v>
      </c>
      <c r="Z163" s="86"/>
      <c r="AA163" s="86"/>
      <c r="AB163"/>
    </row>
    <row r="164" spans="1:28" hidden="1" outlineLevel="1" x14ac:dyDescent="0.25">
      <c r="A164" s="21" t="s">
        <v>364</v>
      </c>
      <c r="B164" s="21" t="s">
        <v>364</v>
      </c>
      <c r="C164" s="21" t="s">
        <v>362</v>
      </c>
      <c r="D164" s="15">
        <v>4.304347826086957</v>
      </c>
      <c r="E164" s="57">
        <v>550.88888888888891</v>
      </c>
      <c r="F164" s="15">
        <v>2371.217391304348</v>
      </c>
      <c r="G164" s="15">
        <v>4.7826086956521738</v>
      </c>
      <c r="H164" s="57">
        <v>694.90900000000022</v>
      </c>
      <c r="I164" s="15">
        <v>3323.4778260869575</v>
      </c>
      <c r="J164" s="15">
        <v>5</v>
      </c>
      <c r="K164" s="57">
        <v>723.53</v>
      </c>
      <c r="L164" s="15">
        <v>3617.6499999999996</v>
      </c>
      <c r="M164" s="76">
        <v>7.5733568059157905</v>
      </c>
      <c r="N164" s="76">
        <v>493.60059956209369</v>
      </c>
      <c r="O164" s="76">
        <v>3738.213460097697</v>
      </c>
      <c r="P164" s="15">
        <v>-2.5733568059157905</v>
      </c>
      <c r="Q164" s="15">
        <v>229.92940043790628</v>
      </c>
      <c r="R164" s="15">
        <v>-120.56346009769732</v>
      </c>
      <c r="S164" s="15">
        <v>1149.6470021895313</v>
      </c>
      <c r="T164" s="15">
        <v>-1270.2104622872287</v>
      </c>
      <c r="U164" s="78">
        <v>0.66020922137120763</v>
      </c>
      <c r="V164" s="17">
        <v>0.16161616161616149</v>
      </c>
      <c r="W164" s="17">
        <v>0.52565092229271304</v>
      </c>
      <c r="X164" s="17">
        <v>4.545454545454547E-2</v>
      </c>
      <c r="Y164" s="17">
        <v>8.851335537851282E-2</v>
      </c>
      <c r="Z164" s="86"/>
      <c r="AA164" s="86"/>
      <c r="AB164"/>
    </row>
    <row r="165" spans="1:28" hidden="1" outlineLevel="1" x14ac:dyDescent="0.25">
      <c r="A165" s="21" t="s">
        <v>364</v>
      </c>
      <c r="B165" s="21" t="s">
        <v>364</v>
      </c>
      <c r="C165" s="21" t="s">
        <v>363</v>
      </c>
      <c r="D165" s="15">
        <v>42.565217391304351</v>
      </c>
      <c r="E165" s="57">
        <v>478.28966292134857</v>
      </c>
      <c r="F165" s="15">
        <v>20358.503478260882</v>
      </c>
      <c r="G165" s="15">
        <v>51.652173913043477</v>
      </c>
      <c r="H165" s="57">
        <v>468.39370370370347</v>
      </c>
      <c r="I165" s="15">
        <v>24193.553043478249</v>
      </c>
      <c r="J165" s="15">
        <v>42</v>
      </c>
      <c r="K165" s="57">
        <v>339.86523809523806</v>
      </c>
      <c r="L165" s="15">
        <v>14274.339999999998</v>
      </c>
      <c r="M165" s="76">
        <v>71.8179475419103</v>
      </c>
      <c r="N165" s="76">
        <v>508.8991281239314</v>
      </c>
      <c r="O165" s="76">
        <v>36548.090887728395</v>
      </c>
      <c r="P165" s="15">
        <v>-29.8179475419103</v>
      </c>
      <c r="Q165" s="15">
        <v>-169.03389002869335</v>
      </c>
      <c r="R165" s="15">
        <v>-22273.750887728398</v>
      </c>
      <c r="S165" s="15">
        <v>-7099.4233812051207</v>
      </c>
      <c r="T165" s="15">
        <v>-15174.327506523276</v>
      </c>
      <c r="U165" s="78">
        <v>0.58481203428280026</v>
      </c>
      <c r="V165" s="17">
        <v>-1.3278855975485268E-2</v>
      </c>
      <c r="W165" s="17">
        <v>-0.29885121392923825</v>
      </c>
      <c r="X165" s="17">
        <v>-0.18686868686868685</v>
      </c>
      <c r="Y165" s="17">
        <v>-0.40999406022143281</v>
      </c>
      <c r="Z165" s="86"/>
      <c r="AA165" s="86"/>
      <c r="AB165"/>
    </row>
    <row r="166" spans="1:28" collapsed="1" x14ac:dyDescent="0.25">
      <c r="A166" s="21" t="s">
        <v>144</v>
      </c>
      <c r="B166" s="21" t="s">
        <v>150</v>
      </c>
      <c r="C166" s="21" t="s">
        <v>188</v>
      </c>
      <c r="D166" s="15">
        <v>0</v>
      </c>
      <c r="E166" s="57" t="s">
        <v>364</v>
      </c>
      <c r="F166" s="15">
        <v>0</v>
      </c>
      <c r="G166" s="15">
        <v>0</v>
      </c>
      <c r="H166" s="57" t="s">
        <v>364</v>
      </c>
      <c r="I166" s="15">
        <v>0</v>
      </c>
      <c r="J166" s="15">
        <v>68</v>
      </c>
      <c r="K166" s="57">
        <v>730.58397058823527</v>
      </c>
      <c r="L166" s="15">
        <v>49679.71</v>
      </c>
      <c r="M166" s="15">
        <v>83.695652173913047</v>
      </c>
      <c r="N166" s="15">
        <v>784.10285714285715</v>
      </c>
      <c r="O166" s="15">
        <v>65626</v>
      </c>
      <c r="P166" s="15">
        <v>-15.695652173913047</v>
      </c>
      <c r="Q166" s="15">
        <v>-53.518886554621872</v>
      </c>
      <c r="R166" s="15">
        <v>-15946.29</v>
      </c>
      <c r="S166" s="15">
        <v>-3639.2842857142873</v>
      </c>
      <c r="T166" s="15">
        <v>-12307.005714285717</v>
      </c>
      <c r="U166" s="17">
        <v>0.81246753246753245</v>
      </c>
      <c r="V166" s="17" t="s">
        <v>364</v>
      </c>
      <c r="W166" s="17" t="s">
        <v>364</v>
      </c>
      <c r="X166" s="17" t="s">
        <v>364</v>
      </c>
      <c r="Y166" s="17" t="s">
        <v>364</v>
      </c>
      <c r="Z166" s="86"/>
      <c r="AA166" s="86"/>
      <c r="AB166"/>
    </row>
    <row r="167" spans="1:28" hidden="1" outlineLevel="1" x14ac:dyDescent="0.25">
      <c r="A167" s="21" t="s">
        <v>364</v>
      </c>
      <c r="B167" s="21" t="s">
        <v>364</v>
      </c>
      <c r="C167" s="21" t="s">
        <v>362</v>
      </c>
      <c r="D167" s="15">
        <v>0</v>
      </c>
      <c r="E167" s="57" t="s">
        <v>364</v>
      </c>
      <c r="F167" s="15">
        <v>0</v>
      </c>
      <c r="G167" s="15">
        <v>0</v>
      </c>
      <c r="H167" s="57" t="s">
        <v>364</v>
      </c>
      <c r="I167" s="15">
        <v>0</v>
      </c>
      <c r="J167" s="15">
        <v>21</v>
      </c>
      <c r="K167" s="57">
        <v>1212.8571428571429</v>
      </c>
      <c r="L167" s="15">
        <v>25470</v>
      </c>
      <c r="M167" s="76">
        <v>34.053945249597419</v>
      </c>
      <c r="N167" s="76">
        <v>1215.3397229446105</v>
      </c>
      <c r="O167" s="76">
        <v>41387.112384816661</v>
      </c>
      <c r="P167" s="15">
        <v>-13.053945249597419</v>
      </c>
      <c r="Q167" s="15">
        <v>-2.4825800874675679</v>
      </c>
      <c r="R167" s="15">
        <v>-15917.112384816661</v>
      </c>
      <c r="S167" s="15">
        <v>-52.134181836818925</v>
      </c>
      <c r="T167" s="15">
        <v>-15864.978202979841</v>
      </c>
      <c r="U167" s="78">
        <v>0.61666863695472285</v>
      </c>
      <c r="V167" s="17" t="s">
        <v>364</v>
      </c>
      <c r="W167" s="17" t="s">
        <v>364</v>
      </c>
      <c r="X167" s="17" t="s">
        <v>364</v>
      </c>
      <c r="Y167" s="17" t="s">
        <v>364</v>
      </c>
      <c r="Z167" s="86"/>
      <c r="AA167" s="86"/>
      <c r="AB167"/>
    </row>
    <row r="168" spans="1:28" hidden="1" outlineLevel="1" x14ac:dyDescent="0.25">
      <c r="A168" s="21" t="s">
        <v>364</v>
      </c>
      <c r="B168" s="21" t="s">
        <v>364</v>
      </c>
      <c r="C168" s="21" t="s">
        <v>363</v>
      </c>
      <c r="D168" s="15">
        <v>0</v>
      </c>
      <c r="E168" s="57" t="s">
        <v>364</v>
      </c>
      <c r="F168" s="15">
        <v>0</v>
      </c>
      <c r="G168" s="15">
        <v>0</v>
      </c>
      <c r="H168" s="57" t="s">
        <v>364</v>
      </c>
      <c r="I168" s="15">
        <v>0</v>
      </c>
      <c r="J168" s="15">
        <v>47</v>
      </c>
      <c r="K168" s="57">
        <v>515.10021276595739</v>
      </c>
      <c r="L168" s="15">
        <v>24209.71</v>
      </c>
      <c r="M168" s="76">
        <v>49.641706924315628</v>
      </c>
      <c r="N168" s="76">
        <v>488.27667533951342</v>
      </c>
      <c r="O168" s="76">
        <v>24238.887615183336</v>
      </c>
      <c r="P168" s="15">
        <v>-2.6417069243156277</v>
      </c>
      <c r="Q168" s="15">
        <v>26.823537426443977</v>
      </c>
      <c r="R168" s="15">
        <v>-29.177615183336457</v>
      </c>
      <c r="S168" s="15">
        <v>1260.7062590428668</v>
      </c>
      <c r="T168" s="15">
        <v>-1289.8838742262062</v>
      </c>
      <c r="U168" s="78">
        <v>0.94678452680236791</v>
      </c>
      <c r="V168" s="17" t="s">
        <v>364</v>
      </c>
      <c r="W168" s="17" t="s">
        <v>364</v>
      </c>
      <c r="X168" s="17" t="s">
        <v>364</v>
      </c>
      <c r="Y168" s="17" t="s">
        <v>364</v>
      </c>
      <c r="Z168" s="86"/>
      <c r="AA168" s="86"/>
      <c r="AB168"/>
    </row>
    <row r="169" spans="1:28" collapsed="1" x14ac:dyDescent="0.25">
      <c r="A169" s="21" t="s">
        <v>145</v>
      </c>
      <c r="B169" s="21" t="s">
        <v>149</v>
      </c>
      <c r="C169" s="21" t="s">
        <v>189</v>
      </c>
      <c r="D169" s="15">
        <v>0</v>
      </c>
      <c r="E169" s="57" t="s">
        <v>364</v>
      </c>
      <c r="F169" s="15">
        <v>0</v>
      </c>
      <c r="G169" s="15">
        <v>0</v>
      </c>
      <c r="H169" s="57" t="s">
        <v>364</v>
      </c>
      <c r="I169" s="15">
        <v>0</v>
      </c>
      <c r="J169" s="15">
        <v>52</v>
      </c>
      <c r="K169" s="57">
        <v>312.37711538461542</v>
      </c>
      <c r="L169" s="15">
        <v>16243.61</v>
      </c>
      <c r="M169" s="15">
        <v>79.391304347826093</v>
      </c>
      <c r="N169" s="15">
        <v>507.43975903614455</v>
      </c>
      <c r="O169" s="15">
        <v>40286.304347826088</v>
      </c>
      <c r="P169" s="15">
        <v>-27.391304347826093</v>
      </c>
      <c r="Q169" s="15">
        <v>-195.06264365152913</v>
      </c>
      <c r="R169" s="15">
        <v>-24042.694347826087</v>
      </c>
      <c r="S169" s="15">
        <v>-10143.257469879514</v>
      </c>
      <c r="T169" s="15">
        <v>-13899.436877946571</v>
      </c>
      <c r="U169" s="17">
        <v>0.65498357064622115</v>
      </c>
      <c r="V169" s="17" t="s">
        <v>364</v>
      </c>
      <c r="W169" s="17" t="s">
        <v>364</v>
      </c>
      <c r="X169" s="17" t="s">
        <v>364</v>
      </c>
      <c r="Y169" s="17" t="s">
        <v>364</v>
      </c>
      <c r="Z169" s="86"/>
      <c r="AA169" s="86"/>
      <c r="AB169"/>
    </row>
    <row r="170" spans="1:28" hidden="1" outlineLevel="1" x14ac:dyDescent="0.25">
      <c r="A170" s="21" t="s">
        <v>364</v>
      </c>
      <c r="B170" s="21" t="s">
        <v>364</v>
      </c>
      <c r="C170" s="21" t="s">
        <v>362</v>
      </c>
      <c r="D170" s="15">
        <v>0</v>
      </c>
      <c r="E170" s="57" t="s">
        <v>364</v>
      </c>
      <c r="F170" s="15">
        <v>0</v>
      </c>
      <c r="G170" s="15">
        <v>0</v>
      </c>
      <c r="H170" s="57" t="s">
        <v>364</v>
      </c>
      <c r="I170" s="15">
        <v>0</v>
      </c>
      <c r="J170" s="15">
        <v>3</v>
      </c>
      <c r="K170" s="57">
        <v>533.33333333333337</v>
      </c>
      <c r="L170" s="15">
        <v>1600</v>
      </c>
      <c r="M170" s="76">
        <v>7.5733568059157905</v>
      </c>
      <c r="N170" s="76">
        <v>493.60059956209369</v>
      </c>
      <c r="O170" s="76">
        <v>3738.213460097697</v>
      </c>
      <c r="P170" s="15">
        <v>-4.5733568059157905</v>
      </c>
      <c r="Q170" s="15">
        <v>39.73273377123968</v>
      </c>
      <c r="R170" s="15">
        <v>-2138.213460097697</v>
      </c>
      <c r="S170" s="15">
        <v>119.19820131371904</v>
      </c>
      <c r="T170" s="15">
        <v>-2257.4116614114159</v>
      </c>
      <c r="U170" s="78">
        <v>0.39612553282272456</v>
      </c>
      <c r="V170" s="17" t="s">
        <v>364</v>
      </c>
      <c r="W170" s="17" t="s">
        <v>364</v>
      </c>
      <c r="X170" s="17" t="s">
        <v>364</v>
      </c>
      <c r="Y170" s="17" t="s">
        <v>364</v>
      </c>
      <c r="Z170" s="86"/>
      <c r="AA170" s="86"/>
      <c r="AB170"/>
    </row>
    <row r="171" spans="1:28" hidden="1" outlineLevel="1" x14ac:dyDescent="0.25">
      <c r="A171" s="21" t="s">
        <v>364</v>
      </c>
      <c r="B171" s="21" t="s">
        <v>364</v>
      </c>
      <c r="C171" s="21" t="s">
        <v>363</v>
      </c>
      <c r="D171" s="15">
        <v>0</v>
      </c>
      <c r="E171" s="57" t="s">
        <v>364</v>
      </c>
      <c r="F171" s="15">
        <v>0</v>
      </c>
      <c r="G171" s="15">
        <v>0</v>
      </c>
      <c r="H171" s="57" t="s">
        <v>364</v>
      </c>
      <c r="I171" s="15">
        <v>0</v>
      </c>
      <c r="J171" s="15">
        <v>49</v>
      </c>
      <c r="K171" s="57">
        <v>298.84918367346938</v>
      </c>
      <c r="L171" s="15">
        <v>14643.61</v>
      </c>
      <c r="M171" s="76">
        <v>71.8179475419103</v>
      </c>
      <c r="N171" s="76">
        <v>508.8991281239314</v>
      </c>
      <c r="O171" s="76">
        <v>36548.090887728395</v>
      </c>
      <c r="P171" s="15">
        <v>-22.8179475419103</v>
      </c>
      <c r="Q171" s="15">
        <v>-210.04994445046202</v>
      </c>
      <c r="R171" s="15">
        <v>-21904.480887728394</v>
      </c>
      <c r="S171" s="15">
        <v>-10292.447278072639</v>
      </c>
      <c r="T171" s="15">
        <v>-11612.033609655755</v>
      </c>
      <c r="U171" s="78">
        <v>0.68228070666326701</v>
      </c>
      <c r="V171" s="17" t="s">
        <v>364</v>
      </c>
      <c r="W171" s="17" t="s">
        <v>364</v>
      </c>
      <c r="X171" s="17" t="s">
        <v>364</v>
      </c>
      <c r="Y171" s="17" t="s">
        <v>364</v>
      </c>
      <c r="Z171" s="86"/>
      <c r="AA171" s="86"/>
      <c r="AB171"/>
    </row>
    <row r="172" spans="1:28" collapsed="1" x14ac:dyDescent="0.25">
      <c r="A172" s="21" t="s">
        <v>145</v>
      </c>
      <c r="B172" s="21" t="s">
        <v>219</v>
      </c>
      <c r="C172" s="21" t="s">
        <v>190</v>
      </c>
      <c r="D172" s="15">
        <v>0</v>
      </c>
      <c r="E172" s="57" t="s">
        <v>364</v>
      </c>
      <c r="F172" s="15">
        <v>0</v>
      </c>
      <c r="G172" s="15">
        <v>0</v>
      </c>
      <c r="H172" s="57" t="s">
        <v>364</v>
      </c>
      <c r="I172" s="15">
        <v>0</v>
      </c>
      <c r="J172" s="15">
        <v>0</v>
      </c>
      <c r="K172" s="57" t="s">
        <v>364</v>
      </c>
      <c r="L172" s="15">
        <v>0</v>
      </c>
      <c r="M172" s="15">
        <v>131.04347826086956</v>
      </c>
      <c r="N172" s="15">
        <v>498.27007299270076</v>
      </c>
      <c r="O172" s="15">
        <v>65295.043478260872</v>
      </c>
      <c r="P172" s="15">
        <v>-131.04347826086956</v>
      </c>
      <c r="Q172" s="15" t="s">
        <v>364</v>
      </c>
      <c r="R172" s="15">
        <v>-65295.043478260872</v>
      </c>
      <c r="S172" s="15" t="s">
        <v>364</v>
      </c>
      <c r="T172" s="15">
        <v>-65295.043478260872</v>
      </c>
      <c r="U172" s="17">
        <v>0</v>
      </c>
      <c r="V172" s="17" t="s">
        <v>364</v>
      </c>
      <c r="W172" s="17" t="s">
        <v>364</v>
      </c>
      <c r="X172" s="17" t="s">
        <v>364</v>
      </c>
      <c r="Y172" s="17" t="s">
        <v>364</v>
      </c>
      <c r="Z172" s="86"/>
      <c r="AA172" s="86"/>
      <c r="AB172"/>
    </row>
    <row r="173" spans="1:28" hidden="1" outlineLevel="1" x14ac:dyDescent="0.25">
      <c r="A173" s="21" t="s">
        <v>364</v>
      </c>
      <c r="B173" s="21" t="s">
        <v>364</v>
      </c>
      <c r="C173" s="21" t="s">
        <v>362</v>
      </c>
      <c r="D173" s="15">
        <v>0</v>
      </c>
      <c r="E173" s="57" t="s">
        <v>364</v>
      </c>
      <c r="F173" s="15">
        <v>0</v>
      </c>
      <c r="G173" s="15">
        <v>0</v>
      </c>
      <c r="H173" s="57" t="s">
        <v>364</v>
      </c>
      <c r="I173" s="15">
        <v>0</v>
      </c>
      <c r="J173" s="15">
        <v>0</v>
      </c>
      <c r="K173" s="57" t="s">
        <v>364</v>
      </c>
      <c r="L173" s="15">
        <v>0</v>
      </c>
      <c r="M173" s="76">
        <v>25.168267884533257</v>
      </c>
      <c r="N173" s="76">
        <v>594.95787110561184</v>
      </c>
      <c r="O173" s="76">
        <v>14974.059079997647</v>
      </c>
      <c r="P173" s="15">
        <v>-25.168267884533257</v>
      </c>
      <c r="Q173" s="15" t="s">
        <v>364</v>
      </c>
      <c r="R173" s="15">
        <v>-14974.059079997647</v>
      </c>
      <c r="S173" s="15" t="s">
        <v>364</v>
      </c>
      <c r="T173" s="15">
        <v>-14974.059079997647</v>
      </c>
      <c r="U173" s="78">
        <v>0</v>
      </c>
      <c r="V173" s="17" t="s">
        <v>364</v>
      </c>
      <c r="W173" s="17" t="s">
        <v>364</v>
      </c>
      <c r="X173" s="17" t="s">
        <v>364</v>
      </c>
      <c r="Y173" s="17" t="s">
        <v>364</v>
      </c>
      <c r="Z173" s="86"/>
      <c r="AA173" s="86"/>
      <c r="AB173"/>
    </row>
    <row r="174" spans="1:28" hidden="1" outlineLevel="1" x14ac:dyDescent="0.25">
      <c r="A174" s="21" t="s">
        <v>364</v>
      </c>
      <c r="B174" s="21" t="s">
        <v>364</v>
      </c>
      <c r="C174" s="21" t="s">
        <v>363</v>
      </c>
      <c r="D174" s="15">
        <v>0</v>
      </c>
      <c r="E174" s="57" t="s">
        <v>364</v>
      </c>
      <c r="F174" s="15">
        <v>0</v>
      </c>
      <c r="G174" s="15">
        <v>0</v>
      </c>
      <c r="H174" s="57" t="s">
        <v>364</v>
      </c>
      <c r="I174" s="15">
        <v>0</v>
      </c>
      <c r="J174" s="15">
        <v>0</v>
      </c>
      <c r="K174" s="57" t="s">
        <v>364</v>
      </c>
      <c r="L174" s="15">
        <v>0</v>
      </c>
      <c r="M174" s="76">
        <v>105.87521037633631</v>
      </c>
      <c r="N174" s="76">
        <v>475.28580315822671</v>
      </c>
      <c r="O174" s="76">
        <v>50320.984398263223</v>
      </c>
      <c r="P174" s="15">
        <v>-105.87521037633631</v>
      </c>
      <c r="Q174" s="15" t="s">
        <v>364</v>
      </c>
      <c r="R174" s="15">
        <v>-50320.984398263223</v>
      </c>
      <c r="S174" s="15" t="s">
        <v>364</v>
      </c>
      <c r="T174" s="15">
        <v>-50320.984398263223</v>
      </c>
      <c r="U174" s="78">
        <v>0</v>
      </c>
      <c r="V174" s="17" t="s">
        <v>364</v>
      </c>
      <c r="W174" s="17" t="s">
        <v>364</v>
      </c>
      <c r="X174" s="17" t="s">
        <v>364</v>
      </c>
      <c r="Y174" s="17" t="s">
        <v>364</v>
      </c>
      <c r="Z174" s="86"/>
      <c r="AA174" s="86"/>
      <c r="AB174"/>
    </row>
    <row r="175" spans="1:28" collapsed="1" x14ac:dyDescent="0.25">
      <c r="A175" s="21" t="s">
        <v>145</v>
      </c>
      <c r="B175" s="21" t="s">
        <v>219</v>
      </c>
      <c r="C175" s="21" t="s">
        <v>191</v>
      </c>
      <c r="D175" s="15">
        <v>136.30434782608697</v>
      </c>
      <c r="E175" s="57">
        <v>463.42364912280738</v>
      </c>
      <c r="F175" s="15">
        <v>63166.658260869619</v>
      </c>
      <c r="G175" s="15">
        <v>197.04347826086956</v>
      </c>
      <c r="H175" s="57">
        <v>366.39570388349551</v>
      </c>
      <c r="I175" s="15">
        <v>72195.883913043552</v>
      </c>
      <c r="J175" s="15">
        <v>67</v>
      </c>
      <c r="K175" s="57">
        <v>430.30358208955232</v>
      </c>
      <c r="L175" s="15">
        <v>28830.340000000004</v>
      </c>
      <c r="M175" s="15">
        <v>151.13043478260869</v>
      </c>
      <c r="N175" s="15">
        <v>439.27848101265829</v>
      </c>
      <c r="O175" s="15">
        <v>66388.34782608696</v>
      </c>
      <c r="P175" s="15">
        <v>-84.130434782608688</v>
      </c>
      <c r="Q175" s="15">
        <v>-8.9748989231059682</v>
      </c>
      <c r="R175" s="15">
        <v>-37558.007826086956</v>
      </c>
      <c r="S175" s="15">
        <v>-601.31822784809992</v>
      </c>
      <c r="T175" s="15">
        <v>-36956.68959823886</v>
      </c>
      <c r="U175" s="17">
        <v>0.44332566168009208</v>
      </c>
      <c r="V175" s="17">
        <v>-0.50845295055821371</v>
      </c>
      <c r="W175" s="17">
        <v>-0.54358294717864186</v>
      </c>
      <c r="X175" s="17">
        <v>-0.65997352162400702</v>
      </c>
      <c r="Y175" s="17">
        <v>-0.60066504574243107</v>
      </c>
      <c r="Z175" s="86"/>
      <c r="AA175" s="86"/>
      <c r="AB175"/>
    </row>
    <row r="176" spans="1:28" hidden="1" outlineLevel="1" x14ac:dyDescent="0.25">
      <c r="A176" s="21" t="s">
        <v>364</v>
      </c>
      <c r="B176" s="21" t="s">
        <v>364</v>
      </c>
      <c r="C176" s="21" t="s">
        <v>362</v>
      </c>
      <c r="D176" s="15">
        <v>22</v>
      </c>
      <c r="E176" s="57">
        <v>453.36847826086955</v>
      </c>
      <c r="F176" s="15">
        <v>9974.1065217391297</v>
      </c>
      <c r="G176" s="15">
        <v>28.217391304347828</v>
      </c>
      <c r="H176" s="57">
        <v>468.86881355932201</v>
      </c>
      <c r="I176" s="15">
        <v>13230.254782608696</v>
      </c>
      <c r="J176" s="15">
        <v>15</v>
      </c>
      <c r="K176" s="57">
        <v>236.41</v>
      </c>
      <c r="L176" s="15">
        <v>3546.15</v>
      </c>
      <c r="M176" s="76">
        <v>29.026177560264632</v>
      </c>
      <c r="N176" s="76">
        <v>524.51913942185865</v>
      </c>
      <c r="O176" s="76">
        <v>15224.785674616069</v>
      </c>
      <c r="P176" s="15">
        <v>-14.026177560264632</v>
      </c>
      <c r="Q176" s="15">
        <v>-288.10913942185869</v>
      </c>
      <c r="R176" s="15">
        <v>-11678.635674616069</v>
      </c>
      <c r="S176" s="15">
        <v>-4321.6370913278806</v>
      </c>
      <c r="T176" s="15">
        <v>-7356.9985832881894</v>
      </c>
      <c r="U176" s="78">
        <v>0.51677489979025837</v>
      </c>
      <c r="V176" s="17">
        <v>-0.31818181818181818</v>
      </c>
      <c r="W176" s="17">
        <v>-0.64446439465319871</v>
      </c>
      <c r="X176" s="17">
        <v>-0.46841294298921421</v>
      </c>
      <c r="Y176" s="17">
        <v>-0.7319666130193162</v>
      </c>
      <c r="Z176" s="86"/>
      <c r="AA176" s="86"/>
      <c r="AB176"/>
    </row>
    <row r="177" spans="1:28" hidden="1" outlineLevel="1" x14ac:dyDescent="0.25">
      <c r="A177" s="21" t="s">
        <v>364</v>
      </c>
      <c r="B177" s="21" t="s">
        <v>364</v>
      </c>
      <c r="C177" s="21" t="s">
        <v>363</v>
      </c>
      <c r="D177" s="15">
        <v>114.30434782608695</v>
      </c>
      <c r="E177" s="57">
        <v>465.35895397489588</v>
      </c>
      <c r="F177" s="15">
        <v>53192.551739130489</v>
      </c>
      <c r="G177" s="15">
        <v>168.82608695652175</v>
      </c>
      <c r="H177" s="57">
        <v>349.26847025495789</v>
      </c>
      <c r="I177" s="15">
        <v>58965.629130434849</v>
      </c>
      <c r="J177" s="15">
        <v>52</v>
      </c>
      <c r="K177" s="57">
        <v>486.23442307692312</v>
      </c>
      <c r="L177" s="15">
        <v>25284.190000000002</v>
      </c>
      <c r="M177" s="76">
        <v>122.10425722234406</v>
      </c>
      <c r="N177" s="76">
        <v>419.01538337279516</v>
      </c>
      <c r="O177" s="76">
        <v>51163.562151470891</v>
      </c>
      <c r="P177" s="15">
        <v>-70.10425722234406</v>
      </c>
      <c r="Q177" s="15">
        <v>67.219039704127965</v>
      </c>
      <c r="R177" s="15">
        <v>-25879.372151470889</v>
      </c>
      <c r="S177" s="15">
        <v>3495.390064614654</v>
      </c>
      <c r="T177" s="15">
        <v>-29374.762216085539</v>
      </c>
      <c r="U177" s="78">
        <v>0.42586557735911956</v>
      </c>
      <c r="V177" s="17">
        <v>-0.54507417268923541</v>
      </c>
      <c r="W177" s="17">
        <v>-0.52466672168690154</v>
      </c>
      <c r="X177" s="17">
        <v>-0.69199072881792434</v>
      </c>
      <c r="Y177" s="17">
        <v>-0.5712046089753382</v>
      </c>
      <c r="Z177" s="86"/>
      <c r="AA177" s="86"/>
      <c r="AB177"/>
    </row>
    <row r="178" spans="1:28" collapsed="1" x14ac:dyDescent="0.25">
      <c r="A178" s="21" t="s">
        <v>144</v>
      </c>
      <c r="B178" s="21" t="s">
        <v>148</v>
      </c>
      <c r="C178" s="21" t="s">
        <v>192</v>
      </c>
      <c r="D178" s="15">
        <v>0</v>
      </c>
      <c r="E178" s="57" t="s">
        <v>364</v>
      </c>
      <c r="F178" s="15">
        <v>0</v>
      </c>
      <c r="G178" s="15">
        <v>0</v>
      </c>
      <c r="H178" s="57" t="s">
        <v>364</v>
      </c>
      <c r="I178" s="15">
        <v>0</v>
      </c>
      <c r="J178" s="15">
        <v>35</v>
      </c>
      <c r="K178" s="57">
        <v>999.07142857142856</v>
      </c>
      <c r="L178" s="15">
        <v>34967.5</v>
      </c>
      <c r="M178" s="15">
        <v>83.695652173913047</v>
      </c>
      <c r="N178" s="15">
        <v>914.95428571428579</v>
      </c>
      <c r="O178" s="15">
        <v>76577.695652173919</v>
      </c>
      <c r="P178" s="15">
        <v>-48.695652173913047</v>
      </c>
      <c r="Q178" s="15">
        <v>84.117142857142767</v>
      </c>
      <c r="R178" s="15">
        <v>-41610.195652173919</v>
      </c>
      <c r="S178" s="15">
        <v>2944.0999999999967</v>
      </c>
      <c r="T178" s="15">
        <v>-44554.295652173918</v>
      </c>
      <c r="U178" s="17">
        <v>0.41818181818181815</v>
      </c>
      <c r="V178" s="17" t="s">
        <v>364</v>
      </c>
      <c r="W178" s="17" t="s">
        <v>364</v>
      </c>
      <c r="X178" s="17" t="s">
        <v>364</v>
      </c>
      <c r="Y178" s="17" t="s">
        <v>364</v>
      </c>
      <c r="Z178" s="86"/>
      <c r="AA178" s="86"/>
      <c r="AB178"/>
    </row>
    <row r="179" spans="1:28" hidden="1" outlineLevel="1" x14ac:dyDescent="0.25">
      <c r="A179" s="21" t="s">
        <v>364</v>
      </c>
      <c r="B179" s="21" t="s">
        <v>364</v>
      </c>
      <c r="C179" s="21" t="s">
        <v>362</v>
      </c>
      <c r="D179" s="15">
        <v>0</v>
      </c>
      <c r="E179" s="57" t="s">
        <v>364</v>
      </c>
      <c r="F179" s="15">
        <v>0</v>
      </c>
      <c r="G179" s="15">
        <v>0</v>
      </c>
      <c r="H179" s="57" t="s">
        <v>364</v>
      </c>
      <c r="I179" s="15">
        <v>0</v>
      </c>
      <c r="J179" s="15">
        <v>10</v>
      </c>
      <c r="K179" s="57">
        <v>465</v>
      </c>
      <c r="L179" s="15">
        <v>4650</v>
      </c>
      <c r="M179" s="76">
        <v>20.764492288115012</v>
      </c>
      <c r="N179" s="76">
        <v>990.75524375548684</v>
      </c>
      <c r="O179" s="76">
        <v>20572.529618370314</v>
      </c>
      <c r="P179" s="15">
        <v>-10.764492288115012</v>
      </c>
      <c r="Q179" s="15">
        <v>-525.75524375548684</v>
      </c>
      <c r="R179" s="15">
        <v>-15922.529618370314</v>
      </c>
      <c r="S179" s="15">
        <v>-5257.5524375548684</v>
      </c>
      <c r="T179" s="15">
        <v>-10664.977180815447</v>
      </c>
      <c r="U179" s="78">
        <v>0.48159135611149556</v>
      </c>
      <c r="V179" s="17" t="s">
        <v>364</v>
      </c>
      <c r="W179" s="17" t="s">
        <v>364</v>
      </c>
      <c r="X179" s="17" t="s">
        <v>364</v>
      </c>
      <c r="Y179" s="17" t="s">
        <v>364</v>
      </c>
      <c r="Z179" s="86"/>
      <c r="AA179" s="86"/>
      <c r="AB179"/>
    </row>
    <row r="180" spans="1:28" hidden="1" outlineLevel="1" x14ac:dyDescent="0.25">
      <c r="A180" s="21" t="s">
        <v>364</v>
      </c>
      <c r="B180" s="21" t="s">
        <v>364</v>
      </c>
      <c r="C180" s="21" t="s">
        <v>363</v>
      </c>
      <c r="D180" s="15">
        <v>0</v>
      </c>
      <c r="E180" s="57" t="s">
        <v>364</v>
      </c>
      <c r="F180" s="15">
        <v>0</v>
      </c>
      <c r="G180" s="15">
        <v>0</v>
      </c>
      <c r="H180" s="57" t="s">
        <v>364</v>
      </c>
      <c r="I180" s="15">
        <v>0</v>
      </c>
      <c r="J180" s="15">
        <v>25</v>
      </c>
      <c r="K180" s="57">
        <v>1212.7</v>
      </c>
      <c r="L180" s="15">
        <v>30317.5</v>
      </c>
      <c r="M180" s="76">
        <v>62.931159885798031</v>
      </c>
      <c r="N180" s="76">
        <v>889.94333070353196</v>
      </c>
      <c r="O180" s="76">
        <v>56005.166033803602</v>
      </c>
      <c r="P180" s="15">
        <v>-37.931159885798031</v>
      </c>
      <c r="Q180" s="15">
        <v>322.75666929646809</v>
      </c>
      <c r="R180" s="15">
        <v>-25687.666033803602</v>
      </c>
      <c r="S180" s="15">
        <v>8068.9167324117025</v>
      </c>
      <c r="T180" s="15">
        <v>-33756.582766215302</v>
      </c>
      <c r="U180" s="78">
        <v>0.39725948235131553</v>
      </c>
      <c r="V180" s="17" t="s">
        <v>364</v>
      </c>
      <c r="W180" s="17" t="s">
        <v>364</v>
      </c>
      <c r="X180" s="17" t="s">
        <v>364</v>
      </c>
      <c r="Y180" s="17" t="s">
        <v>364</v>
      </c>
      <c r="Z180" s="86"/>
      <c r="AA180" s="86"/>
      <c r="AB180"/>
    </row>
    <row r="181" spans="1:28" collapsed="1" x14ac:dyDescent="0.25">
      <c r="A181" s="21" t="s">
        <v>144</v>
      </c>
      <c r="B181" s="21" t="s">
        <v>148</v>
      </c>
      <c r="C181" s="21" t="s">
        <v>193</v>
      </c>
      <c r="D181" s="15">
        <v>59.304347826086961</v>
      </c>
      <c r="E181" s="57">
        <v>602.24185483871145</v>
      </c>
      <c r="F181" s="15">
        <v>35715.560434782717</v>
      </c>
      <c r="G181" s="15">
        <v>91.34782608695653</v>
      </c>
      <c r="H181" s="57">
        <v>1488.9289005235598</v>
      </c>
      <c r="I181" s="15">
        <v>136010.41826086954</v>
      </c>
      <c r="J181" s="15">
        <v>64</v>
      </c>
      <c r="K181" s="57">
        <v>965.171875</v>
      </c>
      <c r="L181" s="15">
        <v>61771</v>
      </c>
      <c r="M181" s="15">
        <v>83.695652173913047</v>
      </c>
      <c r="N181" s="15">
        <v>1015.6399999999999</v>
      </c>
      <c r="O181" s="15">
        <v>85004.65217391304</v>
      </c>
      <c r="P181" s="15">
        <v>-19.695652173913047</v>
      </c>
      <c r="Q181" s="15">
        <v>-50.468124999999873</v>
      </c>
      <c r="R181" s="15">
        <v>-23233.65217391304</v>
      </c>
      <c r="S181" s="15">
        <v>-3229.9599999999919</v>
      </c>
      <c r="T181" s="15">
        <v>-20003.692173913045</v>
      </c>
      <c r="U181" s="17">
        <v>0.76467532467532462</v>
      </c>
      <c r="V181" s="17">
        <v>7.9178885630498463E-2</v>
      </c>
      <c r="W181" s="17">
        <v>0.72952626944759846</v>
      </c>
      <c r="X181" s="17">
        <v>-0.29938124702522617</v>
      </c>
      <c r="Y181" s="17">
        <v>-0.54583626173751987</v>
      </c>
      <c r="Z181" s="86"/>
      <c r="AA181" s="86"/>
      <c r="AB181"/>
    </row>
    <row r="182" spans="1:28" hidden="1" outlineLevel="1" x14ac:dyDescent="0.25">
      <c r="A182" s="21" t="s">
        <v>364</v>
      </c>
      <c r="B182" s="21" t="s">
        <v>364</v>
      </c>
      <c r="C182" s="21" t="s">
        <v>362</v>
      </c>
      <c r="D182" s="15">
        <v>9.5652173913043477</v>
      </c>
      <c r="E182" s="57">
        <v>325</v>
      </c>
      <c r="F182" s="15">
        <v>3108.695652173913</v>
      </c>
      <c r="G182" s="15">
        <v>15.304347826086957</v>
      </c>
      <c r="H182" s="57">
        <v>2400.1556249999994</v>
      </c>
      <c r="I182" s="15">
        <v>36732.816521739122</v>
      </c>
      <c r="J182" s="15">
        <v>19</v>
      </c>
      <c r="K182" s="57">
        <v>782.84210526315792</v>
      </c>
      <c r="L182" s="15">
        <v>14874</v>
      </c>
      <c r="M182" s="76">
        <v>20.764492288115012</v>
      </c>
      <c r="N182" s="76">
        <v>1099.7824388376557</v>
      </c>
      <c r="O182" s="76">
        <v>22836.423969848824</v>
      </c>
      <c r="P182" s="15">
        <v>-1.7644922881150116</v>
      </c>
      <c r="Q182" s="15">
        <v>-316.9403335744978</v>
      </c>
      <c r="R182" s="15">
        <v>-7962.4239698488236</v>
      </c>
      <c r="S182" s="15">
        <v>-6021.8663379154586</v>
      </c>
      <c r="T182" s="15">
        <v>-1940.5576319333629</v>
      </c>
      <c r="U182" s="78">
        <v>0.91502357661184153</v>
      </c>
      <c r="V182" s="17">
        <v>0.98636363636363644</v>
      </c>
      <c r="W182" s="17">
        <v>3.784643356643357</v>
      </c>
      <c r="X182" s="17">
        <v>0.24147727272727268</v>
      </c>
      <c r="Y182" s="17">
        <v>-0.59507597270148593</v>
      </c>
      <c r="Z182" s="86"/>
      <c r="AA182" s="86"/>
      <c r="AB182"/>
    </row>
    <row r="183" spans="1:28" hidden="1" outlineLevel="1" x14ac:dyDescent="0.25">
      <c r="A183" s="21" t="s">
        <v>364</v>
      </c>
      <c r="B183" s="21" t="s">
        <v>364</v>
      </c>
      <c r="C183" s="21" t="s">
        <v>363</v>
      </c>
      <c r="D183" s="15">
        <v>49.739130434782609</v>
      </c>
      <c r="E183" s="57">
        <v>655.55759615384829</v>
      </c>
      <c r="F183" s="15">
        <v>32606.864782608802</v>
      </c>
      <c r="G183" s="15">
        <v>76.043478260869563</v>
      </c>
      <c r="H183" s="57">
        <v>1305.5373584905658</v>
      </c>
      <c r="I183" s="15">
        <v>99277.601739130405</v>
      </c>
      <c r="J183" s="15">
        <v>45</v>
      </c>
      <c r="K183" s="57">
        <v>1042.1555555555556</v>
      </c>
      <c r="L183" s="15">
        <v>46897</v>
      </c>
      <c r="M183" s="76">
        <v>62.931159885798031</v>
      </c>
      <c r="N183" s="76">
        <v>987.87672620180024</v>
      </c>
      <c r="O183" s="76">
        <v>62168.228204064217</v>
      </c>
      <c r="P183" s="15">
        <v>-17.931159885798031</v>
      </c>
      <c r="Q183" s="15">
        <v>54.278829353755327</v>
      </c>
      <c r="R183" s="15">
        <v>-15271.228204064217</v>
      </c>
      <c r="S183" s="15">
        <v>2442.5473209189895</v>
      </c>
      <c r="T183" s="15">
        <v>-17713.775524983204</v>
      </c>
      <c r="U183" s="78">
        <v>0.71506706823236799</v>
      </c>
      <c r="V183" s="17">
        <v>-9.5279720279720287E-2</v>
      </c>
      <c r="W183" s="17">
        <v>0.43825541991430544</v>
      </c>
      <c r="X183" s="17">
        <v>-0.40823327615780441</v>
      </c>
      <c r="Y183" s="17">
        <v>-0.52761751715930616</v>
      </c>
      <c r="Z183" s="86"/>
      <c r="AA183" s="86"/>
      <c r="AB183"/>
    </row>
    <row r="184" spans="1:28" collapsed="1" x14ac:dyDescent="0.25">
      <c r="A184" s="21" t="s">
        <v>145</v>
      </c>
      <c r="B184" s="21" t="s">
        <v>151</v>
      </c>
      <c r="C184" s="21" t="s">
        <v>194</v>
      </c>
      <c r="D184" s="15">
        <v>0</v>
      </c>
      <c r="E184" s="57" t="s">
        <v>364</v>
      </c>
      <c r="F184" s="15">
        <v>0</v>
      </c>
      <c r="G184" s="15">
        <v>0</v>
      </c>
      <c r="H184" s="57" t="s">
        <v>364</v>
      </c>
      <c r="I184" s="15">
        <v>0</v>
      </c>
      <c r="J184" s="15">
        <v>0</v>
      </c>
      <c r="K184" s="57" t="s">
        <v>364</v>
      </c>
      <c r="L184" s="15">
        <v>0</v>
      </c>
      <c r="M184" s="15">
        <v>79.391304347826093</v>
      </c>
      <c r="N184" s="15">
        <v>352.15060240963851</v>
      </c>
      <c r="O184" s="15">
        <v>27957.695652173912</v>
      </c>
      <c r="P184" s="15">
        <v>-79.391304347826093</v>
      </c>
      <c r="Q184" s="15" t="s">
        <v>364</v>
      </c>
      <c r="R184" s="15">
        <v>-27957.695652173912</v>
      </c>
      <c r="S184" s="15" t="s">
        <v>364</v>
      </c>
      <c r="T184" s="15">
        <v>-27957.695652173912</v>
      </c>
      <c r="U184" s="17">
        <v>0</v>
      </c>
      <c r="V184" s="17" t="s">
        <v>364</v>
      </c>
      <c r="W184" s="17" t="s">
        <v>364</v>
      </c>
      <c r="X184" s="17" t="s">
        <v>364</v>
      </c>
      <c r="Y184" s="17" t="s">
        <v>364</v>
      </c>
      <c r="Z184" s="86"/>
      <c r="AA184" s="86"/>
      <c r="AB184"/>
    </row>
    <row r="185" spans="1:28" hidden="1" outlineLevel="1" x14ac:dyDescent="0.25">
      <c r="A185" s="21" t="s">
        <v>364</v>
      </c>
      <c r="B185" s="21" t="s">
        <v>364</v>
      </c>
      <c r="C185" s="21" t="s">
        <v>362</v>
      </c>
      <c r="D185" s="15">
        <v>0</v>
      </c>
      <c r="E185" s="57" t="s">
        <v>364</v>
      </c>
      <c r="F185" s="15">
        <v>0</v>
      </c>
      <c r="G185" s="15">
        <v>0</v>
      </c>
      <c r="H185" s="57" t="s">
        <v>364</v>
      </c>
      <c r="I185" s="15">
        <v>0</v>
      </c>
      <c r="J185" s="15">
        <v>0</v>
      </c>
      <c r="K185" s="57" t="s">
        <v>364</v>
      </c>
      <c r="L185" s="15">
        <v>0</v>
      </c>
      <c r="M185" s="76">
        <v>17.808532110462437</v>
      </c>
      <c r="N185" s="76">
        <v>385.28289221131718</v>
      </c>
      <c r="O185" s="76">
        <v>6861.32275755708</v>
      </c>
      <c r="P185" s="15">
        <v>-17.808532110462437</v>
      </c>
      <c r="Q185" s="15" t="s">
        <v>364</v>
      </c>
      <c r="R185" s="15">
        <v>-6861.32275755708</v>
      </c>
      <c r="S185" s="15" t="s">
        <v>364</v>
      </c>
      <c r="T185" s="15">
        <v>-6861.32275755708</v>
      </c>
      <c r="U185" s="78">
        <v>0</v>
      </c>
      <c r="V185" s="17" t="s">
        <v>364</v>
      </c>
      <c r="W185" s="17" t="s">
        <v>364</v>
      </c>
      <c r="X185" s="17" t="s">
        <v>364</v>
      </c>
      <c r="Y185" s="17" t="s">
        <v>364</v>
      </c>
      <c r="Z185" s="86"/>
      <c r="AA185" s="86"/>
      <c r="AB185"/>
    </row>
    <row r="186" spans="1:28" hidden="1" outlineLevel="1" x14ac:dyDescent="0.25">
      <c r="A186" s="21" t="s">
        <v>364</v>
      </c>
      <c r="B186" s="21" t="s">
        <v>364</v>
      </c>
      <c r="C186" s="21" t="s">
        <v>363</v>
      </c>
      <c r="D186" s="15">
        <v>0</v>
      </c>
      <c r="E186" s="57" t="s">
        <v>364</v>
      </c>
      <c r="F186" s="15">
        <v>0</v>
      </c>
      <c r="G186" s="15">
        <v>0</v>
      </c>
      <c r="H186" s="57" t="s">
        <v>364</v>
      </c>
      <c r="I186" s="15">
        <v>0</v>
      </c>
      <c r="J186" s="15">
        <v>0</v>
      </c>
      <c r="K186" s="57" t="s">
        <v>364</v>
      </c>
      <c r="L186" s="15">
        <v>0</v>
      </c>
      <c r="M186" s="76">
        <v>61.582772237363656</v>
      </c>
      <c r="N186" s="76">
        <v>342.56939283771294</v>
      </c>
      <c r="O186" s="76">
        <v>21096.372894616834</v>
      </c>
      <c r="P186" s="15">
        <v>-61.582772237363656</v>
      </c>
      <c r="Q186" s="15" t="s">
        <v>364</v>
      </c>
      <c r="R186" s="15">
        <v>-21096.372894616834</v>
      </c>
      <c r="S186" s="15" t="s">
        <v>364</v>
      </c>
      <c r="T186" s="15">
        <v>-21096.372894616834</v>
      </c>
      <c r="U186" s="78">
        <v>0</v>
      </c>
      <c r="V186" s="17" t="s">
        <v>364</v>
      </c>
      <c r="W186" s="17" t="s">
        <v>364</v>
      </c>
      <c r="X186" s="17" t="s">
        <v>364</v>
      </c>
      <c r="Y186" s="17" t="s">
        <v>364</v>
      </c>
      <c r="Z186" s="86"/>
      <c r="AA186" s="86"/>
      <c r="AB186"/>
    </row>
    <row r="187" spans="1:28" collapsed="1" x14ac:dyDescent="0.25">
      <c r="A187" s="21" t="s">
        <v>145</v>
      </c>
      <c r="B187" s="21" t="s">
        <v>151</v>
      </c>
      <c r="C187" s="21" t="s">
        <v>195</v>
      </c>
      <c r="D187" s="15">
        <v>30.608695652173914</v>
      </c>
      <c r="E187" s="57">
        <v>286.39734375000012</v>
      </c>
      <c r="F187" s="15">
        <v>8766.2491304347859</v>
      </c>
      <c r="G187" s="15">
        <v>46.391304347826086</v>
      </c>
      <c r="H187" s="57">
        <v>363.30051546391758</v>
      </c>
      <c r="I187" s="15">
        <v>16853.984782608699</v>
      </c>
      <c r="J187" s="15">
        <v>95</v>
      </c>
      <c r="K187" s="57">
        <v>263.94989473684211</v>
      </c>
      <c r="L187" s="15">
        <v>25075.24</v>
      </c>
      <c r="M187" s="15">
        <v>83.695652173913047</v>
      </c>
      <c r="N187" s="15">
        <v>352.59428571428572</v>
      </c>
      <c r="O187" s="15">
        <v>29510.608695652176</v>
      </c>
      <c r="P187" s="15">
        <v>11.304347826086953</v>
      </c>
      <c r="Q187" s="15">
        <v>-88.644390977443607</v>
      </c>
      <c r="R187" s="15">
        <v>-4435.3686956521742</v>
      </c>
      <c r="S187" s="15">
        <v>-8421.2171428571419</v>
      </c>
      <c r="T187" s="15">
        <v>3985.8484472049677</v>
      </c>
      <c r="U187" s="17">
        <v>1.1350649350649351</v>
      </c>
      <c r="V187" s="17">
        <v>2.1036931818181821</v>
      </c>
      <c r="W187" s="17">
        <v>1.8604297718329079</v>
      </c>
      <c r="X187" s="17">
        <v>1.0477975632614809</v>
      </c>
      <c r="Y187" s="17">
        <v>0.4877929654875835</v>
      </c>
      <c r="Z187"/>
      <c r="AA187"/>
      <c r="AB187"/>
    </row>
    <row r="188" spans="1:28" hidden="1" outlineLevel="1" x14ac:dyDescent="0.25">
      <c r="A188" s="21" t="s">
        <v>364</v>
      </c>
      <c r="B188" s="21" t="s">
        <v>364</v>
      </c>
      <c r="C188" s="21" t="s">
        <v>362</v>
      </c>
      <c r="D188" s="15">
        <v>7.6521739130434785</v>
      </c>
      <c r="E188" s="57">
        <v>281.04374999999999</v>
      </c>
      <c r="F188" s="15">
        <v>2150.5956521739131</v>
      </c>
      <c r="G188" s="15">
        <v>14.347826086956522</v>
      </c>
      <c r="H188" s="57">
        <v>242.97666666666669</v>
      </c>
      <c r="I188" s="15">
        <v>3486.1869565217394</v>
      </c>
      <c r="J188" s="15">
        <v>29</v>
      </c>
      <c r="K188" s="57">
        <v>272.68965517241378</v>
      </c>
      <c r="L188" s="15">
        <v>7908</v>
      </c>
      <c r="M188" s="76">
        <v>18.774054935728472</v>
      </c>
      <c r="N188" s="76">
        <v>385.76831971213829</v>
      </c>
      <c r="O188" s="76">
        <v>7242.4356267393487</v>
      </c>
      <c r="P188" s="15">
        <v>10.225945064271528</v>
      </c>
      <c r="Q188" s="15">
        <v>-113.07866453972451</v>
      </c>
      <c r="R188" s="15">
        <v>665.56437326065134</v>
      </c>
      <c r="S188" s="15">
        <v>-3279.2812716520111</v>
      </c>
      <c r="T188" s="15">
        <v>3944.8456449126616</v>
      </c>
      <c r="U188" s="78">
        <v>1.5446849441572033</v>
      </c>
      <c r="V188" s="17">
        <v>2.7897727272727275</v>
      </c>
      <c r="W188" s="17">
        <v>2.6771207976758711</v>
      </c>
      <c r="X188" s="17">
        <v>1.0212121212121212</v>
      </c>
      <c r="Y188" s="17">
        <v>1.2683809269626836</v>
      </c>
      <c r="Z188"/>
      <c r="AA188"/>
      <c r="AB188"/>
    </row>
    <row r="189" spans="1:28" hidden="1" outlineLevel="1" x14ac:dyDescent="0.25">
      <c r="A189" s="21" t="s">
        <v>364</v>
      </c>
      <c r="B189" s="21" t="s">
        <v>364</v>
      </c>
      <c r="C189" s="21" t="s">
        <v>363</v>
      </c>
      <c r="D189" s="15">
        <v>22.956521739130437</v>
      </c>
      <c r="E189" s="57">
        <v>288.18187500000016</v>
      </c>
      <c r="F189" s="15">
        <v>6615.6534782608742</v>
      </c>
      <c r="G189" s="15">
        <v>32.043478260869563</v>
      </c>
      <c r="H189" s="57">
        <v>417.17686567164202</v>
      </c>
      <c r="I189" s="15">
        <v>13367.797826086962</v>
      </c>
      <c r="J189" s="15">
        <v>66</v>
      </c>
      <c r="K189" s="57">
        <v>260.10969696969698</v>
      </c>
      <c r="L189" s="15">
        <v>17167.240000000002</v>
      </c>
      <c r="M189" s="76">
        <v>64.921597238184575</v>
      </c>
      <c r="N189" s="76">
        <v>343.00100453806272</v>
      </c>
      <c r="O189" s="76">
        <v>22268.173068912827</v>
      </c>
      <c r="P189" s="15">
        <v>1.0784027618154255</v>
      </c>
      <c r="Q189" s="15">
        <v>-82.891307568365733</v>
      </c>
      <c r="R189" s="15">
        <v>-5100.9330689128255</v>
      </c>
      <c r="S189" s="15">
        <v>-5470.8262995121386</v>
      </c>
      <c r="T189" s="15">
        <v>369.89323059931212</v>
      </c>
      <c r="U189" s="78">
        <v>1.0166108476638209</v>
      </c>
      <c r="V189" s="17">
        <v>1.8749999999999998</v>
      </c>
      <c r="W189" s="17">
        <v>1.5949424431632917</v>
      </c>
      <c r="X189" s="17">
        <v>1.0597014925373136</v>
      </c>
      <c r="Y189" s="17">
        <v>0.28422349165832772</v>
      </c>
      <c r="Z189"/>
      <c r="AA189"/>
      <c r="AB189"/>
    </row>
    <row r="190" spans="1:28" collapsed="1" x14ac:dyDescent="0.25">
      <c r="A190" s="21" t="s">
        <v>145</v>
      </c>
      <c r="B190" s="21" t="s">
        <v>151</v>
      </c>
      <c r="C190" s="21" t="s">
        <v>196</v>
      </c>
      <c r="D190" s="15">
        <v>0</v>
      </c>
      <c r="E190" s="57" t="s">
        <v>364</v>
      </c>
      <c r="F190" s="15">
        <v>0</v>
      </c>
      <c r="G190" s="15">
        <v>0</v>
      </c>
      <c r="H190" s="57" t="s">
        <v>364</v>
      </c>
      <c r="I190" s="15">
        <v>0</v>
      </c>
      <c r="J190" s="15">
        <v>20</v>
      </c>
      <c r="K190" s="57">
        <v>296.3</v>
      </c>
      <c r="L190" s="15">
        <v>5926</v>
      </c>
      <c r="M190" s="15">
        <v>50.695652173913047</v>
      </c>
      <c r="N190" s="15">
        <v>354.33018867924528</v>
      </c>
      <c r="O190" s="15">
        <v>17963</v>
      </c>
      <c r="P190" s="15">
        <v>-30.695652173913047</v>
      </c>
      <c r="Q190" s="15">
        <v>-58.030188679245271</v>
      </c>
      <c r="R190" s="15">
        <v>-12037</v>
      </c>
      <c r="S190" s="15">
        <v>-1160.6037735849054</v>
      </c>
      <c r="T190" s="15">
        <v>-10876.396226415096</v>
      </c>
      <c r="U190" s="17">
        <v>0.39451114922813035</v>
      </c>
      <c r="V190" s="17" t="s">
        <v>364</v>
      </c>
      <c r="W190" s="17" t="s">
        <v>364</v>
      </c>
      <c r="X190" s="17" t="s">
        <v>364</v>
      </c>
      <c r="Y190" s="17" t="s">
        <v>364</v>
      </c>
      <c r="Z190"/>
      <c r="AA190"/>
      <c r="AB190"/>
    </row>
    <row r="191" spans="1:28" hidden="1" outlineLevel="1" x14ac:dyDescent="0.25">
      <c r="A191" s="21" t="s">
        <v>364</v>
      </c>
      <c r="B191" s="21" t="s">
        <v>364</v>
      </c>
      <c r="C191" s="21" t="s">
        <v>362</v>
      </c>
      <c r="D191" s="15">
        <v>0</v>
      </c>
      <c r="E191" s="57" t="s">
        <v>364</v>
      </c>
      <c r="F191" s="15">
        <v>0</v>
      </c>
      <c r="G191" s="15">
        <v>0</v>
      </c>
      <c r="H191" s="57" t="s">
        <v>364</v>
      </c>
      <c r="I191" s="15">
        <v>0</v>
      </c>
      <c r="J191" s="15">
        <v>10</v>
      </c>
      <c r="K191" s="57">
        <v>208.2</v>
      </c>
      <c r="L191" s="15">
        <v>2082</v>
      </c>
      <c r="M191" s="76">
        <v>11.371713275355532</v>
      </c>
      <c r="N191" s="76">
        <v>387.66754609528613</v>
      </c>
      <c r="O191" s="76">
        <v>4408.4441803562677</v>
      </c>
      <c r="P191" s="15">
        <v>-1.3717132753555319</v>
      </c>
      <c r="Q191" s="15">
        <v>-179.46754609528614</v>
      </c>
      <c r="R191" s="15">
        <v>-2326.4441803562677</v>
      </c>
      <c r="S191" s="15">
        <v>-1794.6754609528614</v>
      </c>
      <c r="T191" s="15">
        <v>-531.76871940340652</v>
      </c>
      <c r="U191" s="78">
        <v>0.87937496820920802</v>
      </c>
      <c r="V191" s="17" t="s">
        <v>364</v>
      </c>
      <c r="W191" s="17" t="s">
        <v>364</v>
      </c>
      <c r="X191" s="17" t="s">
        <v>364</v>
      </c>
      <c r="Y191" s="17" t="s">
        <v>364</v>
      </c>
      <c r="Z191"/>
      <c r="AA191"/>
      <c r="AB191"/>
    </row>
    <row r="192" spans="1:28" hidden="1" outlineLevel="1" x14ac:dyDescent="0.25">
      <c r="A192" s="21" t="s">
        <v>364</v>
      </c>
      <c r="B192" s="21" t="s">
        <v>364</v>
      </c>
      <c r="C192" s="21" t="s">
        <v>363</v>
      </c>
      <c r="D192" s="15">
        <v>0</v>
      </c>
      <c r="E192" s="57" t="s">
        <v>364</v>
      </c>
      <c r="F192" s="15">
        <v>0</v>
      </c>
      <c r="G192" s="15">
        <v>0</v>
      </c>
      <c r="H192" s="57" t="s">
        <v>364</v>
      </c>
      <c r="I192" s="15">
        <v>0</v>
      </c>
      <c r="J192" s="15">
        <v>10</v>
      </c>
      <c r="K192" s="57">
        <v>384.4</v>
      </c>
      <c r="L192" s="15">
        <v>3844</v>
      </c>
      <c r="M192" s="76">
        <v>39.323938898557515</v>
      </c>
      <c r="N192" s="76">
        <v>344.68967756790363</v>
      </c>
      <c r="O192" s="76">
        <v>13554.555819643732</v>
      </c>
      <c r="P192" s="15">
        <v>-29.323938898557515</v>
      </c>
      <c r="Q192" s="15">
        <v>39.710322432096348</v>
      </c>
      <c r="R192" s="15">
        <v>-9710.5558196437323</v>
      </c>
      <c r="S192" s="15">
        <v>397.10322432096348</v>
      </c>
      <c r="T192" s="15">
        <v>-10107.659043964697</v>
      </c>
      <c r="U192" s="78">
        <v>0.25429802507313987</v>
      </c>
      <c r="V192" s="17" t="s">
        <v>364</v>
      </c>
      <c r="W192" s="17" t="s">
        <v>364</v>
      </c>
      <c r="X192" s="17" t="s">
        <v>364</v>
      </c>
      <c r="Y192" s="17" t="s">
        <v>364</v>
      </c>
      <c r="Z192"/>
      <c r="AA192"/>
      <c r="AB192"/>
    </row>
    <row r="193" spans="1:28" collapsed="1" x14ac:dyDescent="0.25">
      <c r="A193" s="21" t="s">
        <v>144</v>
      </c>
      <c r="B193" s="21" t="s">
        <v>152</v>
      </c>
      <c r="C193" s="21" t="s">
        <v>197</v>
      </c>
      <c r="D193" s="15">
        <v>0</v>
      </c>
      <c r="E193" s="57" t="s">
        <v>364</v>
      </c>
      <c r="F193" s="15">
        <v>0</v>
      </c>
      <c r="G193" s="15">
        <v>0</v>
      </c>
      <c r="H193" s="57" t="s">
        <v>364</v>
      </c>
      <c r="I193" s="15">
        <v>0</v>
      </c>
      <c r="J193" s="15">
        <v>135</v>
      </c>
      <c r="K193" s="57">
        <v>216.4814814814815</v>
      </c>
      <c r="L193" s="15">
        <v>29225</v>
      </c>
      <c r="M193" s="15">
        <v>129.13043478260869</v>
      </c>
      <c r="N193" s="15">
        <v>275.48888888888888</v>
      </c>
      <c r="O193" s="15">
        <v>35574</v>
      </c>
      <c r="P193" s="15">
        <v>5.8695652173913118</v>
      </c>
      <c r="Q193" s="15">
        <v>-59.007407407407385</v>
      </c>
      <c r="R193" s="15">
        <v>-6349</v>
      </c>
      <c r="S193" s="15">
        <v>-7965.9999999999973</v>
      </c>
      <c r="T193" s="15">
        <v>1617.000000000002</v>
      </c>
      <c r="U193" s="17">
        <v>1.0454545454545454</v>
      </c>
      <c r="V193" s="17" t="s">
        <v>364</v>
      </c>
      <c r="W193" s="17" t="s">
        <v>364</v>
      </c>
      <c r="X193" s="17" t="s">
        <v>364</v>
      </c>
      <c r="Y193" s="17" t="s">
        <v>364</v>
      </c>
      <c r="Z193"/>
      <c r="AA193"/>
      <c r="AB193"/>
    </row>
    <row r="194" spans="1:28" hidden="1" outlineLevel="1" x14ac:dyDescent="0.25">
      <c r="A194" s="21" t="s">
        <v>364</v>
      </c>
      <c r="B194" s="21" t="s">
        <v>364</v>
      </c>
      <c r="C194" s="21" t="s">
        <v>362</v>
      </c>
      <c r="D194" s="15">
        <v>0</v>
      </c>
      <c r="E194" s="57" t="s">
        <v>364</v>
      </c>
      <c r="F194" s="15">
        <v>0</v>
      </c>
      <c r="G194" s="15">
        <v>0</v>
      </c>
      <c r="H194" s="57" t="s">
        <v>364</v>
      </c>
      <c r="I194" s="15">
        <v>0</v>
      </c>
      <c r="J194" s="15">
        <v>31</v>
      </c>
      <c r="K194" s="57">
        <v>255.51612903225808</v>
      </c>
      <c r="L194" s="15">
        <v>7921</v>
      </c>
      <c r="M194" s="76">
        <v>25.778924704715461</v>
      </c>
      <c r="N194" s="76">
        <v>348.23373638782869</v>
      </c>
      <c r="O194" s="76">
        <v>8977.0912699835681</v>
      </c>
      <c r="P194" s="15">
        <v>5.221075295284539</v>
      </c>
      <c r="Q194" s="15">
        <v>-92.717607355570607</v>
      </c>
      <c r="R194" s="15">
        <v>-1056.0912699835681</v>
      </c>
      <c r="S194" s="15">
        <v>-2874.2458280226888</v>
      </c>
      <c r="T194" s="15">
        <v>1818.154558039121</v>
      </c>
      <c r="U194" s="78">
        <v>1.2025327027829638</v>
      </c>
      <c r="V194" s="17" t="s">
        <v>364</v>
      </c>
      <c r="W194" s="17" t="s">
        <v>364</v>
      </c>
      <c r="X194" s="17" t="s">
        <v>364</v>
      </c>
      <c r="Y194" s="17" t="s">
        <v>364</v>
      </c>
      <c r="Z194"/>
      <c r="AA194"/>
      <c r="AB194"/>
    </row>
    <row r="195" spans="1:28" hidden="1" outlineLevel="1" x14ac:dyDescent="0.25">
      <c r="A195" s="21" t="s">
        <v>364</v>
      </c>
      <c r="B195" s="21" t="s">
        <v>364</v>
      </c>
      <c r="C195" s="21" t="s">
        <v>363</v>
      </c>
      <c r="D195" s="15">
        <v>0</v>
      </c>
      <c r="E195" s="57" t="s">
        <v>364</v>
      </c>
      <c r="F195" s="15">
        <v>0</v>
      </c>
      <c r="G195" s="15">
        <v>0</v>
      </c>
      <c r="H195" s="57" t="s">
        <v>364</v>
      </c>
      <c r="I195" s="15">
        <v>0</v>
      </c>
      <c r="J195" s="15">
        <v>104</v>
      </c>
      <c r="K195" s="57">
        <v>204.84615384615384</v>
      </c>
      <c r="L195" s="15">
        <v>21304</v>
      </c>
      <c r="M195" s="76">
        <v>103.35151007789322</v>
      </c>
      <c r="N195" s="76">
        <v>257.34417145885016</v>
      </c>
      <c r="O195" s="76">
        <v>26596.908730016432</v>
      </c>
      <c r="P195" s="15">
        <v>0.64848992210677636</v>
      </c>
      <c r="Q195" s="15">
        <v>-52.498017612696316</v>
      </c>
      <c r="R195" s="15">
        <v>-5292.9087300164319</v>
      </c>
      <c r="S195" s="15">
        <v>-5459.7938317204171</v>
      </c>
      <c r="T195" s="15">
        <v>166.88510170398263</v>
      </c>
      <c r="U195" s="78">
        <v>1.0062746051955895</v>
      </c>
      <c r="V195" s="17" t="s">
        <v>364</v>
      </c>
      <c r="W195" s="17" t="s">
        <v>364</v>
      </c>
      <c r="X195" s="17" t="s">
        <v>364</v>
      </c>
      <c r="Y195" s="17" t="s">
        <v>364</v>
      </c>
      <c r="Z195"/>
      <c r="AA195"/>
      <c r="AB195"/>
    </row>
    <row r="196" spans="1:28" collapsed="1" x14ac:dyDescent="0.25">
      <c r="A196" s="21" t="s">
        <v>144</v>
      </c>
      <c r="B196" s="21" t="s">
        <v>152</v>
      </c>
      <c r="C196" s="21" t="s">
        <v>198</v>
      </c>
      <c r="D196" s="15">
        <v>109.04347826086956</v>
      </c>
      <c r="E196" s="57">
        <v>221.3486842105263</v>
      </c>
      <c r="F196" s="15">
        <v>24136.630434782608</v>
      </c>
      <c r="G196" s="15">
        <v>151.60869565217391</v>
      </c>
      <c r="H196" s="57">
        <v>230.59936908517352</v>
      </c>
      <c r="I196" s="15">
        <v>34960.869565217392</v>
      </c>
      <c r="J196" s="15">
        <v>43</v>
      </c>
      <c r="K196" s="57">
        <v>246.09302325581396</v>
      </c>
      <c r="L196" s="15">
        <v>10582</v>
      </c>
      <c r="M196" s="15">
        <v>89.913043478260875</v>
      </c>
      <c r="N196" s="15">
        <v>275.23404255319144</v>
      </c>
      <c r="O196" s="15">
        <v>24747.130434782608</v>
      </c>
      <c r="P196" s="15">
        <v>-46.913043478260875</v>
      </c>
      <c r="Q196" s="15">
        <v>-29.141019297377483</v>
      </c>
      <c r="R196" s="15">
        <v>-14165.130434782608</v>
      </c>
      <c r="S196" s="15">
        <v>-1253.0638297872317</v>
      </c>
      <c r="T196" s="15">
        <v>-12912.066604995374</v>
      </c>
      <c r="U196" s="17">
        <v>0.47823984526112184</v>
      </c>
      <c r="V196" s="17">
        <v>-0.60566188197767146</v>
      </c>
      <c r="W196" s="17">
        <v>-0.56157923416059841</v>
      </c>
      <c r="X196" s="17">
        <v>-0.71637510754229994</v>
      </c>
      <c r="Y196" s="17">
        <v>-0.69731874145006845</v>
      </c>
      <c r="Z196"/>
      <c r="AA196"/>
      <c r="AB196"/>
    </row>
    <row r="197" spans="1:28" hidden="1" outlineLevel="1" x14ac:dyDescent="0.25">
      <c r="A197" s="21" t="s">
        <v>364</v>
      </c>
      <c r="B197" s="21" t="s">
        <v>364</v>
      </c>
      <c r="C197" s="21" t="s">
        <v>362</v>
      </c>
      <c r="D197" s="15">
        <v>22.478260869565219</v>
      </c>
      <c r="E197" s="57">
        <v>236.18085106382978</v>
      </c>
      <c r="F197" s="15">
        <v>5308.934782608696</v>
      </c>
      <c r="G197" s="15">
        <v>33.478260869565219</v>
      </c>
      <c r="H197" s="57">
        <v>235.74285714285716</v>
      </c>
      <c r="I197" s="15">
        <v>7892.2608695652179</v>
      </c>
      <c r="J197" s="15">
        <v>10</v>
      </c>
      <c r="K197" s="57">
        <v>289.89999999999998</v>
      </c>
      <c r="L197" s="15">
        <v>2899</v>
      </c>
      <c r="M197" s="76">
        <v>17.94976979439447</v>
      </c>
      <c r="N197" s="76">
        <v>347.91159602114243</v>
      </c>
      <c r="O197" s="76">
        <v>6244.9330573798734</v>
      </c>
      <c r="P197" s="15">
        <v>-7.9497697943944701</v>
      </c>
      <c r="Q197" s="15">
        <v>-58.011596021142452</v>
      </c>
      <c r="R197" s="15">
        <v>-3345.9330573798734</v>
      </c>
      <c r="S197" s="15">
        <v>-580.11596021142452</v>
      </c>
      <c r="T197" s="15">
        <v>-2765.8170971684494</v>
      </c>
      <c r="U197" s="78">
        <v>0.55711020890768737</v>
      </c>
      <c r="V197" s="17">
        <v>-0.55512572533849136</v>
      </c>
      <c r="W197" s="17">
        <v>-0.45393942123819159</v>
      </c>
      <c r="X197" s="17">
        <v>-0.70129870129870131</v>
      </c>
      <c r="Y197" s="17">
        <v>-0.63267813267813267</v>
      </c>
      <c r="Z197"/>
      <c r="AA197"/>
      <c r="AB197"/>
    </row>
    <row r="198" spans="1:28" hidden="1" outlineLevel="1" x14ac:dyDescent="0.25">
      <c r="A198" s="21" t="s">
        <v>364</v>
      </c>
      <c r="B198" s="21" t="s">
        <v>364</v>
      </c>
      <c r="C198" s="21" t="s">
        <v>363</v>
      </c>
      <c r="D198" s="15">
        <v>86.565217391304344</v>
      </c>
      <c r="E198" s="57">
        <v>217.49723756906076</v>
      </c>
      <c r="F198" s="15">
        <v>18827.695652173912</v>
      </c>
      <c r="G198" s="15">
        <v>118.1304347826087</v>
      </c>
      <c r="H198" s="57">
        <v>229.14170040485831</v>
      </c>
      <c r="I198" s="15">
        <v>27068.608695652176</v>
      </c>
      <c r="J198" s="15">
        <v>33</v>
      </c>
      <c r="K198" s="57">
        <v>232.81818181818181</v>
      </c>
      <c r="L198" s="15">
        <v>7683</v>
      </c>
      <c r="M198" s="76">
        <v>71.963273683866404</v>
      </c>
      <c r="N198" s="76">
        <v>257.10611024565969</v>
      </c>
      <c r="O198" s="76">
        <v>18502.197377402736</v>
      </c>
      <c r="P198" s="15">
        <v>-38.963273683866404</v>
      </c>
      <c r="Q198" s="15">
        <v>-24.28792842747788</v>
      </c>
      <c r="R198" s="15">
        <v>-10819.197377402736</v>
      </c>
      <c r="S198" s="15">
        <v>-801.50163810677009</v>
      </c>
      <c r="T198" s="15">
        <v>-10017.695739295967</v>
      </c>
      <c r="U198" s="78">
        <v>0.45856724285457762</v>
      </c>
      <c r="V198" s="17">
        <v>-0.61878453038674031</v>
      </c>
      <c r="W198" s="17">
        <v>-0.59193094354523978</v>
      </c>
      <c r="X198" s="17">
        <v>-0.72064777327935226</v>
      </c>
      <c r="Y198" s="17">
        <v>-0.7161656852635333</v>
      </c>
      <c r="Z198"/>
      <c r="AA198"/>
      <c r="AB198"/>
    </row>
    <row r="199" spans="1:28" collapsed="1" x14ac:dyDescent="0.25">
      <c r="A199" s="21" t="s">
        <v>145</v>
      </c>
      <c r="B199" s="21" t="s">
        <v>152</v>
      </c>
      <c r="C199" s="21" t="s">
        <v>199</v>
      </c>
      <c r="D199" s="15">
        <v>0</v>
      </c>
      <c r="E199" s="57" t="s">
        <v>364</v>
      </c>
      <c r="F199" s="15">
        <v>0</v>
      </c>
      <c r="G199" s="15">
        <v>0</v>
      </c>
      <c r="H199" s="57" t="s">
        <v>364</v>
      </c>
      <c r="I199" s="15">
        <v>0</v>
      </c>
      <c r="J199" s="15">
        <v>137</v>
      </c>
      <c r="K199" s="57">
        <v>159.83306569343063</v>
      </c>
      <c r="L199" s="15">
        <v>21897.129999999997</v>
      </c>
      <c r="M199" s="15">
        <v>299.39130434782612</v>
      </c>
      <c r="N199" s="15">
        <v>142.90894568690095</v>
      </c>
      <c r="O199" s="15">
        <v>42785.695652173912</v>
      </c>
      <c r="P199" s="15">
        <v>-162.39130434782612</v>
      </c>
      <c r="Q199" s="15">
        <v>16.924120006529677</v>
      </c>
      <c r="R199" s="15">
        <v>-20888.565652173915</v>
      </c>
      <c r="S199" s="15">
        <v>2318.6044408945659</v>
      </c>
      <c r="T199" s="15">
        <v>-23207.170093068486</v>
      </c>
      <c r="U199" s="17">
        <v>0.45759512053441759</v>
      </c>
      <c r="V199" s="17" t="s">
        <v>364</v>
      </c>
      <c r="W199" s="17" t="s">
        <v>364</v>
      </c>
      <c r="X199" s="17" t="s">
        <v>364</v>
      </c>
      <c r="Y199" s="17" t="s">
        <v>364</v>
      </c>
      <c r="Z199"/>
      <c r="AA199"/>
      <c r="AB199"/>
    </row>
    <row r="200" spans="1:28" hidden="1" outlineLevel="1" x14ac:dyDescent="0.25">
      <c r="A200" s="21" t="s">
        <v>364</v>
      </c>
      <c r="B200" s="21" t="s">
        <v>364</v>
      </c>
      <c r="C200" s="21" t="s">
        <v>362</v>
      </c>
      <c r="D200" s="15">
        <v>0</v>
      </c>
      <c r="E200" s="57" t="s">
        <v>364</v>
      </c>
      <c r="F200" s="15">
        <v>0</v>
      </c>
      <c r="G200" s="15">
        <v>0</v>
      </c>
      <c r="H200" s="57" t="s">
        <v>364</v>
      </c>
      <c r="I200" s="15">
        <v>0</v>
      </c>
      <c r="J200" s="15">
        <v>35</v>
      </c>
      <c r="K200" s="57">
        <v>219.91428571428571</v>
      </c>
      <c r="L200" s="15">
        <v>7697</v>
      </c>
      <c r="M200" s="76">
        <v>59.768914315377337</v>
      </c>
      <c r="N200" s="76">
        <v>180.64509360254621</v>
      </c>
      <c r="O200" s="76">
        <v>10796.961121023904</v>
      </c>
      <c r="P200" s="15">
        <v>-24.768914315377337</v>
      </c>
      <c r="Q200" s="15">
        <v>39.2691921117395</v>
      </c>
      <c r="R200" s="15">
        <v>-3099.9611210239036</v>
      </c>
      <c r="S200" s="15">
        <v>1374.4217239108825</v>
      </c>
      <c r="T200" s="15">
        <v>-4474.3828449347857</v>
      </c>
      <c r="U200" s="78">
        <v>0.58558868604034864</v>
      </c>
      <c r="V200" s="17" t="s">
        <v>364</v>
      </c>
      <c r="W200" s="17" t="s">
        <v>364</v>
      </c>
      <c r="X200" s="17" t="s">
        <v>364</v>
      </c>
      <c r="Y200" s="17" t="s">
        <v>364</v>
      </c>
      <c r="Z200"/>
      <c r="AA200"/>
      <c r="AB200"/>
    </row>
    <row r="201" spans="1:28" hidden="1" outlineLevel="1" x14ac:dyDescent="0.25">
      <c r="A201" s="21" t="s">
        <v>364</v>
      </c>
      <c r="B201" s="21" t="s">
        <v>364</v>
      </c>
      <c r="C201" s="21" t="s">
        <v>363</v>
      </c>
      <c r="D201" s="15">
        <v>0</v>
      </c>
      <c r="E201" s="57" t="s">
        <v>364</v>
      </c>
      <c r="F201" s="15">
        <v>0</v>
      </c>
      <c r="G201" s="15">
        <v>0</v>
      </c>
      <c r="H201" s="57" t="s">
        <v>364</v>
      </c>
      <c r="I201" s="15">
        <v>0</v>
      </c>
      <c r="J201" s="15">
        <v>102</v>
      </c>
      <c r="K201" s="57">
        <v>139.21696078431373</v>
      </c>
      <c r="L201" s="15">
        <v>14200.13</v>
      </c>
      <c r="M201" s="76">
        <v>239.62239003244878</v>
      </c>
      <c r="N201" s="76">
        <v>133.49643381329352</v>
      </c>
      <c r="O201" s="76">
        <v>31988.734531150007</v>
      </c>
      <c r="P201" s="15">
        <v>-137.62239003244878</v>
      </c>
      <c r="Q201" s="15">
        <v>5.720526971020206</v>
      </c>
      <c r="R201" s="15">
        <v>-17788.604531150006</v>
      </c>
      <c r="S201" s="15">
        <v>583.49375104406101</v>
      </c>
      <c r="T201" s="15">
        <v>-18372.098282194063</v>
      </c>
      <c r="U201" s="78">
        <v>0.4256697380665786</v>
      </c>
      <c r="V201" s="17" t="s">
        <v>364</v>
      </c>
      <c r="W201" s="17" t="s">
        <v>364</v>
      </c>
      <c r="X201" s="17" t="s">
        <v>364</v>
      </c>
      <c r="Y201" s="17" t="s">
        <v>364</v>
      </c>
      <c r="Z201"/>
      <c r="AA201"/>
      <c r="AB201"/>
    </row>
    <row r="202" spans="1:28" collapsed="1" x14ac:dyDescent="0.25">
      <c r="A202" s="21" t="s">
        <v>145</v>
      </c>
      <c r="B202" s="21" t="s">
        <v>152</v>
      </c>
      <c r="C202" s="21" t="s">
        <v>200</v>
      </c>
      <c r="D202" s="15">
        <v>279.30434782608694</v>
      </c>
      <c r="E202" s="57">
        <v>130.59599315068431</v>
      </c>
      <c r="F202" s="15">
        <v>36476.028695651999</v>
      </c>
      <c r="G202" s="15">
        <v>354.39130434782612</v>
      </c>
      <c r="H202" s="57">
        <v>132.6415249662615</v>
      </c>
      <c r="I202" s="15">
        <v>47007.003043478158</v>
      </c>
      <c r="J202" s="15">
        <v>275</v>
      </c>
      <c r="K202" s="57">
        <v>126.00556363636363</v>
      </c>
      <c r="L202" s="15">
        <v>34651.53</v>
      </c>
      <c r="M202" s="15">
        <v>336.21739130434781</v>
      </c>
      <c r="N202" s="15">
        <v>142.97581792318636</v>
      </c>
      <c r="O202" s="15">
        <v>48070.956521739135</v>
      </c>
      <c r="P202" s="15">
        <v>-61.217391304347814</v>
      </c>
      <c r="Q202" s="15">
        <v>-16.970254286822723</v>
      </c>
      <c r="R202" s="15">
        <v>-13419.426521739137</v>
      </c>
      <c r="S202" s="15">
        <v>-4666.8199288762489</v>
      </c>
      <c r="T202" s="15">
        <v>-8752.606592862885</v>
      </c>
      <c r="U202" s="17">
        <v>0.81792318634423899</v>
      </c>
      <c r="V202" s="17">
        <v>-1.5410958904109527E-2</v>
      </c>
      <c r="W202" s="17">
        <v>-5.0019115591645638E-2</v>
      </c>
      <c r="X202" s="17">
        <v>-0.22402159244264516</v>
      </c>
      <c r="Y202" s="17">
        <v>-0.26284324129428588</v>
      </c>
      <c r="Z202"/>
      <c r="AA202"/>
      <c r="AB202"/>
    </row>
    <row r="203" spans="1:28" hidden="1" outlineLevel="1" x14ac:dyDescent="0.25">
      <c r="A203" s="21" t="s">
        <v>364</v>
      </c>
      <c r="B203" s="21" t="s">
        <v>364</v>
      </c>
      <c r="C203" s="21" t="s">
        <v>362</v>
      </c>
      <c r="D203" s="15">
        <v>59.782608695652179</v>
      </c>
      <c r="E203" s="57">
        <v>194.98328000000004</v>
      </c>
      <c r="F203" s="15">
        <v>11656.609130434786</v>
      </c>
      <c r="G203" s="15">
        <v>60.739130434782609</v>
      </c>
      <c r="H203" s="57">
        <v>226.52244094488182</v>
      </c>
      <c r="I203" s="15">
        <v>13758.776086956517</v>
      </c>
      <c r="J203" s="15">
        <v>62</v>
      </c>
      <c r="K203" s="57">
        <v>181.72725806451612</v>
      </c>
      <c r="L203" s="15">
        <v>11267.09</v>
      </c>
      <c r="M203" s="76">
        <v>67.120681731166556</v>
      </c>
      <c r="N203" s="76">
        <v>180.72962393985384</v>
      </c>
      <c r="O203" s="76">
        <v>12130.69556786035</v>
      </c>
      <c r="P203" s="15">
        <v>-5.120681731166556</v>
      </c>
      <c r="Q203" s="15">
        <v>0.99763412466228374</v>
      </c>
      <c r="R203" s="15">
        <v>-863.60556786034977</v>
      </c>
      <c r="S203" s="15">
        <v>61.853315729061592</v>
      </c>
      <c r="T203" s="15">
        <v>-925.45888358941136</v>
      </c>
      <c r="U203" s="78">
        <v>0.92370933072944583</v>
      </c>
      <c r="V203" s="17">
        <v>3.7090909090909001E-2</v>
      </c>
      <c r="W203" s="17">
        <v>-3.3416161258918137E-2</v>
      </c>
      <c r="X203" s="17">
        <v>2.0758768790264844E-2</v>
      </c>
      <c r="Y203" s="17">
        <v>-0.18109794586443376</v>
      </c>
      <c r="Z203"/>
      <c r="AA203"/>
      <c r="AB203"/>
    </row>
    <row r="204" spans="1:28" hidden="1" outlineLevel="1" x14ac:dyDescent="0.25">
      <c r="A204" s="21" t="s">
        <v>364</v>
      </c>
      <c r="B204" s="21" t="s">
        <v>364</v>
      </c>
      <c r="C204" s="21" t="s">
        <v>363</v>
      </c>
      <c r="D204" s="15">
        <v>219.52173913043478</v>
      </c>
      <c r="E204" s="57">
        <v>113.06132897603406</v>
      </c>
      <c r="F204" s="15">
        <v>24819.419565217217</v>
      </c>
      <c r="G204" s="15">
        <v>293.6521739130435</v>
      </c>
      <c r="H204" s="57">
        <v>113.22315960912017</v>
      </c>
      <c r="I204" s="15">
        <v>33248.226956521641</v>
      </c>
      <c r="J204" s="15">
        <v>213</v>
      </c>
      <c r="K204" s="57">
        <v>109.78610328638499</v>
      </c>
      <c r="L204" s="15">
        <v>23384.440000000002</v>
      </c>
      <c r="M204" s="76">
        <v>269.09670957318127</v>
      </c>
      <c r="N204" s="76">
        <v>133.55890159669445</v>
      </c>
      <c r="O204" s="76">
        <v>35940.260953878787</v>
      </c>
      <c r="P204" s="15">
        <v>-56.096709573181272</v>
      </c>
      <c r="Q204" s="15">
        <v>-23.772798310309469</v>
      </c>
      <c r="R204" s="15">
        <v>-12555.820953878785</v>
      </c>
      <c r="S204" s="15">
        <v>-5063.6060400959168</v>
      </c>
      <c r="T204" s="15">
        <v>-7492.2149137828656</v>
      </c>
      <c r="U204" s="78">
        <v>0.79153699180433235</v>
      </c>
      <c r="V204" s="17">
        <v>-2.9708853238264998E-2</v>
      </c>
      <c r="W204" s="17">
        <v>-5.781680596705991E-2</v>
      </c>
      <c r="X204" s="17">
        <v>-0.27465205803968024</v>
      </c>
      <c r="Y204" s="17">
        <v>-0.29667106668335758</v>
      </c>
      <c r="Z204"/>
      <c r="AA204"/>
      <c r="AB204"/>
    </row>
    <row r="205" spans="1:28" collapsed="1" x14ac:dyDescent="0.25">
      <c r="A205" s="21" t="s">
        <v>145</v>
      </c>
      <c r="B205" s="21" t="s">
        <v>154</v>
      </c>
      <c r="C205" s="21" t="s">
        <v>201</v>
      </c>
      <c r="D205" s="15">
        <v>78.434782608695656</v>
      </c>
      <c r="E205" s="57">
        <v>746.51341463414656</v>
      </c>
      <c r="F205" s="15">
        <v>58552.617391304368</v>
      </c>
      <c r="G205" s="15">
        <v>109.04347826086956</v>
      </c>
      <c r="H205" s="57">
        <v>568.72162280701752</v>
      </c>
      <c r="I205" s="15">
        <v>62015.383913043479</v>
      </c>
      <c r="J205" s="15">
        <v>4</v>
      </c>
      <c r="K205" s="57">
        <v>162.6575</v>
      </c>
      <c r="L205" s="15">
        <v>650.63</v>
      </c>
      <c r="M205" s="15" t="s">
        <v>364</v>
      </c>
      <c r="N205" s="15" t="s">
        <v>364</v>
      </c>
      <c r="O205" s="15" t="s">
        <v>364</v>
      </c>
      <c r="P205" s="15" t="s">
        <v>364</v>
      </c>
      <c r="Q205" s="15" t="s">
        <v>364</v>
      </c>
      <c r="R205" s="15" t="s">
        <v>364</v>
      </c>
      <c r="S205" s="15" t="s">
        <v>364</v>
      </c>
      <c r="T205" s="15" t="s">
        <v>364</v>
      </c>
      <c r="U205" s="17" t="s">
        <v>364</v>
      </c>
      <c r="V205" s="17">
        <v>-0.9490022172949002</v>
      </c>
      <c r="W205" s="17">
        <v>-0.98888811416145805</v>
      </c>
      <c r="X205" s="17">
        <v>-0.96331738437001591</v>
      </c>
      <c r="Y205" s="17">
        <v>-0.98950857095535694</v>
      </c>
      <c r="Z205"/>
      <c r="AA205"/>
      <c r="AB205"/>
    </row>
    <row r="206" spans="1:28" hidden="1" outlineLevel="1" x14ac:dyDescent="0.25">
      <c r="A206" s="21" t="s">
        <v>364</v>
      </c>
      <c r="B206" s="21" t="s">
        <v>364</v>
      </c>
      <c r="C206" s="21" t="s">
        <v>362</v>
      </c>
      <c r="D206" s="15">
        <v>28.217391304347828</v>
      </c>
      <c r="E206" s="57">
        <v>508.90966101694909</v>
      </c>
      <c r="F206" s="15">
        <v>14360.103043478261</v>
      </c>
      <c r="G206" s="15">
        <v>33</v>
      </c>
      <c r="H206" s="57">
        <v>772.4011594202899</v>
      </c>
      <c r="I206" s="15">
        <v>25489.238260869566</v>
      </c>
      <c r="J206" s="15">
        <v>1</v>
      </c>
      <c r="K206" s="57">
        <v>49</v>
      </c>
      <c r="L206" s="15">
        <v>49</v>
      </c>
      <c r="M206" s="76" t="s">
        <v>364</v>
      </c>
      <c r="N206" s="76" t="s">
        <v>364</v>
      </c>
      <c r="O206" s="76" t="s">
        <v>364</v>
      </c>
      <c r="P206" s="15" t="s">
        <v>364</v>
      </c>
      <c r="Q206" s="15" t="s">
        <v>364</v>
      </c>
      <c r="R206" s="15" t="s">
        <v>364</v>
      </c>
      <c r="S206" s="15" t="s">
        <v>364</v>
      </c>
      <c r="T206" s="15" t="s">
        <v>364</v>
      </c>
      <c r="U206" s="78" t="s">
        <v>364</v>
      </c>
      <c r="V206" s="17">
        <v>-0.96456086286594767</v>
      </c>
      <c r="W206" s="17">
        <v>-0.99658776821784345</v>
      </c>
      <c r="X206" s="17">
        <v>-0.96969696969696972</v>
      </c>
      <c r="Y206" s="17">
        <v>-0.99807762007249845</v>
      </c>
      <c r="Z206"/>
      <c r="AA206"/>
      <c r="AB206"/>
    </row>
    <row r="207" spans="1:28" hidden="1" outlineLevel="1" x14ac:dyDescent="0.25">
      <c r="A207" s="21" t="s">
        <v>364</v>
      </c>
      <c r="B207" s="21" t="s">
        <v>364</v>
      </c>
      <c r="C207" s="21" t="s">
        <v>363</v>
      </c>
      <c r="D207" s="15">
        <v>50.217391304347828</v>
      </c>
      <c r="E207" s="57">
        <v>880.0240952380957</v>
      </c>
      <c r="F207" s="15">
        <v>44192.514347826109</v>
      </c>
      <c r="G207" s="15">
        <v>76.043478260869563</v>
      </c>
      <c r="H207" s="57">
        <v>480.332389937107</v>
      </c>
      <c r="I207" s="15">
        <v>36526.145652173916</v>
      </c>
      <c r="J207" s="15">
        <v>3</v>
      </c>
      <c r="K207" s="57">
        <v>200.54333333333332</v>
      </c>
      <c r="L207" s="15">
        <v>601.63</v>
      </c>
      <c r="M207" s="76" t="s">
        <v>364</v>
      </c>
      <c r="N207" s="76" t="s">
        <v>364</v>
      </c>
      <c r="O207" s="76" t="s">
        <v>364</v>
      </c>
      <c r="P207" s="15" t="s">
        <v>364</v>
      </c>
      <c r="Q207" s="15" t="s">
        <v>364</v>
      </c>
      <c r="R207" s="15" t="s">
        <v>364</v>
      </c>
      <c r="S207" s="15" t="s">
        <v>364</v>
      </c>
      <c r="T207" s="15" t="s">
        <v>364</v>
      </c>
      <c r="U207" s="78" t="s">
        <v>364</v>
      </c>
      <c r="V207" s="17">
        <v>-0.94025974025974024</v>
      </c>
      <c r="W207" s="17">
        <v>-0.98638615591625434</v>
      </c>
      <c r="X207" s="17">
        <v>-0.96054888507718694</v>
      </c>
      <c r="Y207" s="17">
        <v>-0.98352878494957785</v>
      </c>
      <c r="Z207"/>
      <c r="AA207"/>
      <c r="AB207"/>
    </row>
    <row r="208" spans="1:28" collapsed="1" x14ac:dyDescent="0.25">
      <c r="A208" s="21" t="s">
        <v>145</v>
      </c>
      <c r="B208" s="21" t="s">
        <v>154</v>
      </c>
      <c r="C208" s="21" t="s">
        <v>202</v>
      </c>
      <c r="D208" s="15">
        <v>26.782608695652176</v>
      </c>
      <c r="E208" s="57">
        <v>684.19732142857129</v>
      </c>
      <c r="F208" s="15">
        <v>18324.589130434779</v>
      </c>
      <c r="G208" s="15">
        <v>53.086956521739133</v>
      </c>
      <c r="H208" s="57">
        <v>576.88648648648643</v>
      </c>
      <c r="I208" s="15">
        <v>30625.147826086955</v>
      </c>
      <c r="J208" s="15">
        <v>21</v>
      </c>
      <c r="K208" s="57">
        <v>344.59523809523807</v>
      </c>
      <c r="L208" s="15">
        <v>7236.5</v>
      </c>
      <c r="M208" s="15" t="s">
        <v>364</v>
      </c>
      <c r="N208" s="15" t="s">
        <v>364</v>
      </c>
      <c r="O208" s="15" t="s">
        <v>364</v>
      </c>
      <c r="P208" s="15" t="s">
        <v>364</v>
      </c>
      <c r="Q208" s="15" t="s">
        <v>364</v>
      </c>
      <c r="R208" s="15" t="s">
        <v>364</v>
      </c>
      <c r="S208" s="15" t="s">
        <v>364</v>
      </c>
      <c r="T208" s="15" t="s">
        <v>364</v>
      </c>
      <c r="U208" s="17" t="s">
        <v>364</v>
      </c>
      <c r="V208" s="17">
        <v>-0.21590909090909097</v>
      </c>
      <c r="W208" s="17">
        <v>-0.60509346493444116</v>
      </c>
      <c r="X208" s="17">
        <v>-0.60442260442260443</v>
      </c>
      <c r="Y208" s="17">
        <v>-0.76370726302794067</v>
      </c>
      <c r="Z208"/>
      <c r="AA208"/>
      <c r="AB208"/>
    </row>
    <row r="209" spans="1:28" hidden="1" outlineLevel="1" x14ac:dyDescent="0.25">
      <c r="A209" s="21" t="s">
        <v>364</v>
      </c>
      <c r="B209" s="21" t="s">
        <v>364</v>
      </c>
      <c r="C209" s="21" t="s">
        <v>362</v>
      </c>
      <c r="D209" s="15">
        <v>3.347826086956522</v>
      </c>
      <c r="E209" s="57">
        <v>599.85714285714289</v>
      </c>
      <c r="F209" s="15">
        <v>2008.217391304348</v>
      </c>
      <c r="G209" s="15">
        <v>6.6956521739130439</v>
      </c>
      <c r="H209" s="57">
        <v>612.52857142857135</v>
      </c>
      <c r="I209" s="15">
        <v>4101.2782608695652</v>
      </c>
      <c r="J209" s="15">
        <v>2</v>
      </c>
      <c r="K209" s="57">
        <v>298.5</v>
      </c>
      <c r="L209" s="15">
        <v>597</v>
      </c>
      <c r="M209" s="76" t="s">
        <v>364</v>
      </c>
      <c r="N209" s="76" t="s">
        <v>364</v>
      </c>
      <c r="O209" s="76" t="s">
        <v>364</v>
      </c>
      <c r="P209" s="15" t="s">
        <v>364</v>
      </c>
      <c r="Q209" s="15" t="s">
        <v>364</v>
      </c>
      <c r="R209" s="15" t="s">
        <v>364</v>
      </c>
      <c r="S209" s="15" t="s">
        <v>364</v>
      </c>
      <c r="T209" s="15" t="s">
        <v>364</v>
      </c>
      <c r="U209" s="78" t="s">
        <v>364</v>
      </c>
      <c r="V209" s="17">
        <v>-0.40259740259740262</v>
      </c>
      <c r="W209" s="17">
        <v>-0.70272142717963149</v>
      </c>
      <c r="X209" s="17">
        <v>-0.70129870129870131</v>
      </c>
      <c r="Y209" s="17">
        <v>-0.85443562664450323</v>
      </c>
      <c r="Z209"/>
      <c r="AA209"/>
      <c r="AB209"/>
    </row>
    <row r="210" spans="1:28" hidden="1" outlineLevel="1" x14ac:dyDescent="0.25">
      <c r="A210" s="21" t="s">
        <v>364</v>
      </c>
      <c r="B210" s="21" t="s">
        <v>364</v>
      </c>
      <c r="C210" s="21" t="s">
        <v>363</v>
      </c>
      <c r="D210" s="15">
        <v>23.434782608695652</v>
      </c>
      <c r="E210" s="57">
        <v>696.24591836734669</v>
      </c>
      <c r="F210" s="15">
        <v>16316.371739130429</v>
      </c>
      <c r="G210" s="15">
        <v>46.391304347826086</v>
      </c>
      <c r="H210" s="57">
        <v>571.74226804123703</v>
      </c>
      <c r="I210" s="15">
        <v>26523.869565217388</v>
      </c>
      <c r="J210" s="15">
        <v>19</v>
      </c>
      <c r="K210" s="57">
        <v>349.44736842105266</v>
      </c>
      <c r="L210" s="15">
        <v>6639.5</v>
      </c>
      <c r="M210" s="76" t="s">
        <v>364</v>
      </c>
      <c r="N210" s="76" t="s">
        <v>364</v>
      </c>
      <c r="O210" s="76" t="s">
        <v>364</v>
      </c>
      <c r="P210" s="15" t="s">
        <v>364</v>
      </c>
      <c r="Q210" s="15" t="s">
        <v>364</v>
      </c>
      <c r="R210" s="15" t="s">
        <v>364</v>
      </c>
      <c r="S210" s="15" t="s">
        <v>364</v>
      </c>
      <c r="T210" s="15" t="s">
        <v>364</v>
      </c>
      <c r="U210" s="78" t="s">
        <v>364</v>
      </c>
      <c r="V210" s="17">
        <v>-0.18923933209647495</v>
      </c>
      <c r="W210" s="17">
        <v>-0.59307742516818585</v>
      </c>
      <c r="X210" s="17">
        <v>-0.59044048734770382</v>
      </c>
      <c r="Y210" s="17">
        <v>-0.74967830452963613</v>
      </c>
      <c r="Z210"/>
      <c r="AA210"/>
      <c r="AB210"/>
    </row>
    <row r="211" spans="1:28" collapsed="1" x14ac:dyDescent="0.25">
      <c r="A211" s="21" t="s">
        <v>145</v>
      </c>
      <c r="B211" s="21" t="s">
        <v>148</v>
      </c>
      <c r="C211" s="21" t="s">
        <v>203</v>
      </c>
      <c r="D211" s="15">
        <v>14.347826086956522</v>
      </c>
      <c r="E211" s="57">
        <v>186.57</v>
      </c>
      <c r="F211" s="15">
        <v>2676.8739130434783</v>
      </c>
      <c r="G211" s="15">
        <v>40.173913043478265</v>
      </c>
      <c r="H211" s="57">
        <v>435.22321428571428</v>
      </c>
      <c r="I211" s="15">
        <v>17484.619565217392</v>
      </c>
      <c r="J211" s="15">
        <v>39</v>
      </c>
      <c r="K211" s="57">
        <v>371.41025641025641</v>
      </c>
      <c r="L211" s="15">
        <v>14485</v>
      </c>
      <c r="M211" s="15" t="s">
        <v>364</v>
      </c>
      <c r="N211" s="15" t="s">
        <v>364</v>
      </c>
      <c r="O211" s="15" t="s">
        <v>364</v>
      </c>
      <c r="P211" s="15" t="s">
        <v>364</v>
      </c>
      <c r="Q211" s="15" t="s">
        <v>364</v>
      </c>
      <c r="R211" s="15" t="s">
        <v>364</v>
      </c>
      <c r="S211" s="15" t="s">
        <v>364</v>
      </c>
      <c r="T211" s="15" t="s">
        <v>364</v>
      </c>
      <c r="U211" s="17" t="s">
        <v>364</v>
      </c>
      <c r="V211" s="17">
        <v>1.718181818181818</v>
      </c>
      <c r="W211" s="17">
        <v>4.4111625988133465</v>
      </c>
      <c r="X211" s="17">
        <v>-2.9220779220779324E-2</v>
      </c>
      <c r="Y211" s="17">
        <v>-0.17155761119244556</v>
      </c>
      <c r="Z211"/>
      <c r="AA211"/>
      <c r="AB211"/>
    </row>
    <row r="212" spans="1:28" hidden="1" outlineLevel="1" x14ac:dyDescent="0.25">
      <c r="A212" s="21" t="s">
        <v>364</v>
      </c>
      <c r="B212" s="21" t="s">
        <v>364</v>
      </c>
      <c r="C212" s="21" t="s">
        <v>362</v>
      </c>
      <c r="D212" s="15">
        <v>4.304347826086957</v>
      </c>
      <c r="E212" s="57">
        <v>0</v>
      </c>
      <c r="F212" s="15">
        <v>0</v>
      </c>
      <c r="G212" s="15">
        <v>12.913043478260869</v>
      </c>
      <c r="H212" s="57">
        <v>664.48148148148152</v>
      </c>
      <c r="I212" s="15">
        <v>8580.4782608695659</v>
      </c>
      <c r="J212" s="15">
        <v>14</v>
      </c>
      <c r="K212" s="57">
        <v>333.92857142857144</v>
      </c>
      <c r="L212" s="15">
        <v>4675</v>
      </c>
      <c r="M212" s="76" t="s">
        <v>364</v>
      </c>
      <c r="N212" s="76" t="s">
        <v>364</v>
      </c>
      <c r="O212" s="76" t="s">
        <v>364</v>
      </c>
      <c r="P212" s="76" t="s">
        <v>364</v>
      </c>
      <c r="Q212" s="76" t="s">
        <v>364</v>
      </c>
      <c r="R212" s="76" t="s">
        <v>364</v>
      </c>
      <c r="S212" s="76" t="s">
        <v>364</v>
      </c>
      <c r="T212" s="76" t="s">
        <v>364</v>
      </c>
      <c r="U212" s="78" t="s">
        <v>364</v>
      </c>
      <c r="V212" s="17">
        <v>2.2525252525252522</v>
      </c>
      <c r="W212" s="17" t="s">
        <v>364</v>
      </c>
      <c r="X212" s="17">
        <v>8.4175084175084208E-2</v>
      </c>
      <c r="Y212" s="17">
        <v>-0.45515857533024917</v>
      </c>
      <c r="Z212"/>
      <c r="AA212"/>
      <c r="AB212"/>
    </row>
    <row r="213" spans="1:28" hidden="1" outlineLevel="1" x14ac:dyDescent="0.25">
      <c r="A213" s="21" t="s">
        <v>364</v>
      </c>
      <c r="B213" s="21" t="s">
        <v>364</v>
      </c>
      <c r="C213" s="21" t="s">
        <v>363</v>
      </c>
      <c r="D213" s="15">
        <v>10.043478260869566</v>
      </c>
      <c r="E213" s="57">
        <v>266.52857142857141</v>
      </c>
      <c r="F213" s="15">
        <v>2676.8739130434783</v>
      </c>
      <c r="G213" s="15">
        <v>27.260869565217391</v>
      </c>
      <c r="H213" s="57">
        <v>326.62719298245617</v>
      </c>
      <c r="I213" s="15">
        <v>8904.141304347826</v>
      </c>
      <c r="J213" s="15">
        <v>25</v>
      </c>
      <c r="K213" s="57">
        <v>392.4</v>
      </c>
      <c r="L213" s="15">
        <v>9810</v>
      </c>
      <c r="M213" s="76" t="s">
        <v>364</v>
      </c>
      <c r="N213" s="76" t="s">
        <v>364</v>
      </c>
      <c r="O213" s="76" t="s">
        <v>364</v>
      </c>
      <c r="P213" s="76" t="s">
        <v>364</v>
      </c>
      <c r="Q213" s="76" t="s">
        <v>364</v>
      </c>
      <c r="R213" s="76" t="s">
        <v>364</v>
      </c>
      <c r="S213" s="76" t="s">
        <v>364</v>
      </c>
      <c r="T213" s="76" t="s">
        <v>364</v>
      </c>
      <c r="U213" s="78" t="s">
        <v>364</v>
      </c>
      <c r="V213" s="17">
        <v>1.4891774891774889</v>
      </c>
      <c r="W213" s="17">
        <v>2.6647224780365155</v>
      </c>
      <c r="X213" s="17">
        <v>-8.2934609250398708E-2</v>
      </c>
      <c r="Y213" s="17">
        <v>0.10173453730005946</v>
      </c>
      <c r="Z213"/>
      <c r="AA213"/>
      <c r="AB213"/>
    </row>
    <row r="214" spans="1:28" collapsed="1" x14ac:dyDescent="0.25">
      <c r="A214" s="21" t="s">
        <v>145</v>
      </c>
      <c r="B214" s="21" t="s">
        <v>153</v>
      </c>
      <c r="C214" s="21" t="s">
        <v>204</v>
      </c>
      <c r="D214" s="15">
        <v>0</v>
      </c>
      <c r="E214" s="57" t="s">
        <v>364</v>
      </c>
      <c r="F214" s="15">
        <v>9198.142608695638</v>
      </c>
      <c r="G214" s="15">
        <v>0</v>
      </c>
      <c r="H214" s="57" t="s">
        <v>364</v>
      </c>
      <c r="I214" s="15">
        <v>11779.397826086963</v>
      </c>
      <c r="J214" s="15">
        <v>0</v>
      </c>
      <c r="K214" s="57" t="s">
        <v>364</v>
      </c>
      <c r="L214" s="15">
        <v>10100.619999999999</v>
      </c>
      <c r="M214" s="15" t="s">
        <v>364</v>
      </c>
      <c r="N214" s="15" t="s">
        <v>364</v>
      </c>
      <c r="O214" s="15" t="s">
        <v>364</v>
      </c>
      <c r="P214" s="15" t="s">
        <v>364</v>
      </c>
      <c r="Q214" s="15" t="s">
        <v>364</v>
      </c>
      <c r="R214" s="15" t="s">
        <v>364</v>
      </c>
      <c r="S214" s="15" t="s">
        <v>364</v>
      </c>
      <c r="T214" s="15" t="s">
        <v>364</v>
      </c>
      <c r="U214" s="17" t="s">
        <v>364</v>
      </c>
      <c r="V214" s="17" t="s">
        <v>364</v>
      </c>
      <c r="W214" s="17">
        <v>9.8115177128389686E-2</v>
      </c>
      <c r="X214" s="17" t="s">
        <v>364</v>
      </c>
      <c r="Y214" s="17">
        <v>-0.14251813639990138</v>
      </c>
    </row>
    <row r="215" spans="1:28" hidden="1" outlineLevel="1" x14ac:dyDescent="0.25">
      <c r="A215" s="21" t="s">
        <v>364</v>
      </c>
      <c r="B215" s="21" t="s">
        <v>364</v>
      </c>
      <c r="C215" s="21" t="s">
        <v>362</v>
      </c>
      <c r="D215" s="15">
        <v>0</v>
      </c>
      <c r="E215" s="57" t="s">
        <v>364</v>
      </c>
      <c r="F215" s="15">
        <v>8618.7630434782477</v>
      </c>
      <c r="G215" s="15">
        <v>0</v>
      </c>
      <c r="H215" s="57" t="s">
        <v>364</v>
      </c>
      <c r="I215" s="15">
        <v>10925.046956521746</v>
      </c>
      <c r="J215" s="15">
        <v>0</v>
      </c>
      <c r="K215" s="57" t="s">
        <v>364</v>
      </c>
      <c r="L215" s="15">
        <v>10100.619999999999</v>
      </c>
      <c r="M215" s="76" t="s">
        <v>364</v>
      </c>
      <c r="N215" s="76" t="s">
        <v>364</v>
      </c>
      <c r="O215" s="76" t="s">
        <v>364</v>
      </c>
      <c r="P215" s="76" t="s">
        <v>364</v>
      </c>
      <c r="Q215" s="76" t="s">
        <v>364</v>
      </c>
      <c r="R215" s="76" t="s">
        <v>364</v>
      </c>
      <c r="S215" s="76" t="s">
        <v>364</v>
      </c>
      <c r="T215" s="76" t="s">
        <v>364</v>
      </c>
      <c r="U215" s="78" t="s">
        <v>364</v>
      </c>
      <c r="V215" s="17" t="s">
        <v>364</v>
      </c>
      <c r="W215" s="17">
        <v>0.17193383192534353</v>
      </c>
      <c r="X215" s="17" t="s">
        <v>364</v>
      </c>
      <c r="Y215" s="17">
        <v>-7.5462097307472234E-2</v>
      </c>
    </row>
    <row r="216" spans="1:28" hidden="1" outlineLevel="1" x14ac:dyDescent="0.25">
      <c r="A216" s="21" t="s">
        <v>364</v>
      </c>
      <c r="B216" s="21" t="s">
        <v>364</v>
      </c>
      <c r="C216" s="21" t="s">
        <v>363</v>
      </c>
      <c r="D216" s="15">
        <v>0</v>
      </c>
      <c r="E216" s="57" t="s">
        <v>364</v>
      </c>
      <c r="F216" s="15">
        <v>579.37956521739136</v>
      </c>
      <c r="G216" s="15">
        <v>0</v>
      </c>
      <c r="H216" s="57" t="s">
        <v>364</v>
      </c>
      <c r="I216" s="15">
        <v>854.35086956521741</v>
      </c>
      <c r="J216" s="15">
        <v>0</v>
      </c>
      <c r="K216" s="57" t="s">
        <v>364</v>
      </c>
      <c r="L216" s="15">
        <v>0</v>
      </c>
      <c r="M216" s="76" t="s">
        <v>364</v>
      </c>
      <c r="N216" s="76" t="s">
        <v>364</v>
      </c>
      <c r="O216" s="76" t="s">
        <v>364</v>
      </c>
      <c r="P216" s="76" t="s">
        <v>364</v>
      </c>
      <c r="Q216" s="76" t="s">
        <v>364</v>
      </c>
      <c r="R216" s="76" t="s">
        <v>364</v>
      </c>
      <c r="S216" s="76" t="s">
        <v>364</v>
      </c>
      <c r="T216" s="76" t="s">
        <v>364</v>
      </c>
      <c r="U216" s="78" t="s">
        <v>364</v>
      </c>
      <c r="V216" s="17" t="s">
        <v>364</v>
      </c>
      <c r="W216" s="17">
        <v>-1</v>
      </c>
      <c r="X216" s="17" t="s">
        <v>364</v>
      </c>
      <c r="Y216" s="17">
        <v>-1</v>
      </c>
    </row>
    <row r="217" spans="1:28" collapsed="1" x14ac:dyDescent="0.25">
      <c r="A217" s="21" t="s">
        <v>145</v>
      </c>
      <c r="B217" s="21" t="s">
        <v>154</v>
      </c>
      <c r="C217" s="21" t="s">
        <v>205</v>
      </c>
      <c r="D217" s="15">
        <v>0</v>
      </c>
      <c r="E217" s="57" t="s">
        <v>364</v>
      </c>
      <c r="F217" s="15">
        <v>0</v>
      </c>
      <c r="G217" s="15">
        <v>0</v>
      </c>
      <c r="H217" s="57" t="s">
        <v>364</v>
      </c>
      <c r="I217" s="15">
        <v>0</v>
      </c>
      <c r="J217" s="15">
        <v>29</v>
      </c>
      <c r="K217" s="57">
        <v>195.85103448275859</v>
      </c>
      <c r="L217" s="15">
        <v>5679.6799999999994</v>
      </c>
      <c r="M217" s="15" t="s">
        <v>364</v>
      </c>
      <c r="N217" s="15" t="s">
        <v>364</v>
      </c>
      <c r="O217" s="15" t="s">
        <v>364</v>
      </c>
      <c r="P217" s="15" t="s">
        <v>364</v>
      </c>
      <c r="Q217" s="15" t="s">
        <v>364</v>
      </c>
      <c r="R217" s="15" t="s">
        <v>364</v>
      </c>
      <c r="S217" s="15" t="s">
        <v>364</v>
      </c>
      <c r="T217" s="15" t="s">
        <v>364</v>
      </c>
      <c r="U217" s="17" t="s">
        <v>364</v>
      </c>
      <c r="V217" s="17" t="s">
        <v>364</v>
      </c>
      <c r="W217" s="17" t="s">
        <v>364</v>
      </c>
      <c r="X217" s="17" t="s">
        <v>364</v>
      </c>
      <c r="Y217" s="17" t="s">
        <v>364</v>
      </c>
    </row>
    <row r="218" spans="1:28" hidden="1" outlineLevel="1" x14ac:dyDescent="0.25">
      <c r="A218" s="21" t="s">
        <v>364</v>
      </c>
      <c r="B218" s="21" t="s">
        <v>364</v>
      </c>
      <c r="C218" s="21" t="s">
        <v>362</v>
      </c>
      <c r="D218" s="15">
        <v>0</v>
      </c>
      <c r="E218" s="57" t="s">
        <v>364</v>
      </c>
      <c r="F218" s="15">
        <v>0</v>
      </c>
      <c r="G218" s="15">
        <v>0</v>
      </c>
      <c r="H218" s="57" t="s">
        <v>364</v>
      </c>
      <c r="I218" s="15">
        <v>0</v>
      </c>
      <c r="J218" s="15">
        <v>7</v>
      </c>
      <c r="K218" s="57">
        <v>178.57142857142858</v>
      </c>
      <c r="L218" s="15">
        <v>1250</v>
      </c>
      <c r="M218" s="76" t="s">
        <v>364</v>
      </c>
      <c r="N218" s="76" t="s">
        <v>364</v>
      </c>
      <c r="O218" s="76" t="s">
        <v>364</v>
      </c>
      <c r="P218" s="76" t="s">
        <v>364</v>
      </c>
      <c r="Q218" s="76" t="s">
        <v>364</v>
      </c>
      <c r="R218" s="76" t="s">
        <v>364</v>
      </c>
      <c r="S218" s="76" t="s">
        <v>364</v>
      </c>
      <c r="T218" s="76" t="s">
        <v>364</v>
      </c>
      <c r="U218" s="78" t="s">
        <v>364</v>
      </c>
      <c r="V218" s="17" t="s">
        <v>364</v>
      </c>
      <c r="W218" s="17" t="s">
        <v>364</v>
      </c>
      <c r="X218" s="17" t="s">
        <v>364</v>
      </c>
      <c r="Y218" s="17" t="s">
        <v>364</v>
      </c>
    </row>
    <row r="219" spans="1:28" hidden="1" outlineLevel="1" x14ac:dyDescent="0.25">
      <c r="A219" s="21" t="s">
        <v>364</v>
      </c>
      <c r="B219" s="21" t="s">
        <v>364</v>
      </c>
      <c r="C219" s="21" t="s">
        <v>363</v>
      </c>
      <c r="D219" s="15">
        <v>0</v>
      </c>
      <c r="E219" s="57" t="s">
        <v>364</v>
      </c>
      <c r="F219" s="15">
        <v>0</v>
      </c>
      <c r="G219" s="15">
        <v>0</v>
      </c>
      <c r="H219" s="57" t="s">
        <v>364</v>
      </c>
      <c r="I219" s="15">
        <v>0</v>
      </c>
      <c r="J219" s="15">
        <v>22</v>
      </c>
      <c r="K219" s="57">
        <v>201.34909090909088</v>
      </c>
      <c r="L219" s="15">
        <v>4429.6799999999994</v>
      </c>
      <c r="M219" s="76" t="s">
        <v>364</v>
      </c>
      <c r="N219" s="76" t="s">
        <v>364</v>
      </c>
      <c r="O219" s="76" t="s">
        <v>364</v>
      </c>
      <c r="P219" s="76" t="s">
        <v>364</v>
      </c>
      <c r="Q219" s="76" t="s">
        <v>364</v>
      </c>
      <c r="R219" s="76" t="s">
        <v>364</v>
      </c>
      <c r="S219" s="76" t="s">
        <v>364</v>
      </c>
      <c r="T219" s="76" t="s">
        <v>364</v>
      </c>
      <c r="U219" s="78" t="s">
        <v>364</v>
      </c>
      <c r="V219" s="17" t="s">
        <v>364</v>
      </c>
      <c r="W219" s="17" t="s">
        <v>364</v>
      </c>
      <c r="X219" s="17" t="s">
        <v>364</v>
      </c>
      <c r="Y219" s="17" t="s">
        <v>364</v>
      </c>
    </row>
    <row r="220" spans="1:28" collapsed="1" x14ac:dyDescent="0.25">
      <c r="A220" s="21" t="s">
        <v>145</v>
      </c>
      <c r="B220" s="21" t="s">
        <v>219</v>
      </c>
      <c r="C220" s="21" t="s">
        <v>206</v>
      </c>
      <c r="D220" s="15">
        <v>86.565217391304344</v>
      </c>
      <c r="E220" s="57">
        <v>722.25740331491727</v>
      </c>
      <c r="F220" s="15">
        <v>62522.369130434789</v>
      </c>
      <c r="G220" s="15">
        <v>108.08695652173914</v>
      </c>
      <c r="H220" s="57">
        <v>594.26933628318579</v>
      </c>
      <c r="I220" s="15">
        <v>64232.763913043476</v>
      </c>
      <c r="J220" s="15">
        <v>4</v>
      </c>
      <c r="K220" s="57">
        <v>3416.7525000000001</v>
      </c>
      <c r="L220" s="15">
        <v>13667.01</v>
      </c>
      <c r="M220" s="15" t="s">
        <v>364</v>
      </c>
      <c r="N220" s="15" t="s">
        <v>364</v>
      </c>
      <c r="O220" s="15" t="s">
        <v>364</v>
      </c>
      <c r="P220" s="15" t="s">
        <v>364</v>
      </c>
      <c r="Q220" s="15" t="s">
        <v>364</v>
      </c>
      <c r="R220" s="15" t="s">
        <v>364</v>
      </c>
      <c r="S220" s="15" t="s">
        <v>364</v>
      </c>
      <c r="T220" s="15" t="s">
        <v>364</v>
      </c>
      <c r="U220" s="17" t="s">
        <v>364</v>
      </c>
      <c r="V220" s="17">
        <v>-0.95379206428930186</v>
      </c>
      <c r="W220" s="17">
        <v>-0.78140607609593693</v>
      </c>
      <c r="X220" s="17">
        <v>-0.9629927594529365</v>
      </c>
      <c r="Y220" s="17">
        <v>-0.78722681125006522</v>
      </c>
    </row>
    <row r="221" spans="1:28" hidden="1" outlineLevel="1" x14ac:dyDescent="0.25">
      <c r="A221" s="21" t="s">
        <v>364</v>
      </c>
      <c r="B221" s="21" t="s">
        <v>364</v>
      </c>
      <c r="C221" s="21" t="s">
        <v>362</v>
      </c>
      <c r="D221" s="15">
        <v>21.043478260869566</v>
      </c>
      <c r="E221" s="57">
        <v>695.11409090909092</v>
      </c>
      <c r="F221" s="15">
        <v>14627.618260869565</v>
      </c>
      <c r="G221" s="15">
        <v>23.434782608695652</v>
      </c>
      <c r="H221" s="57">
        <v>815.67714285714305</v>
      </c>
      <c r="I221" s="15">
        <v>19115.216521739134</v>
      </c>
      <c r="J221" s="15">
        <v>1</v>
      </c>
      <c r="K221" s="57">
        <v>6650</v>
      </c>
      <c r="L221" s="15">
        <v>6650</v>
      </c>
      <c r="M221" s="76" t="s">
        <v>364</v>
      </c>
      <c r="N221" s="76" t="s">
        <v>364</v>
      </c>
      <c r="O221" s="76" t="s">
        <v>364</v>
      </c>
      <c r="P221" s="76" t="s">
        <v>364</v>
      </c>
      <c r="Q221" s="76" t="s">
        <v>364</v>
      </c>
      <c r="R221" s="76" t="s">
        <v>364</v>
      </c>
      <c r="S221" s="76" t="s">
        <v>364</v>
      </c>
      <c r="T221" s="76" t="s">
        <v>364</v>
      </c>
      <c r="U221" s="78" t="s">
        <v>364</v>
      </c>
      <c r="V221" s="17">
        <v>-0.9524793388429752</v>
      </c>
      <c r="W221" s="17">
        <v>-0.54538053417831822</v>
      </c>
      <c r="X221" s="17">
        <v>-0.9573283858998145</v>
      </c>
      <c r="Y221" s="17">
        <v>-0.65210961683655722</v>
      </c>
    </row>
    <row r="222" spans="1:28" hidden="1" outlineLevel="1" x14ac:dyDescent="0.25">
      <c r="A222" s="21" t="s">
        <v>364</v>
      </c>
      <c r="B222" s="21" t="s">
        <v>364</v>
      </c>
      <c r="C222" s="21" t="s">
        <v>363</v>
      </c>
      <c r="D222" s="15">
        <v>65.521739130434781</v>
      </c>
      <c r="E222" s="57">
        <v>730.97496350364975</v>
      </c>
      <c r="F222" s="15">
        <v>47894.750869565221</v>
      </c>
      <c r="G222" s="15">
        <v>84.652173913043484</v>
      </c>
      <c r="H222" s="57">
        <v>532.9756497175141</v>
      </c>
      <c r="I222" s="15">
        <v>45117.547391304353</v>
      </c>
      <c r="J222" s="15">
        <v>3</v>
      </c>
      <c r="K222" s="57">
        <v>2339.0033333333336</v>
      </c>
      <c r="L222" s="15">
        <v>7017.01</v>
      </c>
      <c r="M222" s="76" t="s">
        <v>364</v>
      </c>
      <c r="N222" s="76" t="s">
        <v>364</v>
      </c>
      <c r="O222" s="76" t="s">
        <v>364</v>
      </c>
      <c r="P222" s="76" t="s">
        <v>364</v>
      </c>
      <c r="Q222" s="76" t="s">
        <v>364</v>
      </c>
      <c r="R222" s="76" t="s">
        <v>364</v>
      </c>
      <c r="S222" s="76" t="s">
        <v>364</v>
      </c>
      <c r="T222" s="76" t="s">
        <v>364</v>
      </c>
      <c r="U222" s="78" t="s">
        <v>364</v>
      </c>
      <c r="V222" s="17">
        <v>-0.95421366954213671</v>
      </c>
      <c r="W222" s="17">
        <v>-0.85349104290969457</v>
      </c>
      <c r="X222" s="17">
        <v>-0.96456086286594767</v>
      </c>
      <c r="Y222" s="17">
        <v>-0.84447270727857848</v>
      </c>
    </row>
    <row r="223" spans="1:28" collapsed="1" x14ac:dyDescent="0.25">
      <c r="A223" s="21" t="s">
        <v>145</v>
      </c>
      <c r="B223" s="21" t="s">
        <v>211</v>
      </c>
      <c r="C223" s="21" t="s">
        <v>721</v>
      </c>
      <c r="D223" s="15">
        <v>0</v>
      </c>
      <c r="E223" s="57" t="s">
        <v>364</v>
      </c>
      <c r="F223" s="15">
        <v>0</v>
      </c>
      <c r="G223" s="15">
        <v>0</v>
      </c>
      <c r="H223" s="57" t="s">
        <v>364</v>
      </c>
      <c r="I223" s="15">
        <v>0</v>
      </c>
      <c r="J223" s="15">
        <v>2</v>
      </c>
      <c r="K223" s="57">
        <v>89.550000000000011</v>
      </c>
      <c r="L223" s="15">
        <v>179.10000000000002</v>
      </c>
      <c r="M223" s="15" t="s">
        <v>364</v>
      </c>
      <c r="N223" s="15" t="s">
        <v>364</v>
      </c>
      <c r="O223" s="15" t="s">
        <v>364</v>
      </c>
      <c r="P223" s="15" t="s">
        <v>364</v>
      </c>
      <c r="Q223" s="15" t="s">
        <v>364</v>
      </c>
      <c r="R223" s="15" t="s">
        <v>364</v>
      </c>
      <c r="S223" s="15" t="s">
        <v>364</v>
      </c>
      <c r="T223" s="15" t="s">
        <v>364</v>
      </c>
      <c r="U223" s="17" t="s">
        <v>364</v>
      </c>
      <c r="V223" s="17" t="s">
        <v>364</v>
      </c>
      <c r="W223" s="17" t="s">
        <v>364</v>
      </c>
      <c r="X223" s="17" t="s">
        <v>364</v>
      </c>
      <c r="Y223" s="17" t="s">
        <v>364</v>
      </c>
    </row>
    <row r="224" spans="1:28" hidden="1" outlineLevel="1" x14ac:dyDescent="0.25">
      <c r="A224" s="21" t="s">
        <v>364</v>
      </c>
      <c r="B224" s="21" t="s">
        <v>364</v>
      </c>
      <c r="C224" s="21" t="s">
        <v>362</v>
      </c>
      <c r="D224" s="15">
        <v>0</v>
      </c>
      <c r="E224" s="57" t="s">
        <v>364</v>
      </c>
      <c r="F224" s="15">
        <v>0</v>
      </c>
      <c r="G224" s="15">
        <v>0</v>
      </c>
      <c r="H224" s="57" t="s">
        <v>364</v>
      </c>
      <c r="I224" s="15">
        <v>0</v>
      </c>
      <c r="J224" s="15">
        <v>1</v>
      </c>
      <c r="K224" s="57">
        <v>0</v>
      </c>
      <c r="L224" s="15">
        <v>0</v>
      </c>
      <c r="M224" s="76" t="s">
        <v>364</v>
      </c>
      <c r="N224" s="76" t="s">
        <v>364</v>
      </c>
      <c r="O224" s="76" t="s">
        <v>364</v>
      </c>
      <c r="P224" s="76" t="s">
        <v>364</v>
      </c>
      <c r="Q224" s="76" t="s">
        <v>364</v>
      </c>
      <c r="R224" s="76" t="s">
        <v>364</v>
      </c>
      <c r="S224" s="76" t="s">
        <v>364</v>
      </c>
      <c r="T224" s="76" t="s">
        <v>364</v>
      </c>
      <c r="U224" s="78" t="s">
        <v>364</v>
      </c>
      <c r="V224" s="17" t="s">
        <v>364</v>
      </c>
      <c r="W224" s="17" t="s">
        <v>364</v>
      </c>
      <c r="X224" s="17" t="s">
        <v>364</v>
      </c>
      <c r="Y224" s="17" t="s">
        <v>364</v>
      </c>
    </row>
    <row r="225" spans="1:25" hidden="1" outlineLevel="1" x14ac:dyDescent="0.25">
      <c r="A225" s="21" t="s">
        <v>364</v>
      </c>
      <c r="B225" s="21" t="s">
        <v>364</v>
      </c>
      <c r="C225" s="21" t="s">
        <v>363</v>
      </c>
      <c r="D225" s="15">
        <v>0</v>
      </c>
      <c r="E225" s="57" t="s">
        <v>364</v>
      </c>
      <c r="F225" s="15">
        <v>0</v>
      </c>
      <c r="G225" s="15">
        <v>0</v>
      </c>
      <c r="H225" s="57" t="s">
        <v>364</v>
      </c>
      <c r="I225" s="15">
        <v>0</v>
      </c>
      <c r="J225" s="15">
        <v>1</v>
      </c>
      <c r="K225" s="57">
        <v>179.10000000000002</v>
      </c>
      <c r="L225" s="15">
        <v>179.10000000000002</v>
      </c>
      <c r="M225" s="76" t="s">
        <v>364</v>
      </c>
      <c r="N225" s="76" t="s">
        <v>364</v>
      </c>
      <c r="O225" s="76" t="s">
        <v>364</v>
      </c>
      <c r="P225" s="76" t="s">
        <v>364</v>
      </c>
      <c r="Q225" s="76" t="s">
        <v>364</v>
      </c>
      <c r="R225" s="76" t="s">
        <v>364</v>
      </c>
      <c r="S225" s="76" t="s">
        <v>364</v>
      </c>
      <c r="T225" s="76" t="s">
        <v>364</v>
      </c>
      <c r="U225" s="78" t="s">
        <v>364</v>
      </c>
      <c r="V225" s="17" t="s">
        <v>364</v>
      </c>
      <c r="W225" s="17" t="s">
        <v>364</v>
      </c>
      <c r="X225" s="17" t="s">
        <v>364</v>
      </c>
      <c r="Y225" s="17" t="s">
        <v>364</v>
      </c>
    </row>
  </sheetData>
  <mergeCells count="49">
    <mergeCell ref="X65:Y65"/>
    <mergeCell ref="D65:F65"/>
    <mergeCell ref="G65:I65"/>
    <mergeCell ref="J65:L65"/>
    <mergeCell ref="M65:O65"/>
    <mergeCell ref="P65:T65"/>
    <mergeCell ref="V65:W65"/>
    <mergeCell ref="D64:F64"/>
    <mergeCell ref="G64:I64"/>
    <mergeCell ref="J64:L64"/>
    <mergeCell ref="M64:O64"/>
    <mergeCell ref="P64:T64"/>
    <mergeCell ref="S22:U22"/>
    <mergeCell ref="V22:Z22"/>
    <mergeCell ref="AA22:AB22"/>
    <mergeCell ref="AC22:AD22"/>
    <mergeCell ref="AE22:AF22"/>
    <mergeCell ref="D22:F22"/>
    <mergeCell ref="G22:I22"/>
    <mergeCell ref="J22:L22"/>
    <mergeCell ref="M22:O22"/>
    <mergeCell ref="P22:R22"/>
    <mergeCell ref="AC8:AD8"/>
    <mergeCell ref="AE8:AF8"/>
    <mergeCell ref="AG8:AH8"/>
    <mergeCell ref="D21:F21"/>
    <mergeCell ref="G21:I21"/>
    <mergeCell ref="J21:L21"/>
    <mergeCell ref="M21:O21"/>
    <mergeCell ref="P21:R21"/>
    <mergeCell ref="S21:U21"/>
    <mergeCell ref="V21:Z21"/>
    <mergeCell ref="R7:T7"/>
    <mergeCell ref="U7:W7"/>
    <mergeCell ref="X7:AB7"/>
    <mergeCell ref="C8:C9"/>
    <mergeCell ref="D8:F8"/>
    <mergeCell ref="G8:I8"/>
    <mergeCell ref="J8:N8"/>
    <mergeCell ref="O8:Q8"/>
    <mergeCell ref="R8:T8"/>
    <mergeCell ref="U8:W8"/>
    <mergeCell ref="O7:Q7"/>
    <mergeCell ref="X8:AB8"/>
    <mergeCell ref="C1:C2"/>
    <mergeCell ref="D1:H2"/>
    <mergeCell ref="D7:F7"/>
    <mergeCell ref="G7:I7"/>
    <mergeCell ref="J7:N7"/>
  </mergeCells>
  <conditionalFormatting sqref="N9">
    <cfRule type="duplicateValues" dxfId="17" priority="1"/>
    <cfRule type="duplicateValues" dxfId="16" priority="2"/>
  </conditionalFormatting>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D1F71-EDC7-4BF2-B8E7-DD159BF15380}">
  <sheetPr codeName="Sheet5">
    <outlinePr summaryBelow="0"/>
  </sheetPr>
  <dimension ref="A1:AK86"/>
  <sheetViews>
    <sheetView showGridLines="0" topLeftCell="A22" zoomScale="90" zoomScaleNormal="90" workbookViewId="0"/>
  </sheetViews>
  <sheetFormatPr defaultRowHeight="15" x14ac:dyDescent="0.25"/>
  <cols>
    <col min="1" max="1" width="4.5703125" bestFit="1" customWidth="1"/>
    <col min="2" max="2" width="13.85546875" bestFit="1" customWidth="1"/>
    <col min="3" max="3" width="43.85546875" style="3" bestFit="1" customWidth="1"/>
    <col min="4" max="4" width="4.42578125" style="3" bestFit="1" customWidth="1"/>
    <col min="5" max="5" width="6.42578125" style="3" bestFit="1" customWidth="1"/>
    <col min="6" max="6" width="7.85546875" style="3" bestFit="1" customWidth="1"/>
    <col min="7" max="7" width="4.42578125" style="3" bestFit="1" customWidth="1"/>
    <col min="8" max="8" width="6.42578125" style="3" bestFit="1" customWidth="1"/>
    <col min="9" max="9" width="7.85546875" style="3" bestFit="1" customWidth="1"/>
    <col min="10" max="10" width="4.42578125" style="3" bestFit="1" customWidth="1"/>
    <col min="11" max="11" width="6.42578125" style="3" bestFit="1" customWidth="1"/>
    <col min="12" max="12" width="7.85546875" style="3" bestFit="1" customWidth="1"/>
    <col min="13" max="13" width="6.85546875" style="3" bestFit="1" customWidth="1"/>
    <col min="14" max="14" width="6.42578125" style="3" bestFit="1" customWidth="1"/>
    <col min="15" max="15" width="7.85546875" style="3" bestFit="1" customWidth="1"/>
    <col min="16" max="16" width="6.28515625" style="3" bestFit="1" customWidth="1"/>
    <col min="17" max="17" width="6.42578125" style="3" bestFit="1" customWidth="1"/>
    <col min="18" max="18" width="9.140625" style="3" bestFit="1" customWidth="1"/>
    <col min="19" max="19" width="11.28515625" style="3" bestFit="1" customWidth="1"/>
    <col min="20" max="20" width="12.5703125" style="3" bestFit="1" customWidth="1"/>
    <col min="21" max="21" width="9.140625" style="3" bestFit="1" customWidth="1"/>
    <col min="22" max="22" width="7.5703125" style="3" bestFit="1" customWidth="1"/>
    <col min="23" max="23" width="7.28515625" style="3" bestFit="1" customWidth="1"/>
    <col min="24" max="24" width="8.28515625" style="3" bestFit="1" customWidth="1"/>
    <col min="25" max="25" width="12" style="3" bestFit="1" customWidth="1"/>
    <col min="26" max="26" width="13.42578125" style="3" bestFit="1" customWidth="1"/>
    <col min="27" max="27" width="7.5703125" bestFit="1" customWidth="1"/>
    <col min="28" max="28" width="7.85546875" bestFit="1" customWidth="1"/>
    <col min="29" max="29" width="7.5703125" bestFit="1" customWidth="1"/>
    <col min="30" max="30" width="7.85546875" bestFit="1" customWidth="1"/>
    <col min="31" max="31" width="7.5703125" bestFit="1" customWidth="1"/>
    <col min="32" max="32" width="7.85546875" bestFit="1" customWidth="1"/>
    <col min="33" max="33" width="7.5703125" bestFit="1" customWidth="1"/>
    <col min="34" max="38" width="7.85546875" bestFit="1" customWidth="1"/>
  </cols>
  <sheetData>
    <row r="1" spans="3:37" ht="15" customHeight="1" x14ac:dyDescent="0.25">
      <c r="C1" s="112" t="s">
        <v>21</v>
      </c>
      <c r="D1" s="114" t="s">
        <v>725</v>
      </c>
      <c r="E1" s="115"/>
      <c r="F1" s="115"/>
      <c r="G1" s="115"/>
      <c r="H1" s="115"/>
      <c r="I1"/>
      <c r="J1"/>
      <c r="K1" s="9">
        <v>0.47826086956521741</v>
      </c>
      <c r="L1" s="87">
        <v>4.3478260869565216E-2</v>
      </c>
      <c r="M1" s="87">
        <v>3.7037037037037035E-2</v>
      </c>
      <c r="AA1" s="3"/>
      <c r="AB1" s="3"/>
      <c r="AC1" s="3"/>
    </row>
    <row r="2" spans="3:37" ht="24.75" customHeight="1" x14ac:dyDescent="0.25">
      <c r="C2" s="113"/>
      <c r="D2" s="114"/>
      <c r="E2" s="115"/>
      <c r="F2" s="115"/>
      <c r="G2" s="115"/>
      <c r="H2" s="115"/>
      <c r="I2"/>
      <c r="J2"/>
      <c r="AA2" s="3"/>
      <c r="AB2" s="3"/>
      <c r="AC2" s="3"/>
    </row>
    <row r="3" spans="3:37" x14ac:dyDescent="0.25">
      <c r="C3"/>
      <c r="D3"/>
      <c r="E3"/>
      <c r="F3"/>
      <c r="G3"/>
      <c r="H3"/>
      <c r="I3"/>
      <c r="J3"/>
      <c r="K3"/>
      <c r="L3"/>
      <c r="M3"/>
      <c r="N3"/>
      <c r="O3"/>
      <c r="P3"/>
      <c r="Q3"/>
      <c r="R3"/>
      <c r="S3"/>
      <c r="T3"/>
      <c r="U3"/>
      <c r="V3"/>
      <c r="W3"/>
      <c r="X3"/>
      <c r="Y3"/>
      <c r="Z3"/>
    </row>
    <row r="4" spans="3:37" x14ac:dyDescent="0.25">
      <c r="C4"/>
      <c r="D4"/>
      <c r="E4"/>
      <c r="F4"/>
      <c r="G4"/>
      <c r="H4"/>
      <c r="I4"/>
      <c r="J4"/>
      <c r="K4"/>
      <c r="L4"/>
      <c r="M4"/>
      <c r="N4"/>
      <c r="O4"/>
      <c r="P4"/>
      <c r="Q4"/>
      <c r="R4"/>
      <c r="S4"/>
      <c r="T4"/>
      <c r="U4"/>
      <c r="V4"/>
      <c r="W4"/>
      <c r="X4"/>
      <c r="Y4"/>
      <c r="Z4"/>
    </row>
    <row r="5" spans="3:37" x14ac:dyDescent="0.25">
      <c r="C5"/>
      <c r="D5"/>
      <c r="E5"/>
      <c r="F5"/>
      <c r="G5"/>
      <c r="H5"/>
      <c r="I5"/>
      <c r="J5"/>
      <c r="K5"/>
      <c r="L5"/>
      <c r="M5"/>
      <c r="N5"/>
      <c r="O5"/>
      <c r="P5"/>
      <c r="Q5"/>
      <c r="R5"/>
      <c r="S5"/>
      <c r="T5"/>
      <c r="U5"/>
      <c r="V5"/>
      <c r="W5"/>
      <c r="X5"/>
      <c r="Y5"/>
      <c r="Z5"/>
    </row>
    <row r="6" spans="3:37" x14ac:dyDescent="0.25">
      <c r="C6" s="33"/>
      <c r="D6" s="34"/>
      <c r="E6" s="34"/>
      <c r="F6" s="34"/>
      <c r="G6" s="34"/>
      <c r="AA6" s="3"/>
      <c r="AB6" s="3"/>
      <c r="AC6" s="3"/>
    </row>
    <row r="7" spans="3:37" x14ac:dyDescent="0.25">
      <c r="D7" s="118" t="s">
        <v>25</v>
      </c>
      <c r="E7" s="118"/>
      <c r="F7" s="118"/>
      <c r="G7" s="118" t="s">
        <v>26</v>
      </c>
      <c r="H7" s="118"/>
      <c r="I7" s="118"/>
      <c r="J7" s="118" t="s">
        <v>27</v>
      </c>
      <c r="K7" s="118"/>
      <c r="L7" s="118"/>
      <c r="M7" s="119" t="s">
        <v>28</v>
      </c>
      <c r="N7" s="120"/>
      <c r="O7" s="121"/>
      <c r="P7" s="119" t="s">
        <v>1</v>
      </c>
      <c r="Q7" s="120"/>
      <c r="R7" s="121"/>
      <c r="S7" s="119" t="s">
        <v>2</v>
      </c>
      <c r="T7" s="120"/>
      <c r="U7" s="121"/>
      <c r="V7" s="122" t="s">
        <v>3</v>
      </c>
      <c r="W7" s="123"/>
      <c r="X7" s="123"/>
      <c r="Y7" s="123"/>
      <c r="Z7" s="123"/>
    </row>
    <row r="8" spans="3:37" x14ac:dyDescent="0.25">
      <c r="C8" s="116" t="s">
        <v>4</v>
      </c>
      <c r="D8" s="124" t="s">
        <v>20</v>
      </c>
      <c r="E8" s="125"/>
      <c r="F8" s="126"/>
      <c r="G8" s="124" t="s">
        <v>5</v>
      </c>
      <c r="H8" s="125"/>
      <c r="I8" s="126"/>
      <c r="J8" s="134" t="s">
        <v>17</v>
      </c>
      <c r="K8" s="135"/>
      <c r="L8" s="145"/>
      <c r="M8" s="134" t="s">
        <v>17</v>
      </c>
      <c r="N8" s="135"/>
      <c r="O8" s="145"/>
      <c r="P8" s="134" t="s">
        <v>17</v>
      </c>
      <c r="Q8" s="135"/>
      <c r="R8" s="145"/>
      <c r="S8" s="134" t="s">
        <v>17</v>
      </c>
      <c r="T8" s="135"/>
      <c r="U8" s="145"/>
      <c r="V8" s="134" t="s">
        <v>17</v>
      </c>
      <c r="W8" s="135"/>
      <c r="X8" s="135"/>
      <c r="Y8" s="135"/>
      <c r="Z8" s="145"/>
      <c r="AA8" s="127" t="s">
        <v>6</v>
      </c>
      <c r="AB8" s="128"/>
      <c r="AC8" s="127" t="s">
        <v>7</v>
      </c>
      <c r="AD8" s="129"/>
      <c r="AE8" s="127" t="s">
        <v>8</v>
      </c>
      <c r="AF8" s="129"/>
      <c r="AG8" s="127" t="s">
        <v>597</v>
      </c>
      <c r="AH8" s="129"/>
    </row>
    <row r="9" spans="3:37" x14ac:dyDescent="0.25">
      <c r="C9" s="117"/>
      <c r="D9" s="4" t="s">
        <v>9</v>
      </c>
      <c r="E9" s="4" t="s">
        <v>10</v>
      </c>
      <c r="F9" s="4" t="s">
        <v>11</v>
      </c>
      <c r="G9" s="4" t="s">
        <v>9</v>
      </c>
      <c r="H9" s="4" t="s">
        <v>10</v>
      </c>
      <c r="I9" s="4" t="s">
        <v>11</v>
      </c>
      <c r="J9" s="4" t="s">
        <v>9</v>
      </c>
      <c r="K9" s="4" t="s">
        <v>10</v>
      </c>
      <c r="L9" s="4" t="s">
        <v>11</v>
      </c>
      <c r="M9" s="4" t="s">
        <v>9</v>
      </c>
      <c r="N9" s="4" t="s">
        <v>10</v>
      </c>
      <c r="O9" s="4" t="s">
        <v>11</v>
      </c>
      <c r="P9" s="4" t="s">
        <v>9</v>
      </c>
      <c r="Q9" s="4" t="s">
        <v>10</v>
      </c>
      <c r="R9" s="4" t="s">
        <v>11</v>
      </c>
      <c r="S9" s="4" t="s">
        <v>9</v>
      </c>
      <c r="T9" s="4" t="s">
        <v>10</v>
      </c>
      <c r="U9" s="4" t="s">
        <v>11</v>
      </c>
      <c r="V9" s="4" t="s">
        <v>9</v>
      </c>
      <c r="W9" s="4" t="s">
        <v>10</v>
      </c>
      <c r="X9" s="4" t="s">
        <v>11</v>
      </c>
      <c r="Y9" s="4" t="s">
        <v>14</v>
      </c>
      <c r="Z9" s="4" t="s">
        <v>15</v>
      </c>
      <c r="AA9" s="4" t="s">
        <v>16</v>
      </c>
      <c r="AB9" s="4" t="s">
        <v>11</v>
      </c>
      <c r="AC9" s="4" t="s">
        <v>16</v>
      </c>
      <c r="AD9" s="4" t="s">
        <v>11</v>
      </c>
      <c r="AE9" s="4" t="s">
        <v>16</v>
      </c>
      <c r="AF9" s="4" t="s">
        <v>11</v>
      </c>
      <c r="AG9" s="4" t="s">
        <v>16</v>
      </c>
      <c r="AH9" s="4" t="s">
        <v>11</v>
      </c>
    </row>
    <row r="10" spans="3:37" x14ac:dyDescent="0.25">
      <c r="C10" s="5" t="s">
        <v>144</v>
      </c>
      <c r="D10" s="6">
        <v>73.391304347826079</v>
      </c>
      <c r="E10" s="53">
        <v>485.26865521327028</v>
      </c>
      <c r="F10" s="6">
        <v>35614.499565217397</v>
      </c>
      <c r="G10" s="6">
        <v>98.592592592592581</v>
      </c>
      <c r="H10" s="53">
        <v>612.99007513148001</v>
      </c>
      <c r="I10" s="6">
        <v>60436.280740740731</v>
      </c>
      <c r="J10" s="6">
        <v>81</v>
      </c>
      <c r="K10" s="53">
        <v>495.56172839506172</v>
      </c>
      <c r="L10" s="6">
        <v>40140.5</v>
      </c>
      <c r="M10" s="6">
        <v>119.65217391304347</v>
      </c>
      <c r="N10" s="53">
        <v>632.04215116279079</v>
      </c>
      <c r="O10" s="6">
        <v>75625.217391304352</v>
      </c>
      <c r="P10" s="6">
        <v>1863</v>
      </c>
      <c r="Q10" s="6">
        <v>495.56172839506172</v>
      </c>
      <c r="R10" s="6">
        <v>923231.5</v>
      </c>
      <c r="S10" s="6">
        <v>2752</v>
      </c>
      <c r="T10" s="6">
        <v>632.04215116279067</v>
      </c>
      <c r="U10" s="6">
        <v>1739380</v>
      </c>
      <c r="V10" s="6">
        <v>-38.65217391304347</v>
      </c>
      <c r="W10" s="6">
        <v>-136.48042276772907</v>
      </c>
      <c r="X10" s="6">
        <v>-35484.717391304352</v>
      </c>
      <c r="Y10" s="6">
        <v>-11054.914244186055</v>
      </c>
      <c r="Z10" s="6">
        <v>-24429.803147118299</v>
      </c>
      <c r="AA10" s="8">
        <v>0.67696220930232565</v>
      </c>
      <c r="AB10" s="8">
        <v>0.53078194529085077</v>
      </c>
      <c r="AC10" s="8">
        <v>0.10367298578199065</v>
      </c>
      <c r="AD10" s="8">
        <v>0.1270830838573086</v>
      </c>
      <c r="AE10" s="8">
        <v>-0.17843726521412462</v>
      </c>
      <c r="AF10" s="8">
        <v>-0.33582114074500174</v>
      </c>
      <c r="AG10" s="8" t="s">
        <v>364</v>
      </c>
      <c r="AH10" s="8" t="s">
        <v>364</v>
      </c>
    </row>
    <row r="11" spans="3:37" x14ac:dyDescent="0.25">
      <c r="C11" s="5" t="s">
        <v>145</v>
      </c>
      <c r="D11" s="6">
        <v>177.21739130434781</v>
      </c>
      <c r="E11" s="53">
        <v>486.90802011776265</v>
      </c>
      <c r="F11" s="6">
        <v>86288.5691304348</v>
      </c>
      <c r="G11" s="6">
        <v>221.18518518518516</v>
      </c>
      <c r="H11" s="53">
        <v>510.51685699933012</v>
      </c>
      <c r="I11" s="6">
        <v>112918.76555555552</v>
      </c>
      <c r="J11" s="6">
        <v>181</v>
      </c>
      <c r="K11" s="53">
        <v>739.49198895027632</v>
      </c>
      <c r="L11" s="6">
        <v>133848.05000000002</v>
      </c>
      <c r="M11" s="6">
        <v>272.91304347826082</v>
      </c>
      <c r="N11" s="53">
        <v>549.8400509797674</v>
      </c>
      <c r="O11" s="6">
        <v>150058.5217391304</v>
      </c>
      <c r="P11" s="6">
        <v>4163</v>
      </c>
      <c r="Q11" s="6">
        <v>739.49198895027632</v>
      </c>
      <c r="R11" s="6">
        <v>3078505.1500000004</v>
      </c>
      <c r="S11" s="6">
        <v>6277</v>
      </c>
      <c r="T11" s="6">
        <v>549.8400509797674</v>
      </c>
      <c r="U11" s="6">
        <v>3451346</v>
      </c>
      <c r="V11" s="6">
        <v>-91.913043478260818</v>
      </c>
      <c r="W11" s="6">
        <v>189.65193797050892</v>
      </c>
      <c r="X11" s="6">
        <v>-16210.471739130386</v>
      </c>
      <c r="Y11" s="6">
        <v>34327.000772662119</v>
      </c>
      <c r="Z11" s="6">
        <v>-50537.472511792505</v>
      </c>
      <c r="AA11" s="8">
        <v>0.66321491158196599</v>
      </c>
      <c r="AB11" s="8">
        <v>0.89197233485138872</v>
      </c>
      <c r="AC11" s="8">
        <v>2.1344455348380836E-2</v>
      </c>
      <c r="AD11" s="8">
        <v>0.55116780065820481</v>
      </c>
      <c r="AE11" s="8">
        <v>-0.1816811788345612</v>
      </c>
      <c r="AF11" s="8">
        <v>0.18534815131456053</v>
      </c>
      <c r="AG11" s="8" t="s">
        <v>364</v>
      </c>
      <c r="AH11" s="8" t="s">
        <v>364</v>
      </c>
    </row>
    <row r="12" spans="3:37" x14ac:dyDescent="0.25">
      <c r="C12" s="5" t="s">
        <v>21</v>
      </c>
      <c r="D12" s="6">
        <v>250.60869565217391</v>
      </c>
      <c r="E12" s="53">
        <v>486.42792852185994</v>
      </c>
      <c r="F12" s="6">
        <v>121903.0686956522</v>
      </c>
      <c r="G12" s="6">
        <v>319.77777777777777</v>
      </c>
      <c r="H12" s="53">
        <v>542.11098563817461</v>
      </c>
      <c r="I12" s="6">
        <v>173355.04629629629</v>
      </c>
      <c r="J12" s="6">
        <v>262</v>
      </c>
      <c r="K12" s="53">
        <v>664.0784351145038</v>
      </c>
      <c r="L12" s="6">
        <v>173988.55</v>
      </c>
      <c r="M12" s="6">
        <v>392.56521739130426</v>
      </c>
      <c r="N12" s="53">
        <v>574.89489422970439</v>
      </c>
      <c r="O12" s="6">
        <v>225683.73913043475</v>
      </c>
      <c r="P12" s="6">
        <v>6026</v>
      </c>
      <c r="Q12" s="6">
        <v>664.0784351145038</v>
      </c>
      <c r="R12" s="6">
        <v>4001736.65</v>
      </c>
      <c r="S12" s="6">
        <v>9029</v>
      </c>
      <c r="T12" s="6">
        <v>574.89489422970428</v>
      </c>
      <c r="U12" s="6">
        <v>5190726</v>
      </c>
      <c r="V12" s="6">
        <v>-130.56521739130426</v>
      </c>
      <c r="W12" s="6">
        <v>89.183540884799413</v>
      </c>
      <c r="X12" s="6">
        <v>-51695.189130434766</v>
      </c>
      <c r="Y12" s="6">
        <v>23366.087711817447</v>
      </c>
      <c r="Z12" s="6">
        <v>-75061.27684225222</v>
      </c>
      <c r="AA12" s="8">
        <v>0.66740502824233039</v>
      </c>
      <c r="AB12" s="8">
        <v>0.77093968165532145</v>
      </c>
      <c r="AC12" s="8">
        <v>4.5454545454545484E-2</v>
      </c>
      <c r="AD12" s="8">
        <v>0.4272696484317911</v>
      </c>
      <c r="AE12" s="8">
        <v>-0.18068102849200832</v>
      </c>
      <c r="AF12" s="8">
        <v>3.6543712873573909E-3</v>
      </c>
      <c r="AG12" s="8" t="s">
        <v>364</v>
      </c>
      <c r="AH12" s="8" t="s">
        <v>364</v>
      </c>
    </row>
    <row r="13" spans="3:37" x14ac:dyDescent="0.25">
      <c r="C13" s="41"/>
      <c r="D13" s="42"/>
      <c r="E13" s="43"/>
      <c r="F13" s="42"/>
      <c r="G13" s="42"/>
      <c r="H13" s="43"/>
      <c r="I13" s="42"/>
      <c r="J13" s="42"/>
      <c r="K13" s="44"/>
      <c r="L13" s="42"/>
      <c r="M13" s="42"/>
      <c r="N13" s="43"/>
      <c r="O13" s="42"/>
      <c r="P13" s="42"/>
      <c r="Q13" s="43"/>
      <c r="R13" s="42"/>
      <c r="S13" s="42"/>
      <c r="T13" s="43"/>
      <c r="U13" s="42"/>
      <c r="V13" s="45"/>
      <c r="W13" s="45"/>
      <c r="X13" s="45"/>
      <c r="Y13" s="42"/>
      <c r="Z13" s="42"/>
      <c r="AA13" s="42"/>
      <c r="AB13" s="46"/>
      <c r="AC13" s="46"/>
      <c r="AD13" s="47"/>
      <c r="AE13" s="47"/>
      <c r="AF13" s="47"/>
      <c r="AG13" s="47"/>
      <c r="AH13" s="47"/>
      <c r="AI13" s="47"/>
      <c r="AJ13" s="47"/>
      <c r="AK13" s="47"/>
    </row>
    <row r="14" spans="3:37" x14ac:dyDescent="0.25">
      <c r="C14" s="41"/>
      <c r="D14" s="68"/>
      <c r="E14" s="69"/>
      <c r="F14" s="68"/>
      <c r="G14" s="68"/>
      <c r="H14" s="69"/>
      <c r="I14" s="68"/>
      <c r="J14" s="68"/>
      <c r="K14" s="68"/>
      <c r="L14" s="68"/>
      <c r="M14" s="68"/>
      <c r="N14" s="68"/>
      <c r="O14" s="68"/>
      <c r="P14" s="68"/>
      <c r="Q14" s="69"/>
      <c r="R14" s="50"/>
      <c r="S14" s="70"/>
      <c r="T14" s="69"/>
      <c r="U14" s="68"/>
      <c r="V14" s="49"/>
      <c r="W14" s="49"/>
      <c r="X14" s="50"/>
      <c r="Y14" s="50"/>
      <c r="Z14" s="50"/>
      <c r="AA14" s="50"/>
      <c r="AB14" s="50"/>
      <c r="AC14" s="50"/>
      <c r="AD14" s="50"/>
      <c r="AE14" s="50"/>
    </row>
    <row r="15" spans="3:37" x14ac:dyDescent="0.25">
      <c r="C15" s="24"/>
      <c r="D15" s="118" t="s">
        <v>30</v>
      </c>
      <c r="E15" s="118"/>
      <c r="F15" s="118"/>
      <c r="G15" s="118" t="s">
        <v>31</v>
      </c>
      <c r="H15" s="118"/>
      <c r="I15" s="118"/>
      <c r="J15" s="118" t="s">
        <v>27</v>
      </c>
      <c r="K15" s="118"/>
      <c r="L15" s="118"/>
      <c r="M15" s="119" t="s">
        <v>28</v>
      </c>
      <c r="N15" s="120"/>
      <c r="O15" s="121"/>
      <c r="P15" s="119" t="s">
        <v>32</v>
      </c>
      <c r="Q15" s="120"/>
      <c r="R15" s="121"/>
      <c r="S15" s="119" t="s">
        <v>2</v>
      </c>
      <c r="T15" s="120"/>
      <c r="U15" s="121"/>
      <c r="V15" s="122" t="s">
        <v>3</v>
      </c>
      <c r="W15" s="123"/>
      <c r="X15" s="123"/>
      <c r="Y15" s="123"/>
      <c r="Z15" s="123"/>
    </row>
    <row r="16" spans="3:37" x14ac:dyDescent="0.25">
      <c r="D16" s="133" t="s">
        <v>20</v>
      </c>
      <c r="E16" s="133" t="s">
        <v>5</v>
      </c>
      <c r="F16" s="133" t="s">
        <v>5</v>
      </c>
      <c r="G16" s="133" t="s">
        <v>5</v>
      </c>
      <c r="H16" s="133" t="s">
        <v>5</v>
      </c>
      <c r="I16" s="133" t="s">
        <v>5</v>
      </c>
      <c r="J16" s="134" t="s">
        <v>17</v>
      </c>
      <c r="K16" s="135"/>
      <c r="L16" s="145"/>
      <c r="M16" s="134" t="s">
        <v>17</v>
      </c>
      <c r="N16" s="135"/>
      <c r="O16" s="145"/>
      <c r="P16" s="134" t="s">
        <v>17</v>
      </c>
      <c r="Q16" s="135"/>
      <c r="R16" s="145"/>
      <c r="S16" s="134" t="s">
        <v>17</v>
      </c>
      <c r="T16" s="135"/>
      <c r="U16" s="145"/>
      <c r="V16" s="134" t="s">
        <v>17</v>
      </c>
      <c r="W16" s="135"/>
      <c r="X16" s="135"/>
      <c r="Y16" s="135"/>
      <c r="Z16" s="145"/>
      <c r="AA16" s="127" t="s">
        <v>6</v>
      </c>
      <c r="AB16" s="128"/>
      <c r="AC16" s="127" t="s">
        <v>7</v>
      </c>
      <c r="AD16" s="129"/>
      <c r="AE16" s="127" t="s">
        <v>8</v>
      </c>
      <c r="AF16" s="129"/>
    </row>
    <row r="17" spans="1:32" x14ac:dyDescent="0.25">
      <c r="C17" s="97" t="s">
        <v>33</v>
      </c>
      <c r="D17" s="4" t="s">
        <v>9</v>
      </c>
      <c r="E17" s="4" t="s">
        <v>10</v>
      </c>
      <c r="F17" s="4" t="s">
        <v>11</v>
      </c>
      <c r="G17" s="4" t="s">
        <v>9</v>
      </c>
      <c r="H17" s="4" t="s">
        <v>10</v>
      </c>
      <c r="I17" s="4" t="s">
        <v>11</v>
      </c>
      <c r="J17" s="4" t="s">
        <v>9</v>
      </c>
      <c r="K17" s="4" t="s">
        <v>10</v>
      </c>
      <c r="L17" s="4" t="s">
        <v>11</v>
      </c>
      <c r="M17" s="4" t="s">
        <v>9</v>
      </c>
      <c r="N17" s="4" t="s">
        <v>10</v>
      </c>
      <c r="O17" s="4" t="s">
        <v>11</v>
      </c>
      <c r="P17" s="4" t="s">
        <v>9</v>
      </c>
      <c r="Q17" s="4" t="s">
        <v>10</v>
      </c>
      <c r="R17" s="4" t="s">
        <v>11</v>
      </c>
      <c r="S17" s="4" t="s">
        <v>9</v>
      </c>
      <c r="T17" s="4" t="s">
        <v>10</v>
      </c>
      <c r="U17" s="4" t="s">
        <v>11</v>
      </c>
      <c r="V17" s="4" t="s">
        <v>9</v>
      </c>
      <c r="W17" s="4" t="s">
        <v>10</v>
      </c>
      <c r="X17" s="4" t="s">
        <v>11</v>
      </c>
      <c r="Y17" s="4" t="s">
        <v>14</v>
      </c>
      <c r="Z17" s="4" t="s">
        <v>15</v>
      </c>
      <c r="AA17" s="4" t="s">
        <v>16</v>
      </c>
      <c r="AB17" s="4" t="s">
        <v>11</v>
      </c>
      <c r="AC17" s="4" t="s">
        <v>16</v>
      </c>
      <c r="AD17" s="4" t="s">
        <v>11</v>
      </c>
      <c r="AE17" s="4" t="s">
        <v>16</v>
      </c>
      <c r="AF17" s="4" t="s">
        <v>11</v>
      </c>
    </row>
    <row r="18" spans="1:32" x14ac:dyDescent="0.25">
      <c r="C18" s="23" t="s">
        <v>149</v>
      </c>
      <c r="D18" s="6">
        <v>10.391304347826086</v>
      </c>
      <c r="E18" s="53">
        <v>565.58037656903787</v>
      </c>
      <c r="F18" s="6">
        <v>5877.1178260869583</v>
      </c>
      <c r="G18" s="6">
        <v>5.9339774557165859</v>
      </c>
      <c r="H18" s="53">
        <v>521.36749253731341</v>
      </c>
      <c r="I18" s="6">
        <v>3093.7829468599034</v>
      </c>
      <c r="J18" s="6">
        <v>14</v>
      </c>
      <c r="K18" s="53">
        <v>617.4178571428572</v>
      </c>
      <c r="L18" s="6">
        <v>8643.85</v>
      </c>
      <c r="M18" s="6">
        <v>19.739130434782609</v>
      </c>
      <c r="N18" s="53">
        <v>510.6255506607929</v>
      </c>
      <c r="O18" s="6">
        <v>10079.304347826086</v>
      </c>
      <c r="P18" s="6">
        <v>322</v>
      </c>
      <c r="Q18" s="53">
        <v>617.4178571428572</v>
      </c>
      <c r="R18" s="6">
        <v>198808.55000000002</v>
      </c>
      <c r="S18" s="6">
        <v>454</v>
      </c>
      <c r="T18" s="6">
        <v>510.62555066079295</v>
      </c>
      <c r="U18" s="6">
        <v>231824</v>
      </c>
      <c r="V18" s="6">
        <v>-5.7391304347826093</v>
      </c>
      <c r="W18" s="6">
        <v>106.7923064820643</v>
      </c>
      <c r="X18" s="6">
        <v>-1435.4543478260857</v>
      </c>
      <c r="Y18" s="6">
        <v>1495.0922907489003</v>
      </c>
      <c r="Z18" s="6">
        <v>-2930.5466385749855</v>
      </c>
      <c r="AA18" s="88">
        <v>0.70925110132158586</v>
      </c>
      <c r="AB18" s="88">
        <v>0.85758398612740716</v>
      </c>
      <c r="AC18" s="88">
        <v>0.3472803347280336</v>
      </c>
      <c r="AD18" s="88">
        <v>0.47076343469451232</v>
      </c>
      <c r="AE18" s="88">
        <v>1.3592944369063771</v>
      </c>
      <c r="AF18" s="88">
        <v>1.7939419631145257</v>
      </c>
    </row>
    <row r="19" spans="1:32" s="16" customFormat="1" ht="15" customHeight="1" x14ac:dyDescent="0.25">
      <c r="C19" s="23" t="s">
        <v>146</v>
      </c>
      <c r="D19" s="6">
        <v>8.4347826086956523</v>
      </c>
      <c r="E19" s="53">
        <v>528.53835051546378</v>
      </c>
      <c r="F19" s="6">
        <v>4458.1060869565208</v>
      </c>
      <c r="G19" s="6">
        <v>7.723027375201287</v>
      </c>
      <c r="H19" s="53">
        <v>805.90486238532128</v>
      </c>
      <c r="I19" s="6">
        <v>6224.025314009662</v>
      </c>
      <c r="J19" s="6">
        <v>26</v>
      </c>
      <c r="K19" s="53">
        <v>1456.646923076923</v>
      </c>
      <c r="L19" s="6">
        <v>37872.82</v>
      </c>
      <c r="M19" s="6">
        <v>43.608695652173914</v>
      </c>
      <c r="N19" s="53">
        <v>830.89830508474574</v>
      </c>
      <c r="O19" s="6">
        <v>36234.391304347824</v>
      </c>
      <c r="P19" s="6">
        <v>598</v>
      </c>
      <c r="Q19" s="53">
        <v>1456.646923076923</v>
      </c>
      <c r="R19" s="6">
        <v>871074.86</v>
      </c>
      <c r="S19" s="6">
        <v>1003</v>
      </c>
      <c r="T19" s="6">
        <v>830.89830508474574</v>
      </c>
      <c r="U19" s="6">
        <v>833391</v>
      </c>
      <c r="V19" s="6">
        <v>-17.608695652173914</v>
      </c>
      <c r="W19" s="6">
        <v>625.74861799217729</v>
      </c>
      <c r="X19" s="6">
        <v>1638.4286956521755</v>
      </c>
      <c r="Y19" s="6">
        <v>16269.464067796609</v>
      </c>
      <c r="Z19" s="6">
        <v>-14631.035372144437</v>
      </c>
      <c r="AA19" s="88">
        <v>0.59621136590229307</v>
      </c>
      <c r="AB19" s="88">
        <v>1.045217502948796</v>
      </c>
      <c r="AC19" s="88">
        <v>2.0824742268041239</v>
      </c>
      <c r="AD19" s="88">
        <v>7.495271144580407</v>
      </c>
      <c r="AE19" s="88">
        <v>2.3665554628857386</v>
      </c>
      <c r="AF19" s="88">
        <v>5.0849399045264239</v>
      </c>
    </row>
    <row r="20" spans="1:32" s="16" customFormat="1" ht="15" customHeight="1" x14ac:dyDescent="0.25">
      <c r="C20" s="23" t="s">
        <v>216</v>
      </c>
      <c r="D20" s="6">
        <v>21.34782608695652</v>
      </c>
      <c r="E20" s="53">
        <v>621.8614663951123</v>
      </c>
      <c r="F20" s="6">
        <v>13275.390434782614</v>
      </c>
      <c r="G20" s="6">
        <v>12.913043478260869</v>
      </c>
      <c r="H20" s="53">
        <v>565.17727023319617</v>
      </c>
      <c r="I20" s="6">
        <v>7298.1586634460546</v>
      </c>
      <c r="J20" s="6">
        <v>33</v>
      </c>
      <c r="K20" s="53">
        <v>938.31272727272722</v>
      </c>
      <c r="L20" s="6">
        <v>30964.32</v>
      </c>
      <c r="M20" s="6">
        <v>54.217391304347828</v>
      </c>
      <c r="N20" s="53">
        <v>685.3977546110666</v>
      </c>
      <c r="O20" s="6">
        <v>37160.478260869568</v>
      </c>
      <c r="P20" s="6">
        <v>759</v>
      </c>
      <c r="Q20" s="53">
        <v>938.31272727272722</v>
      </c>
      <c r="R20" s="6">
        <v>712179.36</v>
      </c>
      <c r="S20" s="6">
        <v>1247</v>
      </c>
      <c r="T20" s="6">
        <v>685.3977546110666</v>
      </c>
      <c r="U20" s="6">
        <v>854691</v>
      </c>
      <c r="V20" s="6">
        <v>-21.217391304347828</v>
      </c>
      <c r="W20" s="6">
        <v>252.91497266166061</v>
      </c>
      <c r="X20" s="6">
        <v>-6196.158260869568</v>
      </c>
      <c r="Y20" s="6">
        <v>8346.1940978347993</v>
      </c>
      <c r="Z20" s="6">
        <v>-14542.352358704371</v>
      </c>
      <c r="AA20" s="88">
        <v>0.60866078588612671</v>
      </c>
      <c r="AB20" s="88">
        <v>0.83325945868155848</v>
      </c>
      <c r="AC20" s="88">
        <v>0.54582484725050928</v>
      </c>
      <c r="AD20" s="88">
        <v>1.3324602129117753</v>
      </c>
      <c r="AE20" s="88">
        <v>1.5555555555555558</v>
      </c>
      <c r="AF20" s="88">
        <v>3.2427578554971048</v>
      </c>
    </row>
    <row r="21" spans="1:32" x14ac:dyDescent="0.25">
      <c r="C21" s="23" t="s">
        <v>147</v>
      </c>
      <c r="D21" s="6">
        <v>13.826086956521738</v>
      </c>
      <c r="E21" s="53">
        <v>488.30578616352204</v>
      </c>
      <c r="F21" s="6">
        <v>6751.3582608695651</v>
      </c>
      <c r="G21" s="6">
        <v>10.716586151368761</v>
      </c>
      <c r="H21" s="53">
        <v>928.83163636363588</v>
      </c>
      <c r="I21" s="6">
        <v>9953.9042512077249</v>
      </c>
      <c r="J21" s="6">
        <v>32</v>
      </c>
      <c r="K21" s="53">
        <v>278.09781249999997</v>
      </c>
      <c r="L21" s="6">
        <v>8899.1299999999992</v>
      </c>
      <c r="M21" s="6">
        <v>40.347826086956523</v>
      </c>
      <c r="N21" s="53">
        <v>844.17025862068965</v>
      </c>
      <c r="O21" s="6">
        <v>34060.434782608696</v>
      </c>
      <c r="P21" s="6">
        <v>736</v>
      </c>
      <c r="Q21" s="53">
        <v>278.09781249999997</v>
      </c>
      <c r="R21" s="6">
        <v>204679.99</v>
      </c>
      <c r="S21" s="6">
        <v>928</v>
      </c>
      <c r="T21" s="6">
        <v>844.17025862068965</v>
      </c>
      <c r="U21" s="6">
        <v>783390</v>
      </c>
      <c r="V21" s="6">
        <v>-8.3478260869565233</v>
      </c>
      <c r="W21" s="6">
        <v>-566.07244612068962</v>
      </c>
      <c r="X21" s="6">
        <v>-25161.304782608699</v>
      </c>
      <c r="Y21" s="6">
        <v>-18114.318275862068</v>
      </c>
      <c r="Z21" s="6">
        <v>-7046.986506746628</v>
      </c>
      <c r="AA21" s="88">
        <v>0.79310344827586199</v>
      </c>
      <c r="AB21" s="88">
        <v>0.26127470353208487</v>
      </c>
      <c r="AC21" s="88">
        <v>1.3144654088050316</v>
      </c>
      <c r="AD21" s="88">
        <v>0.31812439158780537</v>
      </c>
      <c r="AE21" s="88">
        <v>1.9860255447032307</v>
      </c>
      <c r="AF21" s="88">
        <v>-0.10596588279214642</v>
      </c>
    </row>
    <row r="22" spans="1:32" ht="15" customHeight="1" x14ac:dyDescent="0.25">
      <c r="C22" s="23" t="s">
        <v>211</v>
      </c>
      <c r="D22" s="6">
        <v>8.0434782608695645</v>
      </c>
      <c r="E22" s="53">
        <v>417.97297297297303</v>
      </c>
      <c r="F22" s="6">
        <v>3361.9565217391305</v>
      </c>
      <c r="G22" s="6">
        <v>4.0740740740740735</v>
      </c>
      <c r="H22" s="53">
        <v>728.69339130434798</v>
      </c>
      <c r="I22" s="6">
        <v>2968.7508534621579</v>
      </c>
      <c r="J22" s="6">
        <v>10</v>
      </c>
      <c r="K22" s="53">
        <v>793</v>
      </c>
      <c r="L22" s="6">
        <v>7930</v>
      </c>
      <c r="M22" s="6">
        <v>20.391304347826086</v>
      </c>
      <c r="N22" s="53">
        <v>640.51599147121533</v>
      </c>
      <c r="O22" s="6">
        <v>13060.95652173913</v>
      </c>
      <c r="P22" s="6">
        <v>230</v>
      </c>
      <c r="Q22" s="53">
        <v>793</v>
      </c>
      <c r="R22" s="6">
        <v>182390</v>
      </c>
      <c r="S22" s="6">
        <v>0</v>
      </c>
      <c r="T22" s="6" t="s">
        <v>364</v>
      </c>
      <c r="U22" s="6">
        <v>0</v>
      </c>
      <c r="V22" s="6">
        <v>-10.391304347826086</v>
      </c>
      <c r="W22" s="6">
        <v>152.48400852878467</v>
      </c>
      <c r="X22" s="6">
        <v>-5130.95652173913</v>
      </c>
      <c r="Y22" s="6">
        <v>1524.8400852878467</v>
      </c>
      <c r="Z22" s="6">
        <v>-6655.7966070269758</v>
      </c>
      <c r="AA22" s="88">
        <v>0.49040511727078895</v>
      </c>
      <c r="AB22" s="88">
        <v>0.60715308153740655</v>
      </c>
      <c r="AC22" s="88">
        <v>0.24324324324324334</v>
      </c>
      <c r="AD22" s="88">
        <v>1.3587455544778533</v>
      </c>
      <c r="AE22" s="88">
        <v>1.4545454545454548</v>
      </c>
      <c r="AF22" s="88">
        <v>1.6711571268272758</v>
      </c>
    </row>
    <row r="23" spans="1:32" ht="15" customHeight="1" x14ac:dyDescent="0.25">
      <c r="C23" s="23" t="s">
        <v>219</v>
      </c>
      <c r="D23" s="6">
        <v>42.304347826086953</v>
      </c>
      <c r="E23" s="53">
        <v>472.61423432682437</v>
      </c>
      <c r="F23" s="6">
        <v>19993.636956521743</v>
      </c>
      <c r="G23" s="6">
        <v>24.56843800322061</v>
      </c>
      <c r="H23" s="53">
        <v>435.16379956741184</v>
      </c>
      <c r="I23" s="6">
        <v>10691.294830917877</v>
      </c>
      <c r="J23" s="6">
        <v>39</v>
      </c>
      <c r="K23" s="53">
        <v>737.67743589743588</v>
      </c>
      <c r="L23" s="6">
        <v>28769.42</v>
      </c>
      <c r="M23" s="6">
        <v>76.91304347826086</v>
      </c>
      <c r="N23" s="53">
        <v>488.26286037309217</v>
      </c>
      <c r="O23" s="6">
        <v>37553.782608695648</v>
      </c>
      <c r="P23" s="6">
        <v>897</v>
      </c>
      <c r="Q23" s="53">
        <v>737.67743589743577</v>
      </c>
      <c r="R23" s="6">
        <v>661696.65999999992</v>
      </c>
      <c r="S23" s="6">
        <v>0</v>
      </c>
      <c r="T23" s="6" t="s">
        <v>364</v>
      </c>
      <c r="U23" s="6">
        <v>0</v>
      </c>
      <c r="V23" s="6">
        <v>-37.91304347826086</v>
      </c>
      <c r="W23" s="6">
        <v>249.41457552434372</v>
      </c>
      <c r="X23" s="6">
        <v>-8784.3626086956501</v>
      </c>
      <c r="Y23" s="6">
        <v>9727.1684454494043</v>
      </c>
      <c r="Z23" s="6">
        <v>-18511.531054145056</v>
      </c>
      <c r="AA23" s="88">
        <v>0.50706613906161679</v>
      </c>
      <c r="AB23" s="88">
        <v>0.76608581084288396</v>
      </c>
      <c r="AC23" s="88">
        <v>-7.8108941418293873E-2</v>
      </c>
      <c r="AD23" s="88">
        <v>0.43892879832529291</v>
      </c>
      <c r="AE23" s="88">
        <v>0.58740250376876202</v>
      </c>
      <c r="AF23" s="88">
        <v>1.6909200854514332</v>
      </c>
    </row>
    <row r="24" spans="1:32" x14ac:dyDescent="0.25">
      <c r="C24" s="23" t="s">
        <v>148</v>
      </c>
      <c r="D24" s="6">
        <v>15.130434782608695</v>
      </c>
      <c r="E24" s="53">
        <v>655.71916666666732</v>
      </c>
      <c r="F24" s="6">
        <v>9921.3160869565309</v>
      </c>
      <c r="G24" s="6">
        <v>10.698872785829305</v>
      </c>
      <c r="H24" s="53">
        <v>966.26374172185422</v>
      </c>
      <c r="I24" s="6">
        <v>10337.932850241543</v>
      </c>
      <c r="J24" s="6">
        <v>26</v>
      </c>
      <c r="K24" s="53">
        <v>1107.8076923076924</v>
      </c>
      <c r="L24" s="6">
        <v>28803</v>
      </c>
      <c r="M24" s="6">
        <v>32.608695652173914</v>
      </c>
      <c r="N24" s="53">
        <v>949.67199999999991</v>
      </c>
      <c r="O24" s="6">
        <v>30967.565217391304</v>
      </c>
      <c r="P24" s="6">
        <v>598</v>
      </c>
      <c r="Q24" s="53">
        <v>1107.8076923076924</v>
      </c>
      <c r="R24" s="6">
        <v>662469</v>
      </c>
      <c r="S24" s="6">
        <v>750</v>
      </c>
      <c r="T24" s="6">
        <v>949.67200000000003</v>
      </c>
      <c r="U24" s="6">
        <v>712254</v>
      </c>
      <c r="V24" s="6">
        <v>-6.608695652173914</v>
      </c>
      <c r="W24" s="6">
        <v>158.13569230769247</v>
      </c>
      <c r="X24" s="6">
        <v>-2164.565217391304</v>
      </c>
      <c r="Y24" s="6">
        <v>4111.5280000000039</v>
      </c>
      <c r="Z24" s="6">
        <v>-6276.0932173913043</v>
      </c>
      <c r="AA24" s="88">
        <v>0.79733333333333334</v>
      </c>
      <c r="AB24" s="88">
        <v>0.93010218264832489</v>
      </c>
      <c r="AC24" s="88">
        <v>0.71839080459770122</v>
      </c>
      <c r="AD24" s="88">
        <v>1.9031430656530595</v>
      </c>
      <c r="AE24" s="88">
        <v>1.4301625526791095</v>
      </c>
      <c r="AF24" s="88">
        <v>1.7861469422609979</v>
      </c>
    </row>
    <row r="25" spans="1:32" ht="15" customHeight="1" x14ac:dyDescent="0.25">
      <c r="C25" s="23" t="s">
        <v>151</v>
      </c>
      <c r="D25" s="6">
        <v>2.7826086956521738</v>
      </c>
      <c r="E25" s="53">
        <v>286.39734375000012</v>
      </c>
      <c r="F25" s="6">
        <v>796.93173913043506</v>
      </c>
      <c r="G25" s="6">
        <v>1.7181964573268922</v>
      </c>
      <c r="H25" s="53">
        <v>363.30051546391758</v>
      </c>
      <c r="I25" s="6">
        <v>624.22165861513702</v>
      </c>
      <c r="J25" s="6">
        <v>6</v>
      </c>
      <c r="K25" s="53">
        <v>325.27666666666664</v>
      </c>
      <c r="L25" s="6">
        <v>1951.6599999999999</v>
      </c>
      <c r="M25" s="6">
        <v>19.434782608695652</v>
      </c>
      <c r="N25" s="53">
        <v>352.84116331096197</v>
      </c>
      <c r="O25" s="6">
        <v>6857.391304347826</v>
      </c>
      <c r="P25" s="6">
        <v>138</v>
      </c>
      <c r="Q25" s="53">
        <v>325.27666666666664</v>
      </c>
      <c r="R25" s="6">
        <v>44888.179999999993</v>
      </c>
      <c r="S25" s="6">
        <v>447</v>
      </c>
      <c r="T25" s="6">
        <v>352.84116331096197</v>
      </c>
      <c r="U25" s="6">
        <v>157720</v>
      </c>
      <c r="V25" s="6">
        <v>-13.434782608695652</v>
      </c>
      <c r="W25" s="6">
        <v>-27.564496644295332</v>
      </c>
      <c r="X25" s="6">
        <v>-4905.7313043478262</v>
      </c>
      <c r="Y25" s="6">
        <v>-165.38697986577199</v>
      </c>
      <c r="Z25" s="6">
        <v>-4740.3443244820546</v>
      </c>
      <c r="AA25" s="88">
        <v>0.3087248322147651</v>
      </c>
      <c r="AB25" s="88">
        <v>0.28460677149378644</v>
      </c>
      <c r="AC25" s="88">
        <v>1.15625</v>
      </c>
      <c r="AD25" s="88">
        <v>1.4489675892812806</v>
      </c>
      <c r="AE25" s="88">
        <v>2.4920337394564198</v>
      </c>
      <c r="AF25" s="88">
        <v>2.1265496367585874</v>
      </c>
    </row>
    <row r="26" spans="1:32" ht="15" customHeight="1" x14ac:dyDescent="0.25">
      <c r="C26" s="23" t="s">
        <v>152</v>
      </c>
      <c r="D26" s="6">
        <v>35.304347826086953</v>
      </c>
      <c r="E26" s="53">
        <v>156.07827586206852</v>
      </c>
      <c r="F26" s="6">
        <v>5510.2417391304189</v>
      </c>
      <c r="G26" s="6">
        <v>18.74074074074074</v>
      </c>
      <c r="H26" s="53">
        <v>161.99184310018882</v>
      </c>
      <c r="I26" s="6">
        <v>3035.8471336553903</v>
      </c>
      <c r="J26" s="6">
        <v>56</v>
      </c>
      <c r="K26" s="53">
        <v>222.91357142857143</v>
      </c>
      <c r="L26" s="6">
        <v>12483.16</v>
      </c>
      <c r="M26" s="6">
        <v>77.695652173913032</v>
      </c>
      <c r="N26" s="53">
        <v>176.888080581981</v>
      </c>
      <c r="O26" s="6">
        <v>13743.434782608696</v>
      </c>
      <c r="P26" s="6">
        <v>1288</v>
      </c>
      <c r="Q26" s="53">
        <v>222.91357142857143</v>
      </c>
      <c r="R26" s="6">
        <v>287112.68</v>
      </c>
      <c r="S26" s="6">
        <v>1787</v>
      </c>
      <c r="T26" s="6">
        <v>176.88808058198097</v>
      </c>
      <c r="U26" s="6">
        <v>316099</v>
      </c>
      <c r="V26" s="6">
        <v>-21.695652173913032</v>
      </c>
      <c r="W26" s="6">
        <v>46.025490846590429</v>
      </c>
      <c r="X26" s="6">
        <v>-1260.2747826086961</v>
      </c>
      <c r="Y26" s="6">
        <v>2577.4274874090643</v>
      </c>
      <c r="Z26" s="6">
        <v>-3837.7022700177599</v>
      </c>
      <c r="AA26" s="88">
        <v>0.72076105204252949</v>
      </c>
      <c r="AB26" s="88">
        <v>0.90829986807930418</v>
      </c>
      <c r="AC26" s="88">
        <v>0.58620689655172431</v>
      </c>
      <c r="AD26" s="88">
        <v>1.2654468879926111</v>
      </c>
      <c r="AE26" s="88">
        <v>1.9881422924901186</v>
      </c>
      <c r="AF26" s="88">
        <v>3.1119198202082488</v>
      </c>
    </row>
    <row r="27" spans="1:32" x14ac:dyDescent="0.25">
      <c r="C27" s="23" t="s">
        <v>150</v>
      </c>
      <c r="D27" s="6">
        <v>0</v>
      </c>
      <c r="E27" s="53" t="s">
        <v>364</v>
      </c>
      <c r="F27" s="6">
        <v>0</v>
      </c>
      <c r="G27" s="6">
        <v>0</v>
      </c>
      <c r="H27" s="53" t="s">
        <v>364</v>
      </c>
      <c r="I27" s="6">
        <v>0</v>
      </c>
      <c r="J27" s="6">
        <v>9</v>
      </c>
      <c r="K27" s="53">
        <v>494.66666666666669</v>
      </c>
      <c r="L27" s="6">
        <v>4452</v>
      </c>
      <c r="M27" s="6">
        <v>7.6086956521739131</v>
      </c>
      <c r="N27" s="53">
        <v>784.10285714285715</v>
      </c>
      <c r="O27" s="6">
        <v>5966</v>
      </c>
      <c r="P27" s="6">
        <v>207</v>
      </c>
      <c r="Q27" s="53">
        <v>494.66666666666669</v>
      </c>
      <c r="R27" s="6">
        <v>102396</v>
      </c>
      <c r="S27" s="6">
        <v>175</v>
      </c>
      <c r="T27" s="6">
        <v>784.10285714285715</v>
      </c>
      <c r="U27" s="6">
        <v>137218</v>
      </c>
      <c r="V27" s="6">
        <v>1.3913043478260869</v>
      </c>
      <c r="W27" s="6">
        <v>-289.43619047619046</v>
      </c>
      <c r="X27" s="6">
        <v>-1514</v>
      </c>
      <c r="Y27" s="6">
        <v>-2604.9257142857141</v>
      </c>
      <c r="Z27" s="6">
        <v>1090.9257142857143</v>
      </c>
      <c r="AA27" s="88">
        <v>1.1828571428571428</v>
      </c>
      <c r="AB27" s="88">
        <v>0.74622862889708352</v>
      </c>
      <c r="AC27" s="88" t="s">
        <v>364</v>
      </c>
      <c r="AD27" s="88" t="s">
        <v>364</v>
      </c>
      <c r="AE27" s="88" t="s">
        <v>364</v>
      </c>
      <c r="AF27" s="88" t="s">
        <v>364</v>
      </c>
    </row>
    <row r="28" spans="1:32" ht="15" customHeight="1" x14ac:dyDescent="0.25">
      <c r="C28" s="23" t="s">
        <v>153</v>
      </c>
      <c r="D28" s="6">
        <v>0</v>
      </c>
      <c r="E28" s="53" t="s">
        <v>364</v>
      </c>
      <c r="F28" s="6">
        <v>836.19478260869437</v>
      </c>
      <c r="G28" s="6">
        <v>0</v>
      </c>
      <c r="H28" s="53" t="s">
        <v>364</v>
      </c>
      <c r="I28" s="6">
        <v>436.27399355877634</v>
      </c>
      <c r="J28" s="6">
        <v>0</v>
      </c>
      <c r="K28" s="53" t="s">
        <v>364</v>
      </c>
      <c r="L28" s="6">
        <v>733.19999999999993</v>
      </c>
      <c r="M28" s="6">
        <v>0</v>
      </c>
      <c r="N28" s="53" t="s">
        <v>364</v>
      </c>
      <c r="O28" s="6">
        <v>0</v>
      </c>
      <c r="P28" s="6">
        <v>0</v>
      </c>
      <c r="Q28" s="53" t="s">
        <v>364</v>
      </c>
      <c r="R28" s="6">
        <v>16863.599999999999</v>
      </c>
      <c r="S28" s="6">
        <v>0</v>
      </c>
      <c r="T28" s="6" t="s">
        <v>364</v>
      </c>
      <c r="U28" s="6">
        <v>0</v>
      </c>
      <c r="V28" s="6">
        <v>0</v>
      </c>
      <c r="W28" s="6">
        <v>0</v>
      </c>
      <c r="X28" s="6">
        <v>733.19999999999993</v>
      </c>
      <c r="Y28" s="6">
        <v>0</v>
      </c>
      <c r="Z28" s="6">
        <v>0</v>
      </c>
      <c r="AA28" s="88" t="s">
        <v>364</v>
      </c>
      <c r="AB28" s="88" t="s">
        <v>364</v>
      </c>
      <c r="AC28" s="88" t="s">
        <v>364</v>
      </c>
      <c r="AD28" s="88">
        <v>-0.12317080272538829</v>
      </c>
      <c r="AE28" s="88" t="s">
        <v>364</v>
      </c>
      <c r="AF28" s="88">
        <v>0.6805952470811687</v>
      </c>
    </row>
    <row r="29" spans="1:32" ht="15" customHeight="1" x14ac:dyDescent="0.25">
      <c r="C29" s="23" t="s">
        <v>598</v>
      </c>
      <c r="D29" s="6">
        <v>9.5652173913043477</v>
      </c>
      <c r="E29" s="53">
        <v>730.65113636363651</v>
      </c>
      <c r="F29" s="6">
        <v>6988.8369565217408</v>
      </c>
      <c r="G29" s="6">
        <v>6.0048309178743962</v>
      </c>
      <c r="H29" s="53">
        <v>571.39507374631273</v>
      </c>
      <c r="I29" s="6">
        <v>3431.1308051529791</v>
      </c>
      <c r="J29" s="6">
        <v>11</v>
      </c>
      <c r="K29" s="53">
        <v>225.99909090909088</v>
      </c>
      <c r="L29" s="6">
        <v>2485.9899999999998</v>
      </c>
      <c r="M29" s="6">
        <v>0</v>
      </c>
      <c r="N29" s="53" t="s">
        <v>364</v>
      </c>
      <c r="O29" s="6">
        <v>0</v>
      </c>
      <c r="P29" s="6">
        <v>253</v>
      </c>
      <c r="Q29" s="53">
        <v>225.99909090909091</v>
      </c>
      <c r="R29" s="6">
        <v>57177.77</v>
      </c>
      <c r="S29" s="6">
        <v>0</v>
      </c>
      <c r="T29" s="6" t="s">
        <v>364</v>
      </c>
      <c r="U29" s="6">
        <v>0</v>
      </c>
      <c r="V29" s="6">
        <v>11</v>
      </c>
      <c r="W29" s="6">
        <v>0</v>
      </c>
      <c r="X29" s="6">
        <v>2485.9899999999998</v>
      </c>
      <c r="Y29" s="6">
        <v>0</v>
      </c>
      <c r="Z29" s="6">
        <v>0</v>
      </c>
      <c r="AA29" s="88" t="s">
        <v>364</v>
      </c>
      <c r="AB29" s="88" t="s">
        <v>364</v>
      </c>
      <c r="AC29" s="88">
        <v>0.15000000000000002</v>
      </c>
      <c r="AD29" s="88">
        <v>-0.64429131549847363</v>
      </c>
      <c r="AE29" s="88">
        <v>0.83185840707964598</v>
      </c>
      <c r="AF29" s="88">
        <v>-0.27546044112732088</v>
      </c>
    </row>
    <row r="30" spans="1:32" x14ac:dyDescent="0.25">
      <c r="C30"/>
      <c r="D30"/>
      <c r="E30"/>
      <c r="F30"/>
      <c r="G30"/>
      <c r="H30"/>
      <c r="I30"/>
      <c r="J30"/>
      <c r="K30"/>
      <c r="L30"/>
      <c r="M30"/>
      <c r="N30"/>
      <c r="O30"/>
      <c r="P30"/>
      <c r="Q30"/>
      <c r="R30"/>
      <c r="S30"/>
      <c r="T30"/>
      <c r="U30"/>
      <c r="V30"/>
      <c r="W30"/>
      <c r="X30"/>
      <c r="Y30"/>
      <c r="Z30"/>
    </row>
    <row r="31" spans="1:32" x14ac:dyDescent="0.25">
      <c r="A31" s="71"/>
      <c r="B31" s="71"/>
      <c r="C31" s="72">
        <v>0.47826086956521741</v>
      </c>
      <c r="D31" s="144" t="s">
        <v>30</v>
      </c>
      <c r="E31" s="144"/>
      <c r="F31" s="144"/>
      <c r="G31" s="144" t="s">
        <v>31</v>
      </c>
      <c r="H31" s="144"/>
      <c r="I31" s="144"/>
      <c r="J31" s="144" t="s">
        <v>27</v>
      </c>
      <c r="K31" s="144"/>
      <c r="L31" s="144"/>
      <c r="M31" s="136" t="s">
        <v>28</v>
      </c>
      <c r="N31" s="137"/>
      <c r="O31" s="138"/>
      <c r="P31" s="136" t="s">
        <v>3</v>
      </c>
      <c r="Q31" s="137"/>
      <c r="R31" s="137"/>
      <c r="S31" s="137"/>
      <c r="T31" s="137"/>
      <c r="U31" s="61"/>
      <c r="V31" s="61"/>
      <c r="W31" s="61"/>
      <c r="X31" s="61"/>
      <c r="Y31" s="61"/>
      <c r="Z31" s="61"/>
    </row>
    <row r="32" spans="1:32" x14ac:dyDescent="0.25">
      <c r="A32" s="71"/>
      <c r="B32" s="71"/>
      <c r="C32" s="71"/>
      <c r="D32" s="141" t="s">
        <v>20</v>
      </c>
      <c r="E32" s="141" t="s">
        <v>5</v>
      </c>
      <c r="F32" s="141" t="s">
        <v>5</v>
      </c>
      <c r="G32" s="141" t="s">
        <v>5</v>
      </c>
      <c r="H32" s="141" t="s">
        <v>5</v>
      </c>
      <c r="I32" s="141" t="s">
        <v>5</v>
      </c>
      <c r="J32" s="146" t="s">
        <v>17</v>
      </c>
      <c r="K32" s="147"/>
      <c r="L32" s="148"/>
      <c r="M32" s="146" t="s">
        <v>17</v>
      </c>
      <c r="N32" s="147"/>
      <c r="O32" s="148"/>
      <c r="P32" s="146" t="s">
        <v>17</v>
      </c>
      <c r="Q32" s="147"/>
      <c r="R32" s="147"/>
      <c r="S32" s="147"/>
      <c r="T32" s="148"/>
      <c r="U32" s="139" t="s">
        <v>6</v>
      </c>
      <c r="V32" s="149"/>
      <c r="W32" s="139" t="s">
        <v>7</v>
      </c>
      <c r="X32" s="140"/>
      <c r="Y32" s="139" t="s">
        <v>8</v>
      </c>
      <c r="Z32" s="140"/>
      <c r="AC32" s="62"/>
    </row>
    <row r="33" spans="1:28" x14ac:dyDescent="0.25">
      <c r="A33" s="18" t="s">
        <v>4</v>
      </c>
      <c r="B33" s="19" t="s">
        <v>33</v>
      </c>
      <c r="C33" s="19" t="s">
        <v>34</v>
      </c>
      <c r="D33" s="20" t="s">
        <v>9</v>
      </c>
      <c r="E33" s="20" t="s">
        <v>10</v>
      </c>
      <c r="F33" s="20" t="s">
        <v>11</v>
      </c>
      <c r="G33" s="20" t="s">
        <v>9</v>
      </c>
      <c r="H33" s="20" t="s">
        <v>10</v>
      </c>
      <c r="I33" s="20" t="s">
        <v>11</v>
      </c>
      <c r="J33" s="20" t="s">
        <v>9</v>
      </c>
      <c r="K33" s="20" t="s">
        <v>10</v>
      </c>
      <c r="L33" s="20" t="s">
        <v>11</v>
      </c>
      <c r="M33" s="20" t="s">
        <v>9</v>
      </c>
      <c r="N33" s="20" t="s">
        <v>10</v>
      </c>
      <c r="O33" s="20" t="s">
        <v>11</v>
      </c>
      <c r="P33" s="20" t="s">
        <v>9</v>
      </c>
      <c r="Q33" s="20" t="s">
        <v>10</v>
      </c>
      <c r="R33" s="20" t="s">
        <v>11</v>
      </c>
      <c r="S33" s="20" t="s">
        <v>14</v>
      </c>
      <c r="T33" s="20" t="s">
        <v>15</v>
      </c>
      <c r="U33" s="20" t="s">
        <v>16</v>
      </c>
      <c r="V33" s="20" t="s">
        <v>11</v>
      </c>
      <c r="W33" s="20" t="s">
        <v>16</v>
      </c>
      <c r="X33" s="20" t="s">
        <v>11</v>
      </c>
      <c r="Y33" s="20" t="s">
        <v>16</v>
      </c>
      <c r="Z33" s="20" t="s">
        <v>11</v>
      </c>
      <c r="AA33" s="62"/>
    </row>
    <row r="34" spans="1:28" x14ac:dyDescent="0.25">
      <c r="A34" s="29" t="s">
        <v>145</v>
      </c>
      <c r="B34" s="21" t="s">
        <v>146</v>
      </c>
      <c r="C34" s="29" t="s">
        <v>155</v>
      </c>
      <c r="D34" s="15">
        <v>2.0869565217391304</v>
      </c>
      <c r="E34" s="57">
        <v>43.832291666666663</v>
      </c>
      <c r="F34" s="15">
        <v>91.476086956521726</v>
      </c>
      <c r="G34" s="15">
        <v>7.4074074074074066</v>
      </c>
      <c r="H34" s="57">
        <v>1037.3176000000001</v>
      </c>
      <c r="I34" s="15">
        <v>7683.8340740740741</v>
      </c>
      <c r="J34" s="15">
        <v>6</v>
      </c>
      <c r="K34" s="57">
        <v>1481.11</v>
      </c>
      <c r="L34" s="15">
        <v>8886.66</v>
      </c>
      <c r="M34" s="15">
        <v>8</v>
      </c>
      <c r="N34" s="15">
        <v>1002</v>
      </c>
      <c r="O34" s="15">
        <v>8016</v>
      </c>
      <c r="P34" s="15">
        <v>-2</v>
      </c>
      <c r="Q34" s="15">
        <v>479.1099999999999</v>
      </c>
      <c r="R34" s="15">
        <v>870.65999999999985</v>
      </c>
      <c r="S34" s="15">
        <v>2874.6599999999994</v>
      </c>
      <c r="T34" s="15">
        <v>-2004</v>
      </c>
      <c r="U34" s="17">
        <v>0.75</v>
      </c>
      <c r="V34" s="17">
        <v>1.1086152694610778</v>
      </c>
      <c r="W34" s="17">
        <v>1.875</v>
      </c>
      <c r="X34" s="17">
        <v>96.14735616340694</v>
      </c>
      <c r="Y34" s="17">
        <v>-0.18999999999999992</v>
      </c>
      <c r="Z34" s="17">
        <v>0.15653980998683525</v>
      </c>
      <c r="AA34" s="86"/>
      <c r="AB34" s="86"/>
    </row>
    <row r="35" spans="1:28" x14ac:dyDescent="0.25">
      <c r="A35" s="29" t="s">
        <v>145</v>
      </c>
      <c r="B35" s="21" t="s">
        <v>147</v>
      </c>
      <c r="C35" s="29" t="s">
        <v>156</v>
      </c>
      <c r="D35" s="15">
        <v>4</v>
      </c>
      <c r="E35" s="57">
        <v>289.57869565217391</v>
      </c>
      <c r="F35" s="15">
        <v>1158.3147826086956</v>
      </c>
      <c r="G35" s="15">
        <v>9.0740740740740744</v>
      </c>
      <c r="H35" s="57">
        <v>1053.1571428571424</v>
      </c>
      <c r="I35" s="15">
        <v>9556.4259259259215</v>
      </c>
      <c r="J35" s="15">
        <v>6</v>
      </c>
      <c r="K35" s="57">
        <v>16.779999999999998</v>
      </c>
      <c r="L35" s="15">
        <v>100.67999999999999</v>
      </c>
      <c r="M35" s="15">
        <v>4.5217391304347823</v>
      </c>
      <c r="N35" s="15">
        <v>984.00000000000011</v>
      </c>
      <c r="O35" s="15">
        <v>4449.391304347826</v>
      </c>
      <c r="P35" s="15">
        <v>1.4782608695652177</v>
      </c>
      <c r="Q35" s="15">
        <v>-967.22000000000014</v>
      </c>
      <c r="R35" s="15">
        <v>-4348.7113043478257</v>
      </c>
      <c r="S35" s="15">
        <v>-5803.3200000000006</v>
      </c>
      <c r="T35" s="15">
        <v>1454.6086956521744</v>
      </c>
      <c r="U35" s="17">
        <v>1.3269230769230771</v>
      </c>
      <c r="V35" s="17">
        <v>2.2627814258911819E-2</v>
      </c>
      <c r="W35" s="17">
        <v>0.5</v>
      </c>
      <c r="X35" s="17">
        <v>-0.91308062237343302</v>
      </c>
      <c r="Y35" s="17">
        <v>-0.33877551020408164</v>
      </c>
      <c r="Z35" s="17">
        <v>-0.98946468054266368</v>
      </c>
      <c r="AA35" s="86"/>
      <c r="AB35" s="86"/>
    </row>
    <row r="36" spans="1:28" x14ac:dyDescent="0.25">
      <c r="A36" s="29" t="s">
        <v>145</v>
      </c>
      <c r="B36" s="21" t="s">
        <v>148</v>
      </c>
      <c r="C36" s="29" t="s">
        <v>157</v>
      </c>
      <c r="D36" s="15">
        <v>5.0434782608695654</v>
      </c>
      <c r="E36" s="57">
        <v>711.29741379310349</v>
      </c>
      <c r="F36" s="15">
        <v>3587.413043478261</v>
      </c>
      <c r="G36" s="15">
        <v>6.6296296296296289</v>
      </c>
      <c r="H36" s="57">
        <v>917.74268156424591</v>
      </c>
      <c r="I36" s="15">
        <v>6084.2940740740742</v>
      </c>
      <c r="J36" s="15">
        <v>7</v>
      </c>
      <c r="K36" s="57">
        <v>150.71428571428572</v>
      </c>
      <c r="L36" s="15">
        <v>1055</v>
      </c>
      <c r="M36" s="15">
        <v>7.6086956521739131</v>
      </c>
      <c r="N36" s="15">
        <v>934.93142857142857</v>
      </c>
      <c r="O36" s="15">
        <v>7113.608695652174</v>
      </c>
      <c r="P36" s="15">
        <v>-0.60869565217391308</v>
      </c>
      <c r="Q36" s="15">
        <v>-784.21714285714279</v>
      </c>
      <c r="R36" s="15">
        <v>-6058.608695652174</v>
      </c>
      <c r="S36" s="15">
        <v>-5489.5199999999995</v>
      </c>
      <c r="T36" s="15">
        <v>-569.0886956521739</v>
      </c>
      <c r="U36" s="17">
        <v>0.92</v>
      </c>
      <c r="V36" s="17">
        <v>0.14830728609584812</v>
      </c>
      <c r="W36" s="17">
        <v>0.38793103448275856</v>
      </c>
      <c r="X36" s="17">
        <v>-0.70591621672393212</v>
      </c>
      <c r="Y36" s="17">
        <v>5.5865921787709619E-2</v>
      </c>
      <c r="Z36" s="17">
        <v>-0.82660272709442417</v>
      </c>
      <c r="AA36" s="86"/>
      <c r="AB36" s="86"/>
    </row>
    <row r="37" spans="1:28" x14ac:dyDescent="0.25">
      <c r="A37" s="29" t="s">
        <v>145</v>
      </c>
      <c r="B37" s="21" t="s">
        <v>148</v>
      </c>
      <c r="C37" s="29" t="s">
        <v>158</v>
      </c>
      <c r="D37" s="15">
        <v>3.3913043478260869</v>
      </c>
      <c r="E37" s="57">
        <v>838.52153846153851</v>
      </c>
      <c r="F37" s="15">
        <v>2843.6817391304348</v>
      </c>
      <c r="G37" s="15">
        <v>5.5555555555555554</v>
      </c>
      <c r="H37" s="57">
        <v>656.02126666666663</v>
      </c>
      <c r="I37" s="15">
        <v>3644.5625925925924</v>
      </c>
      <c r="J37" s="15">
        <v>4</v>
      </c>
      <c r="K37" s="57">
        <v>1055</v>
      </c>
      <c r="L37" s="15">
        <v>4220</v>
      </c>
      <c r="M37" s="15">
        <v>7.6086956521739131</v>
      </c>
      <c r="N37" s="15">
        <v>934.93142857142857</v>
      </c>
      <c r="O37" s="15">
        <v>7113.608695652174</v>
      </c>
      <c r="P37" s="15">
        <v>-3.6086956521739131</v>
      </c>
      <c r="Q37" s="15">
        <v>120.06857142857143</v>
      </c>
      <c r="R37" s="15">
        <v>-2893.608695652174</v>
      </c>
      <c r="S37" s="15">
        <v>480.27428571428572</v>
      </c>
      <c r="T37" s="15">
        <v>-3373.8829813664597</v>
      </c>
      <c r="U37" s="17">
        <v>0.52571428571428569</v>
      </c>
      <c r="V37" s="17">
        <v>0.59322914438339247</v>
      </c>
      <c r="W37" s="17">
        <v>0.17948717948717949</v>
      </c>
      <c r="X37" s="17">
        <v>0.48399166542822314</v>
      </c>
      <c r="Y37" s="17">
        <v>-0.27999999999999997</v>
      </c>
      <c r="Z37" s="17">
        <v>0.15788929200364343</v>
      </c>
      <c r="AA37" s="86"/>
      <c r="AB37" s="86"/>
    </row>
    <row r="38" spans="1:28" x14ac:dyDescent="0.25">
      <c r="A38" s="29" t="s">
        <v>145</v>
      </c>
      <c r="B38" s="21" t="s">
        <v>148</v>
      </c>
      <c r="C38" s="29" t="s">
        <v>159</v>
      </c>
      <c r="D38" s="15">
        <v>0</v>
      </c>
      <c r="E38" s="57" t="s">
        <v>364</v>
      </c>
      <c r="F38" s="15">
        <v>0</v>
      </c>
      <c r="G38" s="15">
        <v>0</v>
      </c>
      <c r="H38" s="57" t="s">
        <v>364</v>
      </c>
      <c r="I38" s="15">
        <v>0</v>
      </c>
      <c r="J38" s="15">
        <v>2</v>
      </c>
      <c r="K38" s="57">
        <v>5518.5</v>
      </c>
      <c r="L38" s="15">
        <v>11037</v>
      </c>
      <c r="M38" s="15">
        <v>2.1739130434782608</v>
      </c>
      <c r="N38" s="15">
        <v>943.48</v>
      </c>
      <c r="O38" s="15">
        <v>2051.0434782608695</v>
      </c>
      <c r="P38" s="15">
        <v>-0.17391304347826075</v>
      </c>
      <c r="Q38" s="15">
        <v>4575.0200000000004</v>
      </c>
      <c r="R38" s="15">
        <v>8985.95652173913</v>
      </c>
      <c r="S38" s="15">
        <v>9150.0400000000009</v>
      </c>
      <c r="T38" s="15">
        <v>-164.08347826086947</v>
      </c>
      <c r="U38" s="17">
        <v>0.92</v>
      </c>
      <c r="V38" s="17">
        <v>5.3811633526942808</v>
      </c>
      <c r="W38" s="17" t="s">
        <v>364</v>
      </c>
      <c r="X38" s="17" t="s">
        <v>364</v>
      </c>
      <c r="Y38" s="17" t="s">
        <v>364</v>
      </c>
      <c r="Z38" s="17" t="s">
        <v>364</v>
      </c>
      <c r="AA38" s="86"/>
      <c r="AB38" s="86"/>
    </row>
    <row r="39" spans="1:28" x14ac:dyDescent="0.25">
      <c r="A39" s="29" t="s">
        <v>145</v>
      </c>
      <c r="B39" s="21" t="s">
        <v>146</v>
      </c>
      <c r="C39" s="29" t="s">
        <v>160</v>
      </c>
      <c r="D39" s="15">
        <v>0</v>
      </c>
      <c r="E39" s="57" t="s">
        <v>364</v>
      </c>
      <c r="F39" s="15">
        <v>0</v>
      </c>
      <c r="G39" s="15">
        <v>0</v>
      </c>
      <c r="H39" s="57" t="s">
        <v>364</v>
      </c>
      <c r="I39" s="15">
        <v>0</v>
      </c>
      <c r="J39" s="15">
        <v>4</v>
      </c>
      <c r="K39" s="57">
        <v>863.69</v>
      </c>
      <c r="L39" s="15">
        <v>3454.76</v>
      </c>
      <c r="M39" s="15">
        <v>6.7826086956521738</v>
      </c>
      <c r="N39" s="15">
        <v>863.20512820512818</v>
      </c>
      <c r="O39" s="15">
        <v>5854.782608695652</v>
      </c>
      <c r="P39" s="15">
        <v>-2.7826086956521738</v>
      </c>
      <c r="Q39" s="15">
        <v>0.48487179487187859</v>
      </c>
      <c r="R39" s="15">
        <v>-2400.0226086956518</v>
      </c>
      <c r="S39" s="15">
        <v>1.9394871794875144</v>
      </c>
      <c r="T39" s="15">
        <v>-2401.9620958751393</v>
      </c>
      <c r="U39" s="17">
        <v>0.58974358974358976</v>
      </c>
      <c r="V39" s="17">
        <v>0.59007485519085112</v>
      </c>
      <c r="W39" s="17" t="s">
        <v>364</v>
      </c>
      <c r="X39" s="17" t="s">
        <v>364</v>
      </c>
      <c r="Y39" s="17" t="s">
        <v>364</v>
      </c>
      <c r="Z39" s="17" t="s">
        <v>364</v>
      </c>
      <c r="AA39" s="86"/>
      <c r="AB39" s="86"/>
    </row>
    <row r="40" spans="1:28" x14ac:dyDescent="0.25">
      <c r="A40" s="29" t="s">
        <v>145</v>
      </c>
      <c r="B40" s="21" t="s">
        <v>146</v>
      </c>
      <c r="C40" s="29" t="s">
        <v>161</v>
      </c>
      <c r="D40" s="15">
        <v>0</v>
      </c>
      <c r="E40" s="57" t="s">
        <v>364</v>
      </c>
      <c r="F40" s="15">
        <v>0</v>
      </c>
      <c r="G40" s="15">
        <v>0</v>
      </c>
      <c r="H40" s="57" t="s">
        <v>364</v>
      </c>
      <c r="I40" s="15">
        <v>0</v>
      </c>
      <c r="J40" s="15">
        <v>9</v>
      </c>
      <c r="K40" s="57">
        <v>1813.3777777777777</v>
      </c>
      <c r="L40" s="15">
        <v>16320.4</v>
      </c>
      <c r="M40" s="15">
        <v>8</v>
      </c>
      <c r="N40" s="15">
        <v>861</v>
      </c>
      <c r="O40" s="15">
        <v>6888</v>
      </c>
      <c r="P40" s="15">
        <v>1</v>
      </c>
      <c r="Q40" s="15">
        <v>952.37777777777774</v>
      </c>
      <c r="R40" s="15">
        <v>9432.4</v>
      </c>
      <c r="S40" s="15">
        <v>8571.4</v>
      </c>
      <c r="T40" s="15">
        <v>861</v>
      </c>
      <c r="U40" s="17">
        <v>1.125</v>
      </c>
      <c r="V40" s="17">
        <v>2.3693960511033683</v>
      </c>
      <c r="W40" s="17" t="s">
        <v>364</v>
      </c>
      <c r="X40" s="17" t="s">
        <v>364</v>
      </c>
      <c r="Y40" s="17" t="s">
        <v>364</v>
      </c>
      <c r="Z40" s="17" t="s">
        <v>364</v>
      </c>
      <c r="AA40" s="86"/>
      <c r="AB40" s="86"/>
    </row>
    <row r="41" spans="1:28" x14ac:dyDescent="0.25">
      <c r="A41" s="29" t="s">
        <v>144</v>
      </c>
      <c r="B41" s="21" t="s">
        <v>146</v>
      </c>
      <c r="C41" s="29" t="s">
        <v>162</v>
      </c>
      <c r="D41" s="15">
        <v>0</v>
      </c>
      <c r="E41" s="57" t="s">
        <v>364</v>
      </c>
      <c r="F41" s="15">
        <v>0</v>
      </c>
      <c r="G41" s="15">
        <v>0</v>
      </c>
      <c r="H41" s="57" t="s">
        <v>364</v>
      </c>
      <c r="I41" s="15">
        <v>0</v>
      </c>
      <c r="J41" s="15">
        <v>2</v>
      </c>
      <c r="K41" s="57">
        <v>1181.5</v>
      </c>
      <c r="L41" s="15">
        <v>2363</v>
      </c>
      <c r="M41" s="15">
        <v>5.6086956521739131</v>
      </c>
      <c r="N41" s="15">
        <v>625.03100775193798</v>
      </c>
      <c r="O41" s="15">
        <v>3505.608695652174</v>
      </c>
      <c r="P41" s="15">
        <v>-3.6086956521739131</v>
      </c>
      <c r="Q41" s="15">
        <v>556.46899224806202</v>
      </c>
      <c r="R41" s="15">
        <v>-1142.608695652174</v>
      </c>
      <c r="S41" s="15">
        <v>1112.937984496124</v>
      </c>
      <c r="T41" s="15">
        <v>-2255.546680148298</v>
      </c>
      <c r="U41" s="17">
        <v>0.35658914728682173</v>
      </c>
      <c r="V41" s="17">
        <v>0.67406268216150511</v>
      </c>
      <c r="W41" s="17" t="s">
        <v>364</v>
      </c>
      <c r="X41" s="17" t="s">
        <v>364</v>
      </c>
      <c r="Y41" s="17" t="s">
        <v>364</v>
      </c>
      <c r="Z41" s="17" t="s">
        <v>364</v>
      </c>
      <c r="AA41" s="86"/>
      <c r="AB41" s="86"/>
    </row>
    <row r="42" spans="1:28" x14ac:dyDescent="0.25">
      <c r="A42" s="29" t="s">
        <v>144</v>
      </c>
      <c r="B42" s="21" t="s">
        <v>146</v>
      </c>
      <c r="C42" s="29" t="s">
        <v>163</v>
      </c>
      <c r="D42" s="15">
        <v>6.3478260869565215</v>
      </c>
      <c r="E42" s="57">
        <v>687.8937671232876</v>
      </c>
      <c r="F42" s="15">
        <v>4366.6299999999992</v>
      </c>
      <c r="G42" s="15">
        <v>8.7407407407407405</v>
      </c>
      <c r="H42" s="57">
        <v>609.79237288135585</v>
      </c>
      <c r="I42" s="15">
        <v>5330.0370370370365</v>
      </c>
      <c r="J42" s="15">
        <v>2</v>
      </c>
      <c r="K42" s="57">
        <v>1988.5</v>
      </c>
      <c r="L42" s="15">
        <v>3977</v>
      </c>
      <c r="M42" s="15">
        <v>7.6086956521739131</v>
      </c>
      <c r="N42" s="15">
        <v>666.24</v>
      </c>
      <c r="O42" s="15">
        <v>5069.217391304348</v>
      </c>
      <c r="P42" s="15">
        <v>-5.6086956521739131</v>
      </c>
      <c r="Q42" s="15">
        <v>1322.26</v>
      </c>
      <c r="R42" s="15">
        <v>-1092.217391304348</v>
      </c>
      <c r="S42" s="15">
        <v>2644.52</v>
      </c>
      <c r="T42" s="15">
        <v>-3736.737391304348</v>
      </c>
      <c r="U42" s="17">
        <v>0.26285714285714284</v>
      </c>
      <c r="V42" s="17">
        <v>0.7845392479758474</v>
      </c>
      <c r="W42" s="17">
        <v>-0.68493150684931503</v>
      </c>
      <c r="X42" s="17">
        <v>-8.9228993525899664E-2</v>
      </c>
      <c r="Y42" s="17">
        <v>-0.77118644067796605</v>
      </c>
      <c r="Z42" s="17">
        <v>-0.25385133867459742</v>
      </c>
      <c r="AA42" s="86"/>
      <c r="AB42" s="86"/>
    </row>
    <row r="43" spans="1:28" x14ac:dyDescent="0.25">
      <c r="A43" s="29" t="s">
        <v>145</v>
      </c>
      <c r="B43" s="21" t="s">
        <v>146</v>
      </c>
      <c r="C43" s="29" t="s">
        <v>164</v>
      </c>
      <c r="D43" s="15">
        <v>0</v>
      </c>
      <c r="E43" s="57" t="s">
        <v>364</v>
      </c>
      <c r="F43" s="15">
        <v>0</v>
      </c>
      <c r="G43" s="15">
        <v>0</v>
      </c>
      <c r="H43" s="57" t="s">
        <v>364</v>
      </c>
      <c r="I43" s="15">
        <v>0</v>
      </c>
      <c r="J43" s="15">
        <v>3</v>
      </c>
      <c r="K43" s="57">
        <v>957</v>
      </c>
      <c r="L43" s="15">
        <v>2871</v>
      </c>
      <c r="M43" s="15">
        <v>7.6086956521739131</v>
      </c>
      <c r="N43" s="15">
        <v>906.95999999999992</v>
      </c>
      <c r="O43" s="15">
        <v>6900.782608695652</v>
      </c>
      <c r="P43" s="15">
        <v>-4.6086956521739131</v>
      </c>
      <c r="Q43" s="15">
        <v>50.040000000000077</v>
      </c>
      <c r="R43" s="15">
        <v>-4029.782608695652</v>
      </c>
      <c r="S43" s="15">
        <v>150.12000000000023</v>
      </c>
      <c r="T43" s="15">
        <v>-4179.9026086956519</v>
      </c>
      <c r="U43" s="17">
        <v>0.39428571428571429</v>
      </c>
      <c r="V43" s="17">
        <v>0.41603976864627834</v>
      </c>
      <c r="W43" s="17" t="s">
        <v>364</v>
      </c>
      <c r="X43" s="17" t="s">
        <v>364</v>
      </c>
      <c r="Y43" s="17" t="s">
        <v>364</v>
      </c>
      <c r="Z43" s="17" t="s">
        <v>364</v>
      </c>
      <c r="AA43" s="86"/>
      <c r="AB43" s="86"/>
    </row>
    <row r="44" spans="1:28" x14ac:dyDescent="0.25">
      <c r="A44" s="29" t="s">
        <v>145</v>
      </c>
      <c r="B44" s="21" t="s">
        <v>147</v>
      </c>
      <c r="C44" s="29" t="s">
        <v>165</v>
      </c>
      <c r="D44" s="15">
        <v>0</v>
      </c>
      <c r="E44" s="57" t="s">
        <v>364</v>
      </c>
      <c r="F44" s="15">
        <v>0</v>
      </c>
      <c r="G44" s="15">
        <v>0</v>
      </c>
      <c r="H44" s="57" t="s">
        <v>364</v>
      </c>
      <c r="I44" s="15">
        <v>0</v>
      </c>
      <c r="J44" s="15">
        <v>3</v>
      </c>
      <c r="K44" s="57">
        <v>893.85333333333335</v>
      </c>
      <c r="L44" s="15">
        <v>2681.56</v>
      </c>
      <c r="M44" s="15">
        <v>7.6086956521739131</v>
      </c>
      <c r="N44" s="15">
        <v>792.41714285714284</v>
      </c>
      <c r="O44" s="15">
        <v>6029.260869565217</v>
      </c>
      <c r="P44" s="15">
        <v>-4.6086956521739131</v>
      </c>
      <c r="Q44" s="15">
        <v>101.43619047619052</v>
      </c>
      <c r="R44" s="15">
        <v>-3347.7008695652171</v>
      </c>
      <c r="S44" s="15">
        <v>304.30857142857155</v>
      </c>
      <c r="T44" s="15">
        <v>-3652.0094409937888</v>
      </c>
      <c r="U44" s="17">
        <v>0.39428571428571429</v>
      </c>
      <c r="V44" s="17">
        <v>0.44475766731807925</v>
      </c>
      <c r="W44" s="17" t="s">
        <v>364</v>
      </c>
      <c r="X44" s="17" t="s">
        <v>364</v>
      </c>
      <c r="Y44" s="17" t="s">
        <v>364</v>
      </c>
      <c r="Z44" s="17" t="s">
        <v>364</v>
      </c>
      <c r="AA44" s="86"/>
      <c r="AB44" s="86"/>
    </row>
    <row r="45" spans="1:28" x14ac:dyDescent="0.25">
      <c r="A45" s="29" t="s">
        <v>145</v>
      </c>
      <c r="B45" s="21" t="s">
        <v>147</v>
      </c>
      <c r="C45" s="29" t="s">
        <v>166</v>
      </c>
      <c r="D45" s="15">
        <v>0</v>
      </c>
      <c r="E45" s="57" t="s">
        <v>364</v>
      </c>
      <c r="F45" s="15">
        <v>0</v>
      </c>
      <c r="G45" s="15">
        <v>0</v>
      </c>
      <c r="H45" s="57" t="s">
        <v>364</v>
      </c>
      <c r="I45" s="15">
        <v>0</v>
      </c>
      <c r="J45" s="15">
        <v>0</v>
      </c>
      <c r="K45" s="57" t="s">
        <v>364</v>
      </c>
      <c r="L45" s="15">
        <v>0</v>
      </c>
      <c r="M45" s="15">
        <v>4.7391304347826084</v>
      </c>
      <c r="N45" s="15">
        <v>791.87155963302757</v>
      </c>
      <c r="O45" s="15">
        <v>3752.782608695652</v>
      </c>
      <c r="P45" s="15">
        <v>-4.7391304347826084</v>
      </c>
      <c r="Q45" s="15" t="s">
        <v>364</v>
      </c>
      <c r="R45" s="15">
        <v>-3752.782608695652</v>
      </c>
      <c r="S45" s="15" t="s">
        <v>364</v>
      </c>
      <c r="T45" s="15">
        <v>-3752.782608695652</v>
      </c>
      <c r="U45" s="17">
        <v>0</v>
      </c>
      <c r="V45" s="17">
        <v>0</v>
      </c>
      <c r="W45" s="17" t="s">
        <v>364</v>
      </c>
      <c r="X45" s="17" t="s">
        <v>364</v>
      </c>
      <c r="Y45" s="17" t="s">
        <v>364</v>
      </c>
      <c r="Z45" s="17" t="s">
        <v>364</v>
      </c>
      <c r="AA45" s="86"/>
      <c r="AB45" s="86"/>
    </row>
    <row r="46" spans="1:28" x14ac:dyDescent="0.25">
      <c r="A46" s="29" t="s">
        <v>145</v>
      </c>
      <c r="B46" s="21" t="s">
        <v>147</v>
      </c>
      <c r="C46" s="29" t="s">
        <v>167</v>
      </c>
      <c r="D46" s="15">
        <v>0</v>
      </c>
      <c r="E46" s="57" t="s">
        <v>364</v>
      </c>
      <c r="F46" s="15">
        <v>0</v>
      </c>
      <c r="G46" s="15">
        <v>0</v>
      </c>
      <c r="H46" s="57" t="s">
        <v>364</v>
      </c>
      <c r="I46" s="15">
        <v>0</v>
      </c>
      <c r="J46" s="15">
        <v>0</v>
      </c>
      <c r="K46" s="57" t="s">
        <v>364</v>
      </c>
      <c r="L46" s="15">
        <v>0</v>
      </c>
      <c r="M46" s="15">
        <v>4.695652173913043</v>
      </c>
      <c r="N46" s="15">
        <v>793.32407407407413</v>
      </c>
      <c r="O46" s="15">
        <v>3725.173913043478</v>
      </c>
      <c r="P46" s="15">
        <v>-4.695652173913043</v>
      </c>
      <c r="Q46" s="15" t="s">
        <v>364</v>
      </c>
      <c r="R46" s="15">
        <v>-3725.173913043478</v>
      </c>
      <c r="S46" s="15" t="s">
        <v>364</v>
      </c>
      <c r="T46" s="15">
        <v>-3725.173913043478</v>
      </c>
      <c r="U46" s="17">
        <v>0</v>
      </c>
      <c r="V46" s="17">
        <v>0</v>
      </c>
      <c r="W46" s="17" t="s">
        <v>364</v>
      </c>
      <c r="X46" s="17" t="s">
        <v>364</v>
      </c>
      <c r="Y46" s="17" t="s">
        <v>364</v>
      </c>
      <c r="Z46" s="17" t="s">
        <v>364</v>
      </c>
      <c r="AA46" s="86"/>
      <c r="AB46" s="86"/>
    </row>
    <row r="47" spans="1:28" x14ac:dyDescent="0.25">
      <c r="A47" s="29" t="s">
        <v>145</v>
      </c>
      <c r="B47" s="21" t="s">
        <v>147</v>
      </c>
      <c r="C47" s="29" t="s">
        <v>168</v>
      </c>
      <c r="D47" s="15">
        <v>0</v>
      </c>
      <c r="E47" s="57" t="s">
        <v>364</v>
      </c>
      <c r="F47" s="15">
        <v>0</v>
      </c>
      <c r="G47" s="15">
        <v>0</v>
      </c>
      <c r="H47" s="57" t="s">
        <v>364</v>
      </c>
      <c r="I47" s="15">
        <v>0</v>
      </c>
      <c r="J47" s="15">
        <v>8</v>
      </c>
      <c r="K47" s="57">
        <v>104.48625</v>
      </c>
      <c r="L47" s="15">
        <v>835.89</v>
      </c>
      <c r="M47" s="15">
        <v>3.5652173913043477</v>
      </c>
      <c r="N47" s="15">
        <v>789.45121951219517</v>
      </c>
      <c r="O47" s="15">
        <v>2814.5652173913045</v>
      </c>
      <c r="P47" s="15">
        <v>4.4347826086956523</v>
      </c>
      <c r="Q47" s="15">
        <v>-684.96496951219513</v>
      </c>
      <c r="R47" s="15">
        <v>-1978.6752173913046</v>
      </c>
      <c r="S47" s="15">
        <v>-5479.719756097561</v>
      </c>
      <c r="T47" s="15">
        <v>3501.0445387062568</v>
      </c>
      <c r="U47" s="17">
        <v>2.2439024390243905</v>
      </c>
      <c r="V47" s="17">
        <v>0.29698725573491924</v>
      </c>
      <c r="W47" s="17" t="s">
        <v>364</v>
      </c>
      <c r="X47" s="17" t="s">
        <v>364</v>
      </c>
      <c r="Y47" s="17" t="s">
        <v>364</v>
      </c>
      <c r="Z47" s="17" t="s">
        <v>364</v>
      </c>
      <c r="AA47" s="86"/>
      <c r="AB47" s="86"/>
    </row>
    <row r="48" spans="1:28" x14ac:dyDescent="0.25">
      <c r="A48" s="29" t="s">
        <v>144</v>
      </c>
      <c r="B48" s="21" t="s">
        <v>216</v>
      </c>
      <c r="C48" s="29" t="s">
        <v>169</v>
      </c>
      <c r="D48" s="15">
        <v>0</v>
      </c>
      <c r="E48" s="57" t="s">
        <v>364</v>
      </c>
      <c r="F48" s="15">
        <v>0</v>
      </c>
      <c r="G48" s="15">
        <v>0</v>
      </c>
      <c r="H48" s="57" t="s">
        <v>364</v>
      </c>
      <c r="I48" s="15">
        <v>0</v>
      </c>
      <c r="J48" s="15">
        <v>6</v>
      </c>
      <c r="K48" s="57">
        <v>354.91666666666669</v>
      </c>
      <c r="L48" s="15">
        <v>2129.5</v>
      </c>
      <c r="M48" s="15">
        <v>6.7826086956521738</v>
      </c>
      <c r="N48" s="15">
        <v>612.91666666666663</v>
      </c>
      <c r="O48" s="15">
        <v>4157.173913043478</v>
      </c>
      <c r="P48" s="15">
        <v>-0.78260869565217384</v>
      </c>
      <c r="Q48" s="15">
        <v>-257.99999999999994</v>
      </c>
      <c r="R48" s="15">
        <v>-2027.673913043478</v>
      </c>
      <c r="S48" s="15">
        <v>-1547.9999999999995</v>
      </c>
      <c r="T48" s="15">
        <v>-479.67391304347819</v>
      </c>
      <c r="U48" s="17">
        <v>0.88461538461538458</v>
      </c>
      <c r="V48" s="17">
        <v>0.51224703236939817</v>
      </c>
      <c r="W48" s="17" t="s">
        <v>364</v>
      </c>
      <c r="X48" s="17" t="s">
        <v>364</v>
      </c>
      <c r="Y48" s="17" t="s">
        <v>364</v>
      </c>
      <c r="Z48" s="17" t="s">
        <v>364</v>
      </c>
      <c r="AA48" s="86"/>
      <c r="AB48" s="86"/>
    </row>
    <row r="49" spans="1:28" x14ac:dyDescent="0.25">
      <c r="A49" s="29" t="s">
        <v>144</v>
      </c>
      <c r="B49" s="21" t="s">
        <v>216</v>
      </c>
      <c r="C49" s="29" t="s">
        <v>170</v>
      </c>
      <c r="D49" s="15">
        <v>3.4347826086956519</v>
      </c>
      <c r="E49" s="57">
        <v>562.97468354430384</v>
      </c>
      <c r="F49" s="15">
        <v>1933.695652173913</v>
      </c>
      <c r="G49" s="15">
        <v>0</v>
      </c>
      <c r="H49" s="57" t="s">
        <v>364</v>
      </c>
      <c r="I49" s="15">
        <v>0</v>
      </c>
      <c r="J49" s="15">
        <v>4</v>
      </c>
      <c r="K49" s="57">
        <v>187.5</v>
      </c>
      <c r="L49" s="15">
        <v>750</v>
      </c>
      <c r="M49" s="15">
        <v>5.6086956521739131</v>
      </c>
      <c r="N49" s="15">
        <v>511.79069767441854</v>
      </c>
      <c r="O49" s="15">
        <v>2870.478260869565</v>
      </c>
      <c r="P49" s="15">
        <v>-1.6086956521739131</v>
      </c>
      <c r="Q49" s="15">
        <v>-324.29069767441854</v>
      </c>
      <c r="R49" s="15">
        <v>-2120.478260869565</v>
      </c>
      <c r="S49" s="15">
        <v>-1297.1627906976742</v>
      </c>
      <c r="T49" s="15">
        <v>-823.31547017189075</v>
      </c>
      <c r="U49" s="17">
        <v>0.71317829457364346</v>
      </c>
      <c r="V49" s="17">
        <v>0.2612805016585632</v>
      </c>
      <c r="W49" s="17">
        <v>0.16455696202531656</v>
      </c>
      <c r="X49" s="17">
        <v>-0.61214165261382802</v>
      </c>
      <c r="Y49" s="17" t="s">
        <v>364</v>
      </c>
      <c r="Z49" s="17" t="s">
        <v>364</v>
      </c>
      <c r="AA49" s="86"/>
      <c r="AB49" s="86"/>
    </row>
    <row r="50" spans="1:28" x14ac:dyDescent="0.25">
      <c r="A50" s="29" t="s">
        <v>144</v>
      </c>
      <c r="B50" s="21" t="s">
        <v>216</v>
      </c>
      <c r="C50" s="29" t="s">
        <v>171</v>
      </c>
      <c r="D50" s="15">
        <v>0</v>
      </c>
      <c r="E50" s="57" t="s">
        <v>364</v>
      </c>
      <c r="F50" s="15">
        <v>0</v>
      </c>
      <c r="G50" s="15">
        <v>0</v>
      </c>
      <c r="H50" s="57" t="s">
        <v>364</v>
      </c>
      <c r="I50" s="15">
        <v>0</v>
      </c>
      <c r="J50" s="15">
        <v>3</v>
      </c>
      <c r="K50" s="57">
        <v>398.66666666666669</v>
      </c>
      <c r="L50" s="15">
        <v>1196</v>
      </c>
      <c r="M50" s="15">
        <v>5.9565217391304346</v>
      </c>
      <c r="N50" s="15">
        <v>610.67883211678827</v>
      </c>
      <c r="O50" s="15">
        <v>3637.5217391304345</v>
      </c>
      <c r="P50" s="15">
        <v>-2.9565217391304346</v>
      </c>
      <c r="Q50" s="15">
        <v>-212.01216545012159</v>
      </c>
      <c r="R50" s="15">
        <v>-2441.5217391304345</v>
      </c>
      <c r="S50" s="15">
        <v>-636.03649635036481</v>
      </c>
      <c r="T50" s="15">
        <v>-1805.4852427800695</v>
      </c>
      <c r="U50" s="17">
        <v>0.5036496350364964</v>
      </c>
      <c r="V50" s="17">
        <v>0.32879528584918066</v>
      </c>
      <c r="W50" s="17" t="s">
        <v>364</v>
      </c>
      <c r="X50" s="17" t="s">
        <v>364</v>
      </c>
      <c r="Y50" s="17" t="s">
        <v>364</v>
      </c>
      <c r="Z50" s="17" t="s">
        <v>364</v>
      </c>
      <c r="AA50" s="86"/>
      <c r="AB50" s="86"/>
    </row>
    <row r="51" spans="1:28" x14ac:dyDescent="0.25">
      <c r="A51" s="29" t="s">
        <v>145</v>
      </c>
      <c r="B51" s="21" t="s">
        <v>216</v>
      </c>
      <c r="C51" s="29" t="s">
        <v>172</v>
      </c>
      <c r="D51" s="15">
        <v>3.6086956521739131</v>
      </c>
      <c r="E51" s="57">
        <v>807.61530120481927</v>
      </c>
      <c r="F51" s="15">
        <v>2914.4378260869566</v>
      </c>
      <c r="G51" s="15">
        <v>5.481481481481481</v>
      </c>
      <c r="H51" s="57">
        <v>609.20317567567577</v>
      </c>
      <c r="I51" s="15">
        <v>3339.3359259259264</v>
      </c>
      <c r="J51" s="15">
        <v>2</v>
      </c>
      <c r="K51" s="57">
        <v>2213.9499999999998</v>
      </c>
      <c r="L51" s="15">
        <v>4427.8999999999996</v>
      </c>
      <c r="M51" s="15">
        <v>7.0434782608695654</v>
      </c>
      <c r="N51" s="15">
        <v>791.61111111111109</v>
      </c>
      <c r="O51" s="15">
        <v>5575.695652173913</v>
      </c>
      <c r="P51" s="15">
        <v>-5.0434782608695654</v>
      </c>
      <c r="Q51" s="15">
        <v>1422.3388888888887</v>
      </c>
      <c r="R51" s="15">
        <v>-1147.7956521739134</v>
      </c>
      <c r="S51" s="15">
        <v>2844.6777777777775</v>
      </c>
      <c r="T51" s="15">
        <v>-3992.4734299516908</v>
      </c>
      <c r="U51" s="17">
        <v>0.2839506172839506</v>
      </c>
      <c r="V51" s="17">
        <v>0.79414305877215552</v>
      </c>
      <c r="W51" s="17">
        <v>-0.44578313253012047</v>
      </c>
      <c r="X51" s="17">
        <v>0.51929815087017284</v>
      </c>
      <c r="Y51" s="17">
        <v>-0.63513513513513509</v>
      </c>
      <c r="Z51" s="17">
        <v>0.32598220071921569</v>
      </c>
      <c r="AA51" s="86"/>
      <c r="AB51" s="86"/>
    </row>
    <row r="52" spans="1:28" x14ac:dyDescent="0.25">
      <c r="A52" s="29" t="s">
        <v>145</v>
      </c>
      <c r="B52" s="21" t="s">
        <v>216</v>
      </c>
      <c r="C52" s="29" t="s">
        <v>173</v>
      </c>
      <c r="D52" s="15">
        <v>4.4782608695652169</v>
      </c>
      <c r="E52" s="57">
        <v>678.74854368932097</v>
      </c>
      <c r="F52" s="15">
        <v>3039.6130434782631</v>
      </c>
      <c r="G52" s="15">
        <v>5.9259259259259256</v>
      </c>
      <c r="H52" s="57">
        <v>585.10400000000004</v>
      </c>
      <c r="I52" s="15">
        <v>3467.2829629629628</v>
      </c>
      <c r="J52" s="15">
        <v>2</v>
      </c>
      <c r="K52" s="57">
        <v>3657.1400000000003</v>
      </c>
      <c r="L52" s="15">
        <v>7314.2800000000007</v>
      </c>
      <c r="M52" s="15">
        <v>7.6086956521739131</v>
      </c>
      <c r="N52" s="15">
        <v>791.0971428571429</v>
      </c>
      <c r="O52" s="15">
        <v>6019.217391304348</v>
      </c>
      <c r="P52" s="15">
        <v>-5.6086956521739131</v>
      </c>
      <c r="Q52" s="15">
        <v>2866.0428571428574</v>
      </c>
      <c r="R52" s="15">
        <v>1295.0626086956527</v>
      </c>
      <c r="S52" s="15">
        <v>5732.0857142857149</v>
      </c>
      <c r="T52" s="15">
        <v>-4437.0231055900622</v>
      </c>
      <c r="U52" s="17">
        <v>0.26285714285714284</v>
      </c>
      <c r="V52" s="17">
        <v>1.2151546496005547</v>
      </c>
      <c r="W52" s="17">
        <v>-0.55339805825242716</v>
      </c>
      <c r="X52" s="17">
        <v>1.4063194542783608</v>
      </c>
      <c r="Y52" s="17">
        <v>-0.66249999999999998</v>
      </c>
      <c r="Z52" s="17">
        <v>1.1095134369274526</v>
      </c>
      <c r="AA52" s="86"/>
      <c r="AB52" s="86"/>
    </row>
    <row r="53" spans="1:28" x14ac:dyDescent="0.25">
      <c r="A53" s="29" t="s">
        <v>145</v>
      </c>
      <c r="B53" s="21" t="s">
        <v>216</v>
      </c>
      <c r="C53" s="29" t="s">
        <v>174</v>
      </c>
      <c r="D53" s="15">
        <v>5.5217391304347823</v>
      </c>
      <c r="E53" s="57">
        <v>660.30866141732304</v>
      </c>
      <c r="F53" s="15">
        <v>3646.0521739130445</v>
      </c>
      <c r="G53" s="15">
        <v>7.333333333333333</v>
      </c>
      <c r="H53" s="57">
        <v>716.00949494949498</v>
      </c>
      <c r="I53" s="15">
        <v>5250.7362962962961</v>
      </c>
      <c r="J53" s="15">
        <v>8</v>
      </c>
      <c r="K53" s="57">
        <v>1322.3387500000001</v>
      </c>
      <c r="L53" s="15">
        <v>10578.710000000001</v>
      </c>
      <c r="M53" s="15">
        <v>5.6086956521739131</v>
      </c>
      <c r="N53" s="15">
        <v>793.22480620155034</v>
      </c>
      <c r="O53" s="15">
        <v>4448.95652173913</v>
      </c>
      <c r="P53" s="15">
        <v>2.3913043478260869</v>
      </c>
      <c r="Q53" s="15">
        <v>529.11394379844978</v>
      </c>
      <c r="R53" s="15">
        <v>6129.7534782608709</v>
      </c>
      <c r="S53" s="15">
        <v>4232.9115503875983</v>
      </c>
      <c r="T53" s="15">
        <v>1896.8419278732724</v>
      </c>
      <c r="U53" s="17">
        <v>1.4263565891472869</v>
      </c>
      <c r="V53" s="17">
        <v>2.3777957703809398</v>
      </c>
      <c r="W53" s="17">
        <v>0.44881889763779537</v>
      </c>
      <c r="X53" s="17">
        <v>1.9014148715942909</v>
      </c>
      <c r="Y53" s="17">
        <v>9.0909090909090953E-2</v>
      </c>
      <c r="Z53" s="17">
        <v>1.014709824117789</v>
      </c>
      <c r="AA53" s="86"/>
      <c r="AB53" s="86"/>
    </row>
    <row r="54" spans="1:28" x14ac:dyDescent="0.25">
      <c r="A54" s="29" t="s">
        <v>145</v>
      </c>
      <c r="B54" s="21" t="s">
        <v>216</v>
      </c>
      <c r="C54" s="29" t="s">
        <v>175</v>
      </c>
      <c r="D54" s="15">
        <v>0</v>
      </c>
      <c r="E54" s="57" t="s">
        <v>364</v>
      </c>
      <c r="F54" s="15">
        <v>0</v>
      </c>
      <c r="G54" s="15">
        <v>0</v>
      </c>
      <c r="H54" s="57" t="s">
        <v>364</v>
      </c>
      <c r="I54" s="15">
        <v>0</v>
      </c>
      <c r="J54" s="15">
        <v>0</v>
      </c>
      <c r="K54" s="57" t="s">
        <v>364</v>
      </c>
      <c r="L54" s="15">
        <v>3612.6800000000003</v>
      </c>
      <c r="M54" s="15">
        <v>7.6086956521739131</v>
      </c>
      <c r="N54" s="15">
        <v>701.00571428571425</v>
      </c>
      <c r="O54" s="15">
        <v>5333.7391304347821</v>
      </c>
      <c r="P54" s="15">
        <v>-7.6086956521739131</v>
      </c>
      <c r="Q54" s="15" t="s">
        <v>364</v>
      </c>
      <c r="R54" s="15">
        <v>-1721.0591304347818</v>
      </c>
      <c r="S54" s="15" t="s">
        <v>364</v>
      </c>
      <c r="T54" s="15">
        <v>-5333.7391304347821</v>
      </c>
      <c r="U54" s="17">
        <v>0</v>
      </c>
      <c r="V54" s="17">
        <v>0.67732596432880121</v>
      </c>
      <c r="W54" s="17" t="s">
        <v>364</v>
      </c>
      <c r="X54" s="17" t="s">
        <v>364</v>
      </c>
      <c r="Y54" s="17" t="s">
        <v>364</v>
      </c>
      <c r="Z54" s="17" t="s">
        <v>364</v>
      </c>
      <c r="AA54" s="86"/>
      <c r="AB54" s="86"/>
    </row>
    <row r="55" spans="1:28" x14ac:dyDescent="0.25">
      <c r="A55" s="29" t="s">
        <v>145</v>
      </c>
      <c r="B55" s="21" t="s">
        <v>216</v>
      </c>
      <c r="C55" s="29" t="s">
        <v>176</v>
      </c>
      <c r="D55" s="15">
        <v>4.3043478260869561</v>
      </c>
      <c r="E55" s="57">
        <v>404.61222222222221</v>
      </c>
      <c r="F55" s="15">
        <v>1741.5917391304347</v>
      </c>
      <c r="G55" s="15">
        <v>8.2592592592592595</v>
      </c>
      <c r="H55" s="57">
        <v>387.73829596412554</v>
      </c>
      <c r="I55" s="15">
        <v>3202.431111111111</v>
      </c>
      <c r="J55" s="15">
        <v>8</v>
      </c>
      <c r="K55" s="57">
        <v>119.40625</v>
      </c>
      <c r="L55" s="15">
        <v>955.25</v>
      </c>
      <c r="M55" s="15">
        <v>8</v>
      </c>
      <c r="N55" s="15">
        <v>639.71195652173913</v>
      </c>
      <c r="O55" s="15">
        <v>5117.695652173913</v>
      </c>
      <c r="P55" s="15">
        <v>0</v>
      </c>
      <c r="Q55" s="15">
        <v>-520.30570652173913</v>
      </c>
      <c r="R55" s="15">
        <v>-4162.445652173913</v>
      </c>
      <c r="S55" s="15">
        <v>-4162.445652173913</v>
      </c>
      <c r="T55" s="15">
        <v>0</v>
      </c>
      <c r="U55" s="17">
        <v>1</v>
      </c>
      <c r="V55" s="17">
        <v>0.18665627362858625</v>
      </c>
      <c r="W55" s="17">
        <v>0.85858585858585879</v>
      </c>
      <c r="X55" s="17">
        <v>-0.45150750400495693</v>
      </c>
      <c r="Y55" s="17">
        <v>-3.139013452914801E-2</v>
      </c>
      <c r="Z55" s="17">
        <v>-0.70171099178818308</v>
      </c>
      <c r="AA55" s="86"/>
      <c r="AB55" s="86"/>
    </row>
    <row r="56" spans="1:28" x14ac:dyDescent="0.25">
      <c r="A56" s="29" t="s">
        <v>144</v>
      </c>
      <c r="B56" s="21" t="s">
        <v>147</v>
      </c>
      <c r="C56" s="29" t="s">
        <v>177</v>
      </c>
      <c r="D56" s="15">
        <v>5.1304347826086953</v>
      </c>
      <c r="E56" s="57">
        <v>748.4152542372882</v>
      </c>
      <c r="F56" s="15">
        <v>3839.695652173913</v>
      </c>
      <c r="G56" s="15">
        <v>5.7037037037037033</v>
      </c>
      <c r="H56" s="57">
        <v>974.52597402597405</v>
      </c>
      <c r="I56" s="15">
        <v>5558.4074074074069</v>
      </c>
      <c r="J56" s="15">
        <v>4</v>
      </c>
      <c r="K56" s="57">
        <v>751.5</v>
      </c>
      <c r="L56" s="15">
        <v>3006</v>
      </c>
      <c r="M56" s="15">
        <v>7.3913043478260869</v>
      </c>
      <c r="N56" s="15">
        <v>873.02352941176468</v>
      </c>
      <c r="O56" s="15">
        <v>6452.782608695652</v>
      </c>
      <c r="P56" s="15">
        <v>-3.3913043478260869</v>
      </c>
      <c r="Q56" s="15">
        <v>-121.52352941176468</v>
      </c>
      <c r="R56" s="15">
        <v>-3446.782608695652</v>
      </c>
      <c r="S56" s="15">
        <v>-486.09411764705874</v>
      </c>
      <c r="T56" s="15">
        <v>-2960.6884910485933</v>
      </c>
      <c r="U56" s="17">
        <v>0.54117647058823526</v>
      </c>
      <c r="V56" s="17">
        <v>0.46584554017815033</v>
      </c>
      <c r="W56" s="17">
        <v>-0.2203389830508474</v>
      </c>
      <c r="X56" s="17">
        <v>-0.2171254515190289</v>
      </c>
      <c r="Y56" s="17">
        <v>-0.29870129870129863</v>
      </c>
      <c r="Z56" s="17">
        <v>-0.45919761189256175</v>
      </c>
      <c r="AA56" s="86"/>
      <c r="AB56" s="86"/>
    </row>
    <row r="57" spans="1:28" x14ac:dyDescent="0.25">
      <c r="A57" s="29" t="s">
        <v>144</v>
      </c>
      <c r="B57" s="21" t="s">
        <v>147</v>
      </c>
      <c r="C57" s="29" t="s">
        <v>178</v>
      </c>
      <c r="D57" s="15">
        <v>4.695652173913043</v>
      </c>
      <c r="E57" s="57">
        <v>373.39814814814815</v>
      </c>
      <c r="F57" s="15">
        <v>1753.3478260869565</v>
      </c>
      <c r="G57" s="15">
        <v>7.6296296296296289</v>
      </c>
      <c r="H57" s="57">
        <v>746.80893203883454</v>
      </c>
      <c r="I57" s="15">
        <v>5697.8755555555517</v>
      </c>
      <c r="J57" s="15">
        <v>11</v>
      </c>
      <c r="K57" s="57">
        <v>206.81818181818181</v>
      </c>
      <c r="L57" s="15">
        <v>2275</v>
      </c>
      <c r="M57" s="15">
        <v>7.8260869565217392</v>
      </c>
      <c r="N57" s="15">
        <v>873.55</v>
      </c>
      <c r="O57" s="15">
        <v>6836.478260869565</v>
      </c>
      <c r="P57" s="15">
        <v>3.1739130434782608</v>
      </c>
      <c r="Q57" s="15">
        <v>-666.7318181818182</v>
      </c>
      <c r="R57" s="15">
        <v>-4561.478260869565</v>
      </c>
      <c r="S57" s="15">
        <v>-7334.05</v>
      </c>
      <c r="T57" s="15">
        <v>2772.5717391304347</v>
      </c>
      <c r="U57" s="17">
        <v>1.4055555555555554</v>
      </c>
      <c r="V57" s="17">
        <v>0.33277367574202332</v>
      </c>
      <c r="W57" s="17">
        <v>1.3425925925925928</v>
      </c>
      <c r="X57" s="17">
        <v>0.29751779204999135</v>
      </c>
      <c r="Y57" s="17">
        <v>0.44174757281553412</v>
      </c>
      <c r="Z57" s="17">
        <v>-0.60072838063621348</v>
      </c>
      <c r="AA57" s="86"/>
      <c r="AB57" s="86"/>
    </row>
    <row r="58" spans="1:28" x14ac:dyDescent="0.25">
      <c r="A58" s="29" t="s">
        <v>144</v>
      </c>
      <c r="B58" s="21" t="s">
        <v>211</v>
      </c>
      <c r="C58" s="29" t="s">
        <v>179</v>
      </c>
      <c r="D58" s="15">
        <v>8.0434782608695645</v>
      </c>
      <c r="E58" s="57">
        <v>417.97297297297303</v>
      </c>
      <c r="F58" s="15">
        <v>3361.9565217391305</v>
      </c>
      <c r="G58" s="15">
        <v>8.5185185185185173</v>
      </c>
      <c r="H58" s="57">
        <v>728.69339130434798</v>
      </c>
      <c r="I58" s="15">
        <v>6207.3881481481485</v>
      </c>
      <c r="J58" s="15">
        <v>4</v>
      </c>
      <c r="K58" s="57">
        <v>627.5</v>
      </c>
      <c r="L58" s="15">
        <v>2510</v>
      </c>
      <c r="M58" s="15">
        <v>9</v>
      </c>
      <c r="N58" s="15">
        <v>792</v>
      </c>
      <c r="O58" s="15">
        <v>7128</v>
      </c>
      <c r="P58" s="15">
        <v>-5</v>
      </c>
      <c r="Q58" s="15">
        <v>-164.5</v>
      </c>
      <c r="R58" s="15">
        <v>-4618</v>
      </c>
      <c r="S58" s="15">
        <v>-658</v>
      </c>
      <c r="T58" s="15">
        <v>-3960</v>
      </c>
      <c r="U58" s="17">
        <v>0.44444444444444442</v>
      </c>
      <c r="V58" s="17">
        <v>0.35213243546576878</v>
      </c>
      <c r="W58" s="17">
        <v>-0.50270270270270268</v>
      </c>
      <c r="X58" s="17">
        <v>-0.25341092790171355</v>
      </c>
      <c r="Y58" s="17">
        <v>-0.53043478260869559</v>
      </c>
      <c r="Z58" s="17">
        <v>-0.59564313684028136</v>
      </c>
      <c r="AA58" s="86"/>
      <c r="AB58" s="86"/>
    </row>
    <row r="59" spans="1:28" x14ac:dyDescent="0.25">
      <c r="A59" s="29" t="s">
        <v>145</v>
      </c>
      <c r="B59" s="21" t="s">
        <v>219</v>
      </c>
      <c r="C59" s="29" t="s">
        <v>180</v>
      </c>
      <c r="D59" s="15">
        <v>6.6086956521739131</v>
      </c>
      <c r="E59" s="57">
        <v>379.16559210526293</v>
      </c>
      <c r="F59" s="15">
        <v>2505.7899999999986</v>
      </c>
      <c r="G59" s="15">
        <v>10.814814814814815</v>
      </c>
      <c r="H59" s="57">
        <v>413.98780821917802</v>
      </c>
      <c r="I59" s="15">
        <v>4477.2014814814811</v>
      </c>
      <c r="J59" s="15">
        <v>1</v>
      </c>
      <c r="K59" s="57">
        <v>10368.98</v>
      </c>
      <c r="L59" s="15">
        <v>10368.98</v>
      </c>
      <c r="M59" s="15">
        <v>12.565217391304348</v>
      </c>
      <c r="N59" s="15">
        <v>522.63667820069202</v>
      </c>
      <c r="O59" s="15">
        <v>6567.0434782608691</v>
      </c>
      <c r="P59" s="15">
        <v>-11.565217391304348</v>
      </c>
      <c r="Q59" s="15">
        <v>9846.3433217993079</v>
      </c>
      <c r="R59" s="15">
        <v>3801.9365217391305</v>
      </c>
      <c r="S59" s="15">
        <v>9846.3433217993079</v>
      </c>
      <c r="T59" s="15">
        <v>-6044.4068000601774</v>
      </c>
      <c r="U59" s="17">
        <v>7.9584775086505188E-2</v>
      </c>
      <c r="V59" s="17">
        <v>1.5789418837144635</v>
      </c>
      <c r="W59" s="17">
        <v>-0.84868421052631582</v>
      </c>
      <c r="X59" s="17">
        <v>3.1380083726090393</v>
      </c>
      <c r="Y59" s="17">
        <v>-0.90753424657534243</v>
      </c>
      <c r="Z59" s="17">
        <v>1.3159511679087896</v>
      </c>
      <c r="AA59" s="86"/>
      <c r="AB59" s="86"/>
    </row>
    <row r="60" spans="1:28" x14ac:dyDescent="0.25">
      <c r="A60" s="29" t="s">
        <v>145</v>
      </c>
      <c r="B60" s="21" t="s">
        <v>219</v>
      </c>
      <c r="C60" s="29" t="s">
        <v>181</v>
      </c>
      <c r="D60" s="15">
        <v>9.6521739130434785</v>
      </c>
      <c r="E60" s="57">
        <v>478.6425225225226</v>
      </c>
      <c r="F60" s="15">
        <v>4619.9408695652182</v>
      </c>
      <c r="G60" s="15">
        <v>7.7777777777777777</v>
      </c>
      <c r="H60" s="57">
        <v>463.35395238095259</v>
      </c>
      <c r="I60" s="15">
        <v>3603.8640740740757</v>
      </c>
      <c r="J60" s="15">
        <v>9</v>
      </c>
      <c r="K60" s="57">
        <v>768.3266666666666</v>
      </c>
      <c r="L60" s="15">
        <v>6914.94</v>
      </c>
      <c r="M60" s="15">
        <v>12.565217391304348</v>
      </c>
      <c r="N60" s="15">
        <v>522.63667820069202</v>
      </c>
      <c r="O60" s="15">
        <v>6567.0434782608691</v>
      </c>
      <c r="P60" s="15">
        <v>-3.5652173913043477</v>
      </c>
      <c r="Q60" s="15">
        <v>245.68998846597458</v>
      </c>
      <c r="R60" s="15">
        <v>347.89652173913055</v>
      </c>
      <c r="S60" s="15">
        <v>2211.2098961937713</v>
      </c>
      <c r="T60" s="15">
        <v>-1863.313374454641</v>
      </c>
      <c r="U60" s="17">
        <v>0.7162629757785467</v>
      </c>
      <c r="V60" s="17">
        <v>1.0529761258457913</v>
      </c>
      <c r="W60" s="17">
        <v>-6.7567567567567585E-2</v>
      </c>
      <c r="X60" s="17">
        <v>0.49675941645780486</v>
      </c>
      <c r="Y60" s="17">
        <v>0.15714285714285717</v>
      </c>
      <c r="Z60" s="17">
        <v>0.91875716116641371</v>
      </c>
      <c r="AA60" s="86"/>
      <c r="AB60" s="86"/>
    </row>
    <row r="61" spans="1:28" x14ac:dyDescent="0.25">
      <c r="A61" s="29" t="s">
        <v>145</v>
      </c>
      <c r="B61" s="21" t="s">
        <v>219</v>
      </c>
      <c r="C61" s="29" t="s">
        <v>182</v>
      </c>
      <c r="D61" s="15">
        <v>0</v>
      </c>
      <c r="E61" s="57" t="s">
        <v>364</v>
      </c>
      <c r="F61" s="15">
        <v>0</v>
      </c>
      <c r="G61" s="15">
        <v>0</v>
      </c>
      <c r="H61" s="57" t="s">
        <v>364</v>
      </c>
      <c r="I61" s="15">
        <v>0</v>
      </c>
      <c r="J61" s="15">
        <v>0</v>
      </c>
      <c r="K61" s="57" t="s">
        <v>364</v>
      </c>
      <c r="L61" s="15">
        <v>0</v>
      </c>
      <c r="M61" s="15">
        <v>5</v>
      </c>
      <c r="N61" s="15">
        <v>523.91304347826087</v>
      </c>
      <c r="O61" s="15">
        <v>2619.5652173913045</v>
      </c>
      <c r="P61" s="15">
        <v>-5</v>
      </c>
      <c r="Q61" s="15" t="s">
        <v>364</v>
      </c>
      <c r="R61" s="15">
        <v>-2619.5652173913045</v>
      </c>
      <c r="S61" s="15" t="s">
        <v>364</v>
      </c>
      <c r="T61" s="15">
        <v>-2619.5652173913045</v>
      </c>
      <c r="U61" s="17">
        <v>0</v>
      </c>
      <c r="V61" s="17">
        <v>0</v>
      </c>
      <c r="W61" s="17" t="s">
        <v>364</v>
      </c>
      <c r="X61" s="17" t="s">
        <v>364</v>
      </c>
      <c r="Y61" s="17" t="s">
        <v>364</v>
      </c>
      <c r="Z61" s="17" t="s">
        <v>364</v>
      </c>
      <c r="AA61" s="86"/>
      <c r="AB61" s="86"/>
    </row>
    <row r="62" spans="1:28" x14ac:dyDescent="0.25">
      <c r="A62" s="29" t="s">
        <v>145</v>
      </c>
      <c r="B62" s="21" t="s">
        <v>149</v>
      </c>
      <c r="C62" s="29" t="s">
        <v>183</v>
      </c>
      <c r="D62" s="15">
        <v>6.1304347826086953</v>
      </c>
      <c r="E62" s="57">
        <v>621.61652482269517</v>
      </c>
      <c r="F62" s="15">
        <v>3810.7795652173922</v>
      </c>
      <c r="G62" s="15">
        <v>8.0370370370370363</v>
      </c>
      <c r="H62" s="57">
        <v>539.73502304147485</v>
      </c>
      <c r="I62" s="15">
        <v>4337.8703703703713</v>
      </c>
      <c r="J62" s="15">
        <v>7</v>
      </c>
      <c r="K62" s="57">
        <v>517.07142857142856</v>
      </c>
      <c r="L62" s="15">
        <v>3619.5</v>
      </c>
      <c r="M62" s="15">
        <v>5.3043478260869561</v>
      </c>
      <c r="N62" s="15">
        <v>519.29508196721315</v>
      </c>
      <c r="O62" s="15">
        <v>2754.5217391304345</v>
      </c>
      <c r="P62" s="15">
        <v>1.6956521739130439</v>
      </c>
      <c r="Q62" s="15">
        <v>-2.223653395784595</v>
      </c>
      <c r="R62" s="15">
        <v>864.97826086956547</v>
      </c>
      <c r="S62" s="15">
        <v>-15.565573770492165</v>
      </c>
      <c r="T62" s="15">
        <v>880.5438346400573</v>
      </c>
      <c r="U62" s="17">
        <v>1.319672131147541</v>
      </c>
      <c r="V62" s="17">
        <v>1.3140212141301262</v>
      </c>
      <c r="W62" s="17">
        <v>0.14184397163120574</v>
      </c>
      <c r="X62" s="17">
        <v>-5.0194340014647475E-2</v>
      </c>
      <c r="Y62" s="17">
        <v>-0.12903225806451604</v>
      </c>
      <c r="Z62" s="17">
        <v>-0.16560438856752563</v>
      </c>
      <c r="AA62" s="86"/>
      <c r="AB62" s="86"/>
    </row>
    <row r="63" spans="1:28" x14ac:dyDescent="0.25">
      <c r="A63" s="29" t="s">
        <v>145</v>
      </c>
      <c r="B63" s="21" t="s">
        <v>211</v>
      </c>
      <c r="C63" s="29" t="s">
        <v>184</v>
      </c>
      <c r="D63" s="15">
        <v>0</v>
      </c>
      <c r="E63" s="57" t="s">
        <v>364</v>
      </c>
      <c r="F63" s="15">
        <v>0</v>
      </c>
      <c r="G63" s="15">
        <v>0</v>
      </c>
      <c r="H63" s="57" t="s">
        <v>364</v>
      </c>
      <c r="I63" s="15">
        <v>0</v>
      </c>
      <c r="J63" s="15">
        <v>6</v>
      </c>
      <c r="K63" s="57">
        <v>903.33333333333337</v>
      </c>
      <c r="L63" s="15">
        <v>5420</v>
      </c>
      <c r="M63" s="15">
        <v>11.391304347826086</v>
      </c>
      <c r="N63" s="15">
        <v>520.83206106870227</v>
      </c>
      <c r="O63" s="15">
        <v>5932.95652173913</v>
      </c>
      <c r="P63" s="15">
        <v>-5.391304347826086</v>
      </c>
      <c r="Q63" s="15">
        <v>382.5012722646311</v>
      </c>
      <c r="R63" s="15">
        <v>-512.95652173913004</v>
      </c>
      <c r="S63" s="15">
        <v>2295.0076335877866</v>
      </c>
      <c r="T63" s="15">
        <v>-2807.9641553269162</v>
      </c>
      <c r="U63" s="17">
        <v>0.52671755725190839</v>
      </c>
      <c r="V63" s="17">
        <v>0.91354116284864217</v>
      </c>
      <c r="W63" s="17" t="s">
        <v>364</v>
      </c>
      <c r="X63" s="17" t="s">
        <v>364</v>
      </c>
      <c r="Y63" s="17" t="s">
        <v>364</v>
      </c>
      <c r="Z63" s="17" t="s">
        <v>364</v>
      </c>
      <c r="AA63" s="86"/>
      <c r="AB63" s="86"/>
    </row>
    <row r="64" spans="1:28" x14ac:dyDescent="0.25">
      <c r="A64" s="29" t="s">
        <v>144</v>
      </c>
      <c r="B64" s="21" t="s">
        <v>219</v>
      </c>
      <c r="C64" s="29" t="s">
        <v>185</v>
      </c>
      <c r="D64" s="15">
        <v>0</v>
      </c>
      <c r="E64" s="57" t="s">
        <v>364</v>
      </c>
      <c r="F64" s="15">
        <v>0</v>
      </c>
      <c r="G64" s="15">
        <v>0</v>
      </c>
      <c r="H64" s="57" t="s">
        <v>364</v>
      </c>
      <c r="I64" s="15">
        <v>0</v>
      </c>
      <c r="J64" s="15">
        <v>8</v>
      </c>
      <c r="K64" s="57">
        <v>240.25</v>
      </c>
      <c r="L64" s="15">
        <v>1922</v>
      </c>
      <c r="M64" s="15">
        <v>10.565217391304348</v>
      </c>
      <c r="N64" s="15">
        <v>430.78189300411526</v>
      </c>
      <c r="O64" s="15">
        <v>4551.304347826087</v>
      </c>
      <c r="P64" s="15">
        <v>-2.5652173913043477</v>
      </c>
      <c r="Q64" s="15">
        <v>-190.53189300411526</v>
      </c>
      <c r="R64" s="15">
        <v>-2629.304347826087</v>
      </c>
      <c r="S64" s="15">
        <v>-1524.2551440329221</v>
      </c>
      <c r="T64" s="15">
        <v>-1105.0492037931651</v>
      </c>
      <c r="U64" s="17">
        <v>0.75720164609053497</v>
      </c>
      <c r="V64" s="17">
        <v>0.42229652273595719</v>
      </c>
      <c r="W64" s="17" t="s">
        <v>364</v>
      </c>
      <c r="X64" s="17" t="s">
        <v>364</v>
      </c>
      <c r="Y64" s="17" t="s">
        <v>364</v>
      </c>
      <c r="Z64" s="17" t="s">
        <v>364</v>
      </c>
      <c r="AA64" s="86"/>
      <c r="AB64" s="86"/>
    </row>
    <row r="65" spans="1:28" x14ac:dyDescent="0.25">
      <c r="A65" s="29" t="s">
        <v>144</v>
      </c>
      <c r="B65" s="21" t="s">
        <v>219</v>
      </c>
      <c r="C65" s="29" t="s">
        <v>186</v>
      </c>
      <c r="D65" s="15">
        <v>5.7826086956521738</v>
      </c>
      <c r="E65" s="57">
        <v>249.3045864661654</v>
      </c>
      <c r="F65" s="15">
        <v>1441.6308695652174</v>
      </c>
      <c r="G65" s="15">
        <v>9.148148148148147</v>
      </c>
      <c r="H65" s="57">
        <v>405.3583805668016</v>
      </c>
      <c r="I65" s="15">
        <v>3708.278518518518</v>
      </c>
      <c r="J65" s="15">
        <v>11</v>
      </c>
      <c r="K65" s="57">
        <v>334.18181818181819</v>
      </c>
      <c r="L65" s="15">
        <v>3676</v>
      </c>
      <c r="M65" s="15">
        <v>10.565217391304348</v>
      </c>
      <c r="N65" s="15">
        <v>499.52674897119346</v>
      </c>
      <c r="O65" s="15">
        <v>5277.608695652174</v>
      </c>
      <c r="P65" s="15">
        <v>0.43478260869565233</v>
      </c>
      <c r="Q65" s="15">
        <v>-165.34493078937527</v>
      </c>
      <c r="R65" s="15">
        <v>-1601.608695652174</v>
      </c>
      <c r="S65" s="15">
        <v>-1818.794238683128</v>
      </c>
      <c r="T65" s="15">
        <v>217.18554303095377</v>
      </c>
      <c r="U65" s="17">
        <v>1.0411522633744856</v>
      </c>
      <c r="V65" s="17">
        <v>0.69652757754252992</v>
      </c>
      <c r="W65" s="17">
        <v>0.90225563909774442</v>
      </c>
      <c r="X65" s="17">
        <v>1.5498899042780956</v>
      </c>
      <c r="Y65" s="17">
        <v>0.20242914979757098</v>
      </c>
      <c r="Z65" s="17">
        <v>-8.7044482655023164E-3</v>
      </c>
      <c r="AA65" s="86"/>
      <c r="AB65" s="86"/>
    </row>
    <row r="66" spans="1:28" x14ac:dyDescent="0.25">
      <c r="A66" s="29" t="s">
        <v>145</v>
      </c>
      <c r="B66" s="21" t="s">
        <v>149</v>
      </c>
      <c r="C66" s="29" t="s">
        <v>187</v>
      </c>
      <c r="D66" s="15">
        <v>4.2608695652173916</v>
      </c>
      <c r="E66" s="57">
        <v>484.95693877551048</v>
      </c>
      <c r="F66" s="15">
        <v>2066.3382608695665</v>
      </c>
      <c r="G66" s="15">
        <v>4.3703703703703702</v>
      </c>
      <c r="H66" s="57">
        <v>487.5899152542371</v>
      </c>
      <c r="I66" s="15">
        <v>2130.9485185185176</v>
      </c>
      <c r="J66" s="15">
        <v>5</v>
      </c>
      <c r="K66" s="57">
        <v>444.15200000000004</v>
      </c>
      <c r="L66" s="15">
        <v>2220.7600000000002</v>
      </c>
      <c r="M66" s="15">
        <v>7.2173913043478262</v>
      </c>
      <c r="N66" s="15">
        <v>507.43975903614455</v>
      </c>
      <c r="O66" s="15">
        <v>3662.391304347826</v>
      </c>
      <c r="P66" s="15">
        <v>-2.2173913043478262</v>
      </c>
      <c r="Q66" s="15">
        <v>-63.287759036144507</v>
      </c>
      <c r="R66" s="15">
        <v>-1441.6313043478258</v>
      </c>
      <c r="S66" s="15">
        <v>-316.43879518072254</v>
      </c>
      <c r="T66" s="15">
        <v>-1125.1925091671033</v>
      </c>
      <c r="U66" s="17">
        <v>0.69277108433734935</v>
      </c>
      <c r="V66" s="17">
        <v>0.60636884905324395</v>
      </c>
      <c r="W66" s="17">
        <v>0.17346938775510196</v>
      </c>
      <c r="X66" s="17">
        <v>7.4732071730331903E-2</v>
      </c>
      <c r="Y66" s="17">
        <v>0.14406779661016952</v>
      </c>
      <c r="Z66" s="17">
        <v>4.2146246472402588E-2</v>
      </c>
      <c r="AA66" s="86"/>
      <c r="AB66" s="86"/>
    </row>
    <row r="67" spans="1:28" x14ac:dyDescent="0.25">
      <c r="A67" s="29" t="s">
        <v>144</v>
      </c>
      <c r="B67" s="21" t="s">
        <v>150</v>
      </c>
      <c r="C67" s="29" t="s">
        <v>188</v>
      </c>
      <c r="D67" s="15">
        <v>0</v>
      </c>
      <c r="E67" s="57" t="s">
        <v>364</v>
      </c>
      <c r="F67" s="15">
        <v>0</v>
      </c>
      <c r="G67" s="15">
        <v>0</v>
      </c>
      <c r="H67" s="57" t="s">
        <v>364</v>
      </c>
      <c r="I67" s="15">
        <v>0</v>
      </c>
      <c r="J67" s="15">
        <v>9</v>
      </c>
      <c r="K67" s="57">
        <v>494.66666666666669</v>
      </c>
      <c r="L67" s="15">
        <v>4452</v>
      </c>
      <c r="M67" s="15">
        <v>7.6086956521739131</v>
      </c>
      <c r="N67" s="15">
        <v>784.10285714285715</v>
      </c>
      <c r="O67" s="15">
        <v>5966</v>
      </c>
      <c r="P67" s="15">
        <v>1.3913043478260869</v>
      </c>
      <c r="Q67" s="15">
        <v>-289.43619047619046</v>
      </c>
      <c r="R67" s="15">
        <v>-1514</v>
      </c>
      <c r="S67" s="15">
        <v>-2604.9257142857141</v>
      </c>
      <c r="T67" s="15">
        <v>1090.9257142857143</v>
      </c>
      <c r="U67" s="17">
        <v>1.1828571428571428</v>
      </c>
      <c r="V67" s="17">
        <v>0.74622862889708352</v>
      </c>
      <c r="W67" s="17" t="s">
        <v>364</v>
      </c>
      <c r="X67" s="17" t="s">
        <v>364</v>
      </c>
      <c r="Y67" s="17" t="s">
        <v>364</v>
      </c>
      <c r="Z67" s="17" t="s">
        <v>364</v>
      </c>
      <c r="AA67" s="86"/>
      <c r="AB67" s="86"/>
    </row>
    <row r="68" spans="1:28" x14ac:dyDescent="0.25">
      <c r="A68" s="29" t="s">
        <v>145</v>
      </c>
      <c r="B68" s="21" t="s">
        <v>149</v>
      </c>
      <c r="C68" s="29" t="s">
        <v>189</v>
      </c>
      <c r="D68" s="15">
        <v>0</v>
      </c>
      <c r="E68" s="57" t="s">
        <v>364</v>
      </c>
      <c r="F68" s="15">
        <v>0</v>
      </c>
      <c r="G68" s="15">
        <v>0</v>
      </c>
      <c r="H68" s="57" t="s">
        <v>364</v>
      </c>
      <c r="I68" s="15">
        <v>0</v>
      </c>
      <c r="J68" s="15">
        <v>2</v>
      </c>
      <c r="K68" s="57">
        <v>1401.7949999999998</v>
      </c>
      <c r="L68" s="15">
        <v>2803.5899999999997</v>
      </c>
      <c r="M68" s="15">
        <v>7.2173913043478262</v>
      </c>
      <c r="N68" s="15">
        <v>507.43975903614455</v>
      </c>
      <c r="O68" s="15">
        <v>3662.391304347826</v>
      </c>
      <c r="P68" s="15">
        <v>-5.2173913043478262</v>
      </c>
      <c r="Q68" s="15">
        <v>894.35524096385529</v>
      </c>
      <c r="R68" s="15">
        <v>-858.80130434782632</v>
      </c>
      <c r="S68" s="15">
        <v>1788.7104819277106</v>
      </c>
      <c r="T68" s="15">
        <v>-2647.5117862755369</v>
      </c>
      <c r="U68" s="17">
        <v>0.27710843373493976</v>
      </c>
      <c r="V68" s="17">
        <v>0.76550804297501029</v>
      </c>
      <c r="W68" s="17" t="s">
        <v>364</v>
      </c>
      <c r="X68" s="17" t="s">
        <v>364</v>
      </c>
      <c r="Y68" s="17" t="s">
        <v>364</v>
      </c>
      <c r="Z68" s="17" t="s">
        <v>364</v>
      </c>
      <c r="AA68" s="86"/>
      <c r="AB68" s="86"/>
    </row>
    <row r="69" spans="1:28" x14ac:dyDescent="0.25">
      <c r="A69" s="29" t="s">
        <v>145</v>
      </c>
      <c r="B69" s="21" t="s">
        <v>219</v>
      </c>
      <c r="C69" s="29" t="s">
        <v>190</v>
      </c>
      <c r="D69" s="15">
        <v>0</v>
      </c>
      <c r="E69" s="57" t="s">
        <v>364</v>
      </c>
      <c r="F69" s="15">
        <v>0</v>
      </c>
      <c r="G69" s="15">
        <v>0</v>
      </c>
      <c r="H69" s="57" t="s">
        <v>364</v>
      </c>
      <c r="I69" s="15">
        <v>0</v>
      </c>
      <c r="J69" s="15">
        <v>0</v>
      </c>
      <c r="K69" s="57" t="s">
        <v>364</v>
      </c>
      <c r="L69" s="15">
        <v>0</v>
      </c>
      <c r="M69" s="15">
        <v>11.913043478260869</v>
      </c>
      <c r="N69" s="15">
        <v>498.27007299270076</v>
      </c>
      <c r="O69" s="15">
        <v>5935.913043478261</v>
      </c>
      <c r="P69" s="15">
        <v>-11.913043478260869</v>
      </c>
      <c r="Q69" s="15" t="s">
        <v>364</v>
      </c>
      <c r="R69" s="15">
        <v>-5935.913043478261</v>
      </c>
      <c r="S69" s="15" t="s">
        <v>364</v>
      </c>
      <c r="T69" s="15">
        <v>-5935.913043478261</v>
      </c>
      <c r="U69" s="17">
        <v>0</v>
      </c>
      <c r="V69" s="17">
        <v>0</v>
      </c>
      <c r="W69" s="17" t="s">
        <v>364</v>
      </c>
      <c r="X69" s="17" t="s">
        <v>364</v>
      </c>
      <c r="Y69" s="17" t="s">
        <v>364</v>
      </c>
      <c r="Z69" s="17" t="s">
        <v>364</v>
      </c>
      <c r="AA69" s="86"/>
      <c r="AB69" s="86"/>
    </row>
    <row r="70" spans="1:28" x14ac:dyDescent="0.25">
      <c r="A70" s="29" t="s">
        <v>145</v>
      </c>
      <c r="B70" s="21" t="s">
        <v>219</v>
      </c>
      <c r="C70" s="29" t="s">
        <v>191</v>
      </c>
      <c r="D70" s="15">
        <v>12.391304347826086</v>
      </c>
      <c r="E70" s="57">
        <v>463.42364912280738</v>
      </c>
      <c r="F70" s="15">
        <v>5742.4234782608737</v>
      </c>
      <c r="G70" s="15">
        <v>15.259259259259258</v>
      </c>
      <c r="H70" s="57">
        <v>366.39570388349551</v>
      </c>
      <c r="I70" s="15">
        <v>5590.9270370370423</v>
      </c>
      <c r="J70" s="15">
        <v>10</v>
      </c>
      <c r="K70" s="57">
        <v>588.75</v>
      </c>
      <c r="L70" s="15">
        <v>5887.5</v>
      </c>
      <c r="M70" s="15">
        <v>13.739130434782608</v>
      </c>
      <c r="N70" s="15">
        <v>439.27848101265829</v>
      </c>
      <c r="O70" s="15">
        <v>6035.304347826087</v>
      </c>
      <c r="P70" s="15">
        <v>-3.7391304347826075</v>
      </c>
      <c r="Q70" s="15">
        <v>149.47151898734171</v>
      </c>
      <c r="R70" s="15">
        <v>-147.804347826087</v>
      </c>
      <c r="S70" s="15">
        <v>1494.7151898734171</v>
      </c>
      <c r="T70" s="15">
        <v>-1642.5195376995043</v>
      </c>
      <c r="U70" s="17">
        <v>0.72784810126582289</v>
      </c>
      <c r="V70" s="17">
        <v>0.97551004235945016</v>
      </c>
      <c r="W70" s="17">
        <v>-0.19298245614035081</v>
      </c>
      <c r="X70" s="17">
        <v>2.5263988678010833E-2</v>
      </c>
      <c r="Y70" s="17">
        <v>-0.34466019417475724</v>
      </c>
      <c r="Z70" s="17">
        <v>5.3045400342074396E-2</v>
      </c>
      <c r="AA70" s="86"/>
      <c r="AB70" s="86"/>
    </row>
    <row r="71" spans="1:28" x14ac:dyDescent="0.25">
      <c r="A71" s="29" t="s">
        <v>144</v>
      </c>
      <c r="B71" s="21" t="s">
        <v>148</v>
      </c>
      <c r="C71" s="29" t="s">
        <v>192</v>
      </c>
      <c r="D71" s="15">
        <v>0</v>
      </c>
      <c r="E71" s="57" t="s">
        <v>364</v>
      </c>
      <c r="F71" s="15">
        <v>0</v>
      </c>
      <c r="G71" s="15">
        <v>0</v>
      </c>
      <c r="H71" s="57" t="s">
        <v>364</v>
      </c>
      <c r="I71" s="15">
        <v>0</v>
      </c>
      <c r="J71" s="15">
        <v>2</v>
      </c>
      <c r="K71" s="57">
        <v>1440.5</v>
      </c>
      <c r="L71" s="15">
        <v>2881</v>
      </c>
      <c r="M71" s="15">
        <v>7.6086956521739131</v>
      </c>
      <c r="N71" s="15">
        <v>914.95428571428567</v>
      </c>
      <c r="O71" s="15">
        <v>6961.608695652174</v>
      </c>
      <c r="P71" s="15">
        <v>-5.6086956521739131</v>
      </c>
      <c r="Q71" s="15">
        <v>525.54571428571433</v>
      </c>
      <c r="R71" s="15">
        <v>-4080.608695652174</v>
      </c>
      <c r="S71" s="15">
        <v>1051.0914285714287</v>
      </c>
      <c r="T71" s="15">
        <v>-5131.700124223602</v>
      </c>
      <c r="U71" s="17">
        <v>0.26285714285714284</v>
      </c>
      <c r="V71" s="17">
        <v>0.41384112867465667</v>
      </c>
      <c r="W71" s="17" t="s">
        <v>364</v>
      </c>
      <c r="X71" s="17" t="s">
        <v>364</v>
      </c>
      <c r="Y71" s="17" t="s">
        <v>364</v>
      </c>
      <c r="Z71" s="17" t="s">
        <v>364</v>
      </c>
      <c r="AA71" s="86"/>
      <c r="AB71" s="86"/>
    </row>
    <row r="72" spans="1:28" x14ac:dyDescent="0.25">
      <c r="A72" s="29" t="s">
        <v>144</v>
      </c>
      <c r="B72" s="21" t="s">
        <v>148</v>
      </c>
      <c r="C72" s="29" t="s">
        <v>193</v>
      </c>
      <c r="D72" s="15">
        <v>5.3913043478260869</v>
      </c>
      <c r="E72" s="57">
        <v>602.24185483871145</v>
      </c>
      <c r="F72" s="15">
        <v>3246.8691304347922</v>
      </c>
      <c r="G72" s="15">
        <v>7.0740740740740735</v>
      </c>
      <c r="H72" s="57">
        <v>1488.9289005235598</v>
      </c>
      <c r="I72" s="15">
        <v>10532.793333333329</v>
      </c>
      <c r="J72" s="15">
        <v>8</v>
      </c>
      <c r="K72" s="57">
        <v>1201.25</v>
      </c>
      <c r="L72" s="15">
        <v>9610</v>
      </c>
      <c r="M72" s="15">
        <v>7.6086956521739131</v>
      </c>
      <c r="N72" s="15">
        <v>1015.64</v>
      </c>
      <c r="O72" s="15">
        <v>7727.695652173913</v>
      </c>
      <c r="P72" s="15">
        <v>0.39130434782608692</v>
      </c>
      <c r="Q72" s="15">
        <v>185.61</v>
      </c>
      <c r="R72" s="15">
        <v>1882.304347826087</v>
      </c>
      <c r="S72" s="15">
        <v>1484.88</v>
      </c>
      <c r="T72" s="15">
        <v>397.42434782608689</v>
      </c>
      <c r="U72" s="17">
        <v>1.0514285714285714</v>
      </c>
      <c r="V72" s="17">
        <v>1.2435789959321919</v>
      </c>
      <c r="W72" s="17">
        <v>0.4838709677419355</v>
      </c>
      <c r="X72" s="17">
        <v>1.9597743592188186</v>
      </c>
      <c r="Y72" s="17">
        <v>0.13089005235602102</v>
      </c>
      <c r="Z72" s="17">
        <v>-8.7611453498565098E-2</v>
      </c>
      <c r="AA72" s="86"/>
      <c r="AB72" s="86"/>
    </row>
    <row r="73" spans="1:28" x14ac:dyDescent="0.25">
      <c r="A73" s="29" t="s">
        <v>145</v>
      </c>
      <c r="B73" s="21" t="s">
        <v>151</v>
      </c>
      <c r="C73" s="29" t="s">
        <v>194</v>
      </c>
      <c r="D73" s="15">
        <v>0</v>
      </c>
      <c r="E73" s="57" t="s">
        <v>364</v>
      </c>
      <c r="F73" s="15">
        <v>0</v>
      </c>
      <c r="G73" s="15">
        <v>0</v>
      </c>
      <c r="H73" s="57" t="s">
        <v>364</v>
      </c>
      <c r="I73" s="15">
        <v>0</v>
      </c>
      <c r="J73" s="15">
        <v>0</v>
      </c>
      <c r="K73" s="57" t="s">
        <v>364</v>
      </c>
      <c r="L73" s="15">
        <v>0</v>
      </c>
      <c r="M73" s="15">
        <v>7.2173913043478262</v>
      </c>
      <c r="N73" s="15">
        <v>352.15060240963857</v>
      </c>
      <c r="O73" s="15">
        <v>2541.608695652174</v>
      </c>
      <c r="P73" s="15">
        <v>-7.2173913043478262</v>
      </c>
      <c r="Q73" s="15" t="s">
        <v>364</v>
      </c>
      <c r="R73" s="15">
        <v>-2541.608695652174</v>
      </c>
      <c r="S73" s="15" t="s">
        <v>364</v>
      </c>
      <c r="T73" s="15">
        <v>-2541.608695652174</v>
      </c>
      <c r="U73" s="17">
        <v>0</v>
      </c>
      <c r="V73" s="17">
        <v>0</v>
      </c>
      <c r="W73" s="17" t="s">
        <v>364</v>
      </c>
      <c r="X73" s="17" t="s">
        <v>364</v>
      </c>
      <c r="Y73" s="17" t="s">
        <v>364</v>
      </c>
      <c r="Z73" s="17" t="s">
        <v>364</v>
      </c>
      <c r="AA73" s="86"/>
      <c r="AB73" s="86"/>
    </row>
    <row r="74" spans="1:28" x14ac:dyDescent="0.25">
      <c r="A74" s="29" t="s">
        <v>145</v>
      </c>
      <c r="B74" s="21" t="s">
        <v>151</v>
      </c>
      <c r="C74" s="29" t="s">
        <v>195</v>
      </c>
      <c r="D74" s="15">
        <v>2.7826086956521738</v>
      </c>
      <c r="E74" s="57">
        <v>286.39734375000012</v>
      </c>
      <c r="F74" s="15">
        <v>796.93173913043506</v>
      </c>
      <c r="G74" s="15">
        <v>3.5925925925925926</v>
      </c>
      <c r="H74" s="57">
        <v>363.30051546391758</v>
      </c>
      <c r="I74" s="15">
        <v>1305.1907407407409</v>
      </c>
      <c r="J74" s="15">
        <v>6</v>
      </c>
      <c r="K74" s="57">
        <v>325.27666666666664</v>
      </c>
      <c r="L74" s="15">
        <v>1951.6599999999999</v>
      </c>
      <c r="M74" s="15">
        <v>7.6086956521739131</v>
      </c>
      <c r="N74" s="15">
        <v>352.59428571428572</v>
      </c>
      <c r="O74" s="15">
        <v>2682.782608695652</v>
      </c>
      <c r="P74" s="15">
        <v>-1.6086956521739131</v>
      </c>
      <c r="Q74" s="15">
        <v>-27.317619047619075</v>
      </c>
      <c r="R74" s="15">
        <v>-731.12260869565216</v>
      </c>
      <c r="S74" s="15">
        <v>-163.90571428571445</v>
      </c>
      <c r="T74" s="15">
        <v>-567.21689440993794</v>
      </c>
      <c r="U74" s="17">
        <v>0.78857142857142859</v>
      </c>
      <c r="V74" s="17">
        <v>0.72747601452093869</v>
      </c>
      <c r="W74" s="17">
        <v>1.15625</v>
      </c>
      <c r="X74" s="17">
        <v>1.4489675892812806</v>
      </c>
      <c r="Y74" s="17">
        <v>0.67010309278350522</v>
      </c>
      <c r="Z74" s="17">
        <v>0.49530634801497692</v>
      </c>
      <c r="AA74" s="86"/>
      <c r="AB74" s="86"/>
    </row>
    <row r="75" spans="1:28" x14ac:dyDescent="0.25">
      <c r="A75" s="29" t="s">
        <v>145</v>
      </c>
      <c r="B75" s="21" t="s">
        <v>151</v>
      </c>
      <c r="C75" s="29" t="s">
        <v>196</v>
      </c>
      <c r="D75" s="15">
        <v>0</v>
      </c>
      <c r="E75" s="57" t="s">
        <v>364</v>
      </c>
      <c r="F75" s="15">
        <v>0</v>
      </c>
      <c r="G75" s="15">
        <v>0</v>
      </c>
      <c r="H75" s="57" t="s">
        <v>364</v>
      </c>
      <c r="I75" s="15">
        <v>0</v>
      </c>
      <c r="J75" s="15">
        <v>0</v>
      </c>
      <c r="K75" s="57" t="s">
        <v>364</v>
      </c>
      <c r="L75" s="15">
        <v>0</v>
      </c>
      <c r="M75" s="15">
        <v>4.6086956521739131</v>
      </c>
      <c r="N75" s="15">
        <v>354.33018867924528</v>
      </c>
      <c r="O75" s="15">
        <v>1633</v>
      </c>
      <c r="P75" s="15">
        <v>-4.6086956521739131</v>
      </c>
      <c r="Q75" s="15" t="s">
        <v>364</v>
      </c>
      <c r="R75" s="15">
        <v>-1633</v>
      </c>
      <c r="S75" s="15" t="s">
        <v>364</v>
      </c>
      <c r="T75" s="15">
        <v>-1633</v>
      </c>
      <c r="U75" s="17">
        <v>0</v>
      </c>
      <c r="V75" s="17">
        <v>0</v>
      </c>
      <c r="W75" s="17" t="s">
        <v>364</v>
      </c>
      <c r="X75" s="17" t="s">
        <v>364</v>
      </c>
      <c r="Y75" s="17" t="s">
        <v>364</v>
      </c>
      <c r="Z75" s="17" t="s">
        <v>364</v>
      </c>
      <c r="AA75" s="86"/>
      <c r="AB75" s="86"/>
    </row>
    <row r="76" spans="1:28" x14ac:dyDescent="0.25">
      <c r="A76" s="29" t="s">
        <v>144</v>
      </c>
      <c r="B76" s="21" t="s">
        <v>152</v>
      </c>
      <c r="C76" s="29" t="s">
        <v>197</v>
      </c>
      <c r="D76" s="15">
        <v>0</v>
      </c>
      <c r="E76" s="57" t="s">
        <v>364</v>
      </c>
      <c r="F76" s="15">
        <v>0</v>
      </c>
      <c r="G76" s="15">
        <v>0</v>
      </c>
      <c r="H76" s="57" t="s">
        <v>364</v>
      </c>
      <c r="I76" s="15">
        <v>0</v>
      </c>
      <c r="J76" s="15">
        <v>6</v>
      </c>
      <c r="K76" s="57">
        <v>187.5</v>
      </c>
      <c r="L76" s="15">
        <v>1125</v>
      </c>
      <c r="M76" s="15">
        <v>11.739130434782608</v>
      </c>
      <c r="N76" s="15">
        <v>275.48888888888894</v>
      </c>
      <c r="O76" s="15">
        <v>3234</v>
      </c>
      <c r="P76" s="15">
        <v>-5.7391304347826075</v>
      </c>
      <c r="Q76" s="15">
        <v>-87.988888888888937</v>
      </c>
      <c r="R76" s="15">
        <v>-2109</v>
      </c>
      <c r="S76" s="15">
        <v>-527.93333333333362</v>
      </c>
      <c r="T76" s="15">
        <v>-1581.0666666666666</v>
      </c>
      <c r="U76" s="17">
        <v>0.51111111111111118</v>
      </c>
      <c r="V76" s="17">
        <v>0.34786641929499074</v>
      </c>
      <c r="W76" s="17" t="s">
        <v>364</v>
      </c>
      <c r="X76" s="17" t="s">
        <v>364</v>
      </c>
      <c r="Y76" s="17" t="s">
        <v>364</v>
      </c>
      <c r="Z76" s="17" t="s">
        <v>364</v>
      </c>
      <c r="AA76" s="86"/>
      <c r="AB76" s="86"/>
    </row>
    <row r="77" spans="1:28" x14ac:dyDescent="0.25">
      <c r="A77" s="29" t="s">
        <v>144</v>
      </c>
      <c r="B77" s="21" t="s">
        <v>152</v>
      </c>
      <c r="C77" s="29" t="s">
        <v>198</v>
      </c>
      <c r="D77" s="15">
        <v>9.9130434782608692</v>
      </c>
      <c r="E77" s="57">
        <v>221.3486842105263</v>
      </c>
      <c r="F77" s="15">
        <v>2194.2391304347825</v>
      </c>
      <c r="G77" s="15">
        <v>11.74074074074074</v>
      </c>
      <c r="H77" s="57">
        <v>230.59936908517349</v>
      </c>
      <c r="I77" s="15">
        <v>2707.4074074074074</v>
      </c>
      <c r="J77" s="15">
        <v>9</v>
      </c>
      <c r="K77" s="57">
        <v>446.66666666666669</v>
      </c>
      <c r="L77" s="15">
        <v>4020</v>
      </c>
      <c r="M77" s="15">
        <v>8.1739130434782599</v>
      </c>
      <c r="N77" s="15">
        <v>275.2340425531915</v>
      </c>
      <c r="O77" s="15">
        <v>2249.7391304347825</v>
      </c>
      <c r="P77" s="15">
        <v>0.82608695652174013</v>
      </c>
      <c r="Q77" s="15">
        <v>171.43262411347519</v>
      </c>
      <c r="R77" s="15">
        <v>1770.2608695652175</v>
      </c>
      <c r="S77" s="15">
        <v>1542.8936170212767</v>
      </c>
      <c r="T77" s="15">
        <v>227.36725254394108</v>
      </c>
      <c r="U77" s="17">
        <v>1.1010638297872342</v>
      </c>
      <c r="V77" s="17">
        <v>1.7868738404452691</v>
      </c>
      <c r="W77" s="17">
        <v>-9.2105263157894704E-2</v>
      </c>
      <c r="X77" s="17">
        <v>0.83207014415217717</v>
      </c>
      <c r="Y77" s="17">
        <v>-0.2334384858044164</v>
      </c>
      <c r="Z77" s="17">
        <v>0.48481532147742817</v>
      </c>
      <c r="AA77" s="86"/>
      <c r="AB77" s="86"/>
    </row>
    <row r="78" spans="1:28" x14ac:dyDescent="0.25">
      <c r="A78" s="29" t="s">
        <v>145</v>
      </c>
      <c r="B78" s="21" t="s">
        <v>152</v>
      </c>
      <c r="C78" s="29" t="s">
        <v>199</v>
      </c>
      <c r="D78" s="15">
        <v>0</v>
      </c>
      <c r="E78" s="57" t="s">
        <v>364</v>
      </c>
      <c r="F78" s="15">
        <v>0</v>
      </c>
      <c r="G78" s="15">
        <v>0</v>
      </c>
      <c r="H78" s="57" t="s">
        <v>364</v>
      </c>
      <c r="I78" s="15">
        <v>0</v>
      </c>
      <c r="J78" s="15">
        <v>25</v>
      </c>
      <c r="K78" s="57">
        <v>191.9436</v>
      </c>
      <c r="L78" s="15">
        <v>4798.59</v>
      </c>
      <c r="M78" s="15">
        <v>27.217391304347824</v>
      </c>
      <c r="N78" s="15">
        <v>142.90894568690098</v>
      </c>
      <c r="O78" s="15">
        <v>3889.608695652174</v>
      </c>
      <c r="P78" s="15">
        <v>-2.2173913043478244</v>
      </c>
      <c r="Q78" s="15">
        <v>49.034654313099026</v>
      </c>
      <c r="R78" s="15">
        <v>908.98130434782615</v>
      </c>
      <c r="S78" s="15">
        <v>1225.8663578274757</v>
      </c>
      <c r="T78" s="15">
        <v>-316.88505347964974</v>
      </c>
      <c r="U78" s="17">
        <v>0.91853035143769979</v>
      </c>
      <c r="V78" s="17">
        <v>1.2336947943796739</v>
      </c>
      <c r="W78" s="17" t="s">
        <v>364</v>
      </c>
      <c r="X78" s="17" t="s">
        <v>364</v>
      </c>
      <c r="Y78" s="17" t="s">
        <v>364</v>
      </c>
      <c r="Z78" s="17" t="s">
        <v>364</v>
      </c>
      <c r="AA78" s="86"/>
      <c r="AB78" s="86"/>
    </row>
    <row r="79" spans="1:28" x14ac:dyDescent="0.25">
      <c r="A79" s="29" t="s">
        <v>145</v>
      </c>
      <c r="B79" s="21" t="s">
        <v>152</v>
      </c>
      <c r="C79" s="29" t="s">
        <v>200</v>
      </c>
      <c r="D79" s="15">
        <v>25.391304347826086</v>
      </c>
      <c r="E79" s="57">
        <v>130.59599315068431</v>
      </c>
      <c r="F79" s="15">
        <v>3316.0026086956364</v>
      </c>
      <c r="G79" s="15">
        <v>27.444444444444443</v>
      </c>
      <c r="H79" s="57">
        <v>132.6415249662615</v>
      </c>
      <c r="I79" s="15">
        <v>3640.2729629629544</v>
      </c>
      <c r="J79" s="15">
        <v>16</v>
      </c>
      <c r="K79" s="57">
        <v>158.72312500000001</v>
      </c>
      <c r="L79" s="15">
        <v>2539.5700000000002</v>
      </c>
      <c r="M79" s="15">
        <v>30.565217391304348</v>
      </c>
      <c r="N79" s="15">
        <v>142.97581792318636</v>
      </c>
      <c r="O79" s="15">
        <v>4370.086956521739</v>
      </c>
      <c r="P79" s="15">
        <v>-14.565217391304348</v>
      </c>
      <c r="Q79" s="15">
        <v>15.747307076813655</v>
      </c>
      <c r="R79" s="15">
        <v>-1830.5169565217388</v>
      </c>
      <c r="S79" s="15">
        <v>251.95691322901848</v>
      </c>
      <c r="T79" s="15">
        <v>-2082.4738697507578</v>
      </c>
      <c r="U79" s="17">
        <v>0.5234708392603129</v>
      </c>
      <c r="V79" s="17">
        <v>0.5811257362304999</v>
      </c>
      <c r="W79" s="17">
        <v>-0.36986301369863012</v>
      </c>
      <c r="X79" s="17">
        <v>-0.2341471646191042</v>
      </c>
      <c r="Y79" s="17">
        <v>-0.41700404858299595</v>
      </c>
      <c r="Z79" s="17">
        <v>-0.30236824934882106</v>
      </c>
      <c r="AA79" s="86"/>
      <c r="AB79" s="86"/>
    </row>
    <row r="80" spans="1:28" x14ac:dyDescent="0.25">
      <c r="A80" s="29" t="s">
        <v>145</v>
      </c>
      <c r="B80" s="21" t="s">
        <v>154</v>
      </c>
      <c r="C80" s="29" t="s">
        <v>201</v>
      </c>
      <c r="D80" s="15">
        <v>7.1304347826086953</v>
      </c>
      <c r="E80" s="57">
        <v>746.51341463414667</v>
      </c>
      <c r="F80" s="15">
        <v>5322.9652173913064</v>
      </c>
      <c r="G80" s="15">
        <v>8.4444444444444446</v>
      </c>
      <c r="H80" s="57">
        <v>568.72162280701752</v>
      </c>
      <c r="I80" s="15">
        <v>4802.5381481481481</v>
      </c>
      <c r="J80" s="15">
        <v>0</v>
      </c>
      <c r="K80" s="57" t="s">
        <v>364</v>
      </c>
      <c r="L80" s="15">
        <v>0</v>
      </c>
      <c r="M80" s="15" t="s">
        <v>364</v>
      </c>
      <c r="N80" s="15" t="s">
        <v>364</v>
      </c>
      <c r="O80" s="15" t="s">
        <v>364</v>
      </c>
      <c r="P80" s="15" t="s">
        <v>364</v>
      </c>
      <c r="Q80" s="15" t="s">
        <v>364</v>
      </c>
      <c r="R80" s="15" t="s">
        <v>364</v>
      </c>
      <c r="S80" s="15" t="s">
        <v>364</v>
      </c>
      <c r="T80" s="15" t="s">
        <v>364</v>
      </c>
      <c r="U80" s="17" t="s">
        <v>364</v>
      </c>
      <c r="V80" s="17" t="s">
        <v>364</v>
      </c>
      <c r="W80" s="17">
        <v>-1</v>
      </c>
      <c r="X80" s="17">
        <v>-1</v>
      </c>
      <c r="Y80" s="17">
        <v>-1</v>
      </c>
      <c r="Z80" s="17">
        <v>-1</v>
      </c>
      <c r="AA80" s="86"/>
      <c r="AB80" s="86"/>
    </row>
    <row r="81" spans="1:28" x14ac:dyDescent="0.25">
      <c r="A81" s="29" t="s">
        <v>145</v>
      </c>
      <c r="B81" s="21" t="s">
        <v>154</v>
      </c>
      <c r="C81" s="29" t="s">
        <v>202</v>
      </c>
      <c r="D81" s="15">
        <v>2.4347826086956523</v>
      </c>
      <c r="E81" s="57">
        <v>684.19732142857117</v>
      </c>
      <c r="F81" s="15">
        <v>1665.8717391304342</v>
      </c>
      <c r="G81" s="15">
        <v>4.1111111111111107</v>
      </c>
      <c r="H81" s="57">
        <v>576.88648648648643</v>
      </c>
      <c r="I81" s="15">
        <v>2371.6444444444442</v>
      </c>
      <c r="J81" s="15">
        <v>0</v>
      </c>
      <c r="K81" s="57" t="s">
        <v>364</v>
      </c>
      <c r="L81" s="15">
        <v>0</v>
      </c>
      <c r="M81" s="15" t="s">
        <v>364</v>
      </c>
      <c r="N81" s="15" t="s">
        <v>364</v>
      </c>
      <c r="O81" s="15" t="s">
        <v>364</v>
      </c>
      <c r="P81" s="15" t="s">
        <v>364</v>
      </c>
      <c r="Q81" s="15" t="s">
        <v>364</v>
      </c>
      <c r="R81" s="15" t="s">
        <v>364</v>
      </c>
      <c r="S81" s="15" t="s">
        <v>364</v>
      </c>
      <c r="T81" s="15" t="s">
        <v>364</v>
      </c>
      <c r="U81" s="17" t="s">
        <v>364</v>
      </c>
      <c r="V81" s="17" t="s">
        <v>364</v>
      </c>
      <c r="W81" s="17">
        <v>-1</v>
      </c>
      <c r="X81" s="17">
        <v>-1</v>
      </c>
      <c r="Y81" s="17">
        <v>-1</v>
      </c>
      <c r="Z81" s="17">
        <v>-1</v>
      </c>
      <c r="AA81" s="86"/>
      <c r="AB81" s="86"/>
    </row>
    <row r="82" spans="1:28" x14ac:dyDescent="0.25">
      <c r="A82" s="29" t="s">
        <v>145</v>
      </c>
      <c r="B82" s="21" t="s">
        <v>148</v>
      </c>
      <c r="C82" s="29" t="s">
        <v>203</v>
      </c>
      <c r="D82" s="15">
        <v>1.3043478260869565</v>
      </c>
      <c r="E82" s="57">
        <v>186.57</v>
      </c>
      <c r="F82" s="15">
        <v>243.35217391304349</v>
      </c>
      <c r="G82" s="15">
        <v>3.1111111111111107</v>
      </c>
      <c r="H82" s="57">
        <v>435.22321428571428</v>
      </c>
      <c r="I82" s="15">
        <v>1354.0277777777776</v>
      </c>
      <c r="J82" s="15">
        <v>3</v>
      </c>
      <c r="K82" s="57">
        <v>0</v>
      </c>
      <c r="L82" s="15">
        <v>0</v>
      </c>
      <c r="M82" s="15" t="s">
        <v>364</v>
      </c>
      <c r="N82" s="15" t="s">
        <v>364</v>
      </c>
      <c r="O82" s="15" t="s">
        <v>364</v>
      </c>
      <c r="P82" s="15" t="s">
        <v>364</v>
      </c>
      <c r="Q82" s="15" t="s">
        <v>364</v>
      </c>
      <c r="R82" s="15" t="s">
        <v>364</v>
      </c>
      <c r="S82" s="15" t="s">
        <v>364</v>
      </c>
      <c r="T82" s="15" t="s">
        <v>364</v>
      </c>
      <c r="U82" s="17" t="s">
        <v>364</v>
      </c>
      <c r="V82" s="17" t="s">
        <v>364</v>
      </c>
      <c r="W82" s="17">
        <v>1.3</v>
      </c>
      <c r="X82" s="17">
        <v>-1</v>
      </c>
      <c r="Y82" s="17">
        <v>-3.5714285714285594E-2</v>
      </c>
      <c r="Z82" s="17">
        <v>-1</v>
      </c>
      <c r="AA82" s="86"/>
      <c r="AB82" s="86"/>
    </row>
    <row r="83" spans="1:28" x14ac:dyDescent="0.25">
      <c r="A83" s="29" t="s">
        <v>145</v>
      </c>
      <c r="B83" s="21" t="s">
        <v>153</v>
      </c>
      <c r="C83" s="29" t="s">
        <v>204</v>
      </c>
      <c r="D83" s="15">
        <v>0</v>
      </c>
      <c r="E83" s="57" t="s">
        <v>364</v>
      </c>
      <c r="F83" s="15">
        <v>836.19478260869437</v>
      </c>
      <c r="G83" s="15">
        <v>0</v>
      </c>
      <c r="H83" s="57" t="s">
        <v>364</v>
      </c>
      <c r="I83" s="15">
        <v>912.20925925925962</v>
      </c>
      <c r="J83" s="15">
        <v>0</v>
      </c>
      <c r="K83" s="57" t="s">
        <v>364</v>
      </c>
      <c r="L83" s="15">
        <v>733.19999999999993</v>
      </c>
      <c r="M83" s="15" t="s">
        <v>364</v>
      </c>
      <c r="N83" s="15" t="s">
        <v>364</v>
      </c>
      <c r="O83" s="15" t="s">
        <v>364</v>
      </c>
      <c r="P83" s="15" t="s">
        <v>364</v>
      </c>
      <c r="Q83" s="15" t="s">
        <v>364</v>
      </c>
      <c r="R83" s="15" t="s">
        <v>364</v>
      </c>
      <c r="S83" s="15" t="s">
        <v>364</v>
      </c>
      <c r="T83" s="15" t="s">
        <v>364</v>
      </c>
      <c r="U83" s="17" t="s">
        <v>364</v>
      </c>
      <c r="V83" s="17" t="s">
        <v>364</v>
      </c>
      <c r="W83" s="17" t="s">
        <v>364</v>
      </c>
      <c r="X83" s="17">
        <v>-0.12317080272538829</v>
      </c>
      <c r="Y83" s="17" t="s">
        <v>364</v>
      </c>
      <c r="Z83" s="17">
        <v>-0.19623705574378889</v>
      </c>
    </row>
    <row r="84" spans="1:28" x14ac:dyDescent="0.25">
      <c r="A84" s="29" t="s">
        <v>145</v>
      </c>
      <c r="B84" s="21" t="s">
        <v>154</v>
      </c>
      <c r="C84" s="29" t="s">
        <v>205</v>
      </c>
      <c r="D84" s="15">
        <v>0</v>
      </c>
      <c r="E84" s="57" t="s">
        <v>364</v>
      </c>
      <c r="F84" s="15">
        <v>0</v>
      </c>
      <c r="G84" s="15">
        <v>0</v>
      </c>
      <c r="H84" s="57" t="s">
        <v>364</v>
      </c>
      <c r="I84" s="15">
        <v>0</v>
      </c>
      <c r="J84" s="15">
        <v>11</v>
      </c>
      <c r="K84" s="57">
        <v>225.99909090909088</v>
      </c>
      <c r="L84" s="15">
        <v>2485.9899999999998</v>
      </c>
      <c r="M84" s="15" t="s">
        <v>364</v>
      </c>
      <c r="N84" s="15" t="s">
        <v>364</v>
      </c>
      <c r="O84" s="15" t="s">
        <v>364</v>
      </c>
      <c r="P84" s="15" t="s">
        <v>364</v>
      </c>
      <c r="Q84" s="15" t="s">
        <v>364</v>
      </c>
      <c r="R84" s="15" t="s">
        <v>364</v>
      </c>
      <c r="S84" s="15" t="s">
        <v>364</v>
      </c>
      <c r="T84" s="15" t="s">
        <v>364</v>
      </c>
      <c r="U84" s="17" t="s">
        <v>364</v>
      </c>
      <c r="V84" s="17" t="s">
        <v>364</v>
      </c>
      <c r="W84" s="17" t="s">
        <v>364</v>
      </c>
      <c r="X84" s="17" t="s">
        <v>364</v>
      </c>
      <c r="Y84" s="17" t="s">
        <v>364</v>
      </c>
      <c r="Z84" s="17" t="s">
        <v>364</v>
      </c>
    </row>
    <row r="85" spans="1:28" x14ac:dyDescent="0.25">
      <c r="A85" s="29" t="s">
        <v>145</v>
      </c>
      <c r="B85" s="21" t="s">
        <v>219</v>
      </c>
      <c r="C85" s="29" t="s">
        <v>206</v>
      </c>
      <c r="D85" s="15">
        <v>7.8695652173913038</v>
      </c>
      <c r="E85" s="57">
        <v>722.25740331491716</v>
      </c>
      <c r="F85" s="15">
        <v>5683.8517391304349</v>
      </c>
      <c r="G85" s="15">
        <v>8.3703703703703702</v>
      </c>
      <c r="H85" s="57">
        <v>594.26933628318579</v>
      </c>
      <c r="I85" s="15">
        <v>4974.2544444444438</v>
      </c>
      <c r="J85" s="15">
        <v>0</v>
      </c>
      <c r="K85" s="57" t="s">
        <v>364</v>
      </c>
      <c r="L85" s="15">
        <v>0</v>
      </c>
      <c r="M85" s="15" t="s">
        <v>364</v>
      </c>
      <c r="N85" s="15" t="s">
        <v>364</v>
      </c>
      <c r="O85" s="15" t="s">
        <v>364</v>
      </c>
      <c r="P85" s="15" t="s">
        <v>364</v>
      </c>
      <c r="Q85" s="15" t="s">
        <v>364</v>
      </c>
      <c r="R85" s="15" t="s">
        <v>364</v>
      </c>
      <c r="S85" s="15" t="s">
        <v>364</v>
      </c>
      <c r="T85" s="15" t="s">
        <v>364</v>
      </c>
      <c r="U85" s="17" t="s">
        <v>364</v>
      </c>
      <c r="V85" s="17" t="s">
        <v>364</v>
      </c>
      <c r="W85" s="17">
        <v>-1</v>
      </c>
      <c r="X85" s="17">
        <v>-1</v>
      </c>
      <c r="Y85" s="17">
        <v>-1</v>
      </c>
      <c r="Z85" s="17">
        <v>-1</v>
      </c>
    </row>
    <row r="86" spans="1:28" x14ac:dyDescent="0.25">
      <c r="A86" s="29" t="s">
        <v>145</v>
      </c>
      <c r="B86" s="21" t="s">
        <v>211</v>
      </c>
      <c r="C86" s="29" t="s">
        <v>721</v>
      </c>
      <c r="D86" s="15">
        <v>0</v>
      </c>
      <c r="E86" s="57" t="s">
        <v>364</v>
      </c>
      <c r="F86" s="15">
        <v>0</v>
      </c>
      <c r="G86" s="15">
        <v>0</v>
      </c>
      <c r="H86" s="57" t="s">
        <v>364</v>
      </c>
      <c r="I86" s="15">
        <v>0</v>
      </c>
      <c r="J86" s="15">
        <v>0</v>
      </c>
      <c r="K86" s="57" t="s">
        <v>364</v>
      </c>
      <c r="L86" s="15">
        <v>0</v>
      </c>
      <c r="M86" s="15" t="s">
        <v>364</v>
      </c>
      <c r="N86" s="15" t="s">
        <v>364</v>
      </c>
      <c r="O86" s="15" t="s">
        <v>364</v>
      </c>
      <c r="P86" s="15" t="s">
        <v>364</v>
      </c>
      <c r="Q86" s="15" t="s">
        <v>364</v>
      </c>
      <c r="R86" s="15" t="s">
        <v>364</v>
      </c>
      <c r="S86" s="15" t="s">
        <v>364</v>
      </c>
      <c r="T86" s="15" t="s">
        <v>364</v>
      </c>
      <c r="U86" s="17" t="s">
        <v>364</v>
      </c>
      <c r="V86" s="17" t="s">
        <v>364</v>
      </c>
      <c r="W86" s="17" t="s">
        <v>364</v>
      </c>
      <c r="X86" s="17" t="s">
        <v>364</v>
      </c>
      <c r="Y86" s="17" t="s">
        <v>364</v>
      </c>
      <c r="Z86" s="17" t="s">
        <v>364</v>
      </c>
    </row>
  </sheetData>
  <mergeCells count="51">
    <mergeCell ref="W32:X32"/>
    <mergeCell ref="Y32:Z32"/>
    <mergeCell ref="D32:F32"/>
    <mergeCell ref="G32:I32"/>
    <mergeCell ref="J32:L32"/>
    <mergeCell ref="M32:O32"/>
    <mergeCell ref="P32:T32"/>
    <mergeCell ref="U32:V32"/>
    <mergeCell ref="AA16:AB16"/>
    <mergeCell ref="AC16:AD16"/>
    <mergeCell ref="AE16:AF16"/>
    <mergeCell ref="D31:F31"/>
    <mergeCell ref="G31:I31"/>
    <mergeCell ref="J31:L31"/>
    <mergeCell ref="M31:O31"/>
    <mergeCell ref="P31:T31"/>
    <mergeCell ref="S16:U16"/>
    <mergeCell ref="V16:Z16"/>
    <mergeCell ref="D16:F16"/>
    <mergeCell ref="G16:I16"/>
    <mergeCell ref="J16:L16"/>
    <mergeCell ref="M16:O16"/>
    <mergeCell ref="P16:R16"/>
    <mergeCell ref="D15:F15"/>
    <mergeCell ref="G15:I15"/>
    <mergeCell ref="J15:L15"/>
    <mergeCell ref="M15:O15"/>
    <mergeCell ref="P15:R15"/>
    <mergeCell ref="AA8:AB8"/>
    <mergeCell ref="AC8:AD8"/>
    <mergeCell ref="AE8:AF8"/>
    <mergeCell ref="AG8:AH8"/>
    <mergeCell ref="S15:U15"/>
    <mergeCell ref="V15:Z15"/>
    <mergeCell ref="P7:R7"/>
    <mergeCell ref="S7:U7"/>
    <mergeCell ref="V7:Z7"/>
    <mergeCell ref="C8:C9"/>
    <mergeCell ref="D8:F8"/>
    <mergeCell ref="G8:I8"/>
    <mergeCell ref="J8:L8"/>
    <mergeCell ref="M8:O8"/>
    <mergeCell ref="P8:R8"/>
    <mergeCell ref="S8:U8"/>
    <mergeCell ref="M7:O7"/>
    <mergeCell ref="V8:Z8"/>
    <mergeCell ref="C1:C2"/>
    <mergeCell ref="D1:H2"/>
    <mergeCell ref="D7:F7"/>
    <mergeCell ref="G7:I7"/>
    <mergeCell ref="J7:L7"/>
  </mergeCells>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033BA-1EF1-446D-8BA0-4FC19737D329}">
  <sheetPr codeName="Sheet6">
    <outlinePr summaryBelow="0"/>
  </sheetPr>
  <dimension ref="A1:AM303"/>
  <sheetViews>
    <sheetView showGridLines="0" zoomScale="90" zoomScaleNormal="90" workbookViewId="0"/>
  </sheetViews>
  <sheetFormatPr defaultRowHeight="15" outlineLevelRow="1" x14ac:dyDescent="0.25"/>
  <cols>
    <col min="1" max="1" width="4.5703125" bestFit="1" customWidth="1"/>
    <col min="2" max="2" width="17.85546875" customWidth="1"/>
    <col min="3" max="3" width="39.5703125" style="3" bestFit="1" customWidth="1"/>
    <col min="4" max="4" width="5.85546875" style="3" bestFit="1" customWidth="1"/>
    <col min="5" max="5" width="6.42578125" style="3" bestFit="1" customWidth="1"/>
    <col min="6" max="6" width="9.140625" style="3" bestFit="1" customWidth="1"/>
    <col min="7" max="7" width="5.85546875" style="3" bestFit="1" customWidth="1"/>
    <col min="8" max="8" width="6.42578125" style="3" bestFit="1" customWidth="1"/>
    <col min="9" max="9" width="9.140625" style="3" bestFit="1" customWidth="1"/>
    <col min="10" max="10" width="5.85546875" style="3" bestFit="1" customWidth="1"/>
    <col min="11" max="11" width="7.28515625" style="3" bestFit="1" customWidth="1"/>
    <col min="12" max="12" width="9.7109375" style="3" bestFit="1" customWidth="1"/>
    <col min="13" max="13" width="8.85546875" style="3" bestFit="1" customWidth="1"/>
    <col min="14" max="14" width="9.7109375" style="3" bestFit="1" customWidth="1"/>
    <col min="15" max="15" width="9.140625" style="3" bestFit="1" customWidth="1"/>
    <col min="16" max="16" width="6.42578125" style="3" bestFit="1" customWidth="1"/>
    <col min="17" max="17" width="9.140625" style="3" bestFit="1" customWidth="1"/>
    <col min="18" max="18" width="7.85546875" style="3" bestFit="1" customWidth="1"/>
    <col min="19" max="19" width="11.28515625" style="3" bestFit="1" customWidth="1"/>
    <col min="20" max="20" width="12.5703125" style="3" bestFit="1" customWidth="1"/>
    <col min="21" max="22" width="10" style="3" customWidth="1"/>
    <col min="23" max="24" width="9.140625" style="3" bestFit="1" customWidth="1"/>
    <col min="25" max="25" width="12" style="3" bestFit="1" customWidth="1"/>
    <col min="26" max="26" width="13.42578125" style="3" bestFit="1" customWidth="1"/>
    <col min="27" max="27" width="12" style="3" bestFit="1" customWidth="1"/>
    <col min="28" max="28" width="13.42578125" style="3" bestFit="1" customWidth="1"/>
    <col min="29" max="30" width="8.7109375" customWidth="1"/>
    <col min="31" max="31" width="7.5703125" bestFit="1" customWidth="1"/>
    <col min="32" max="32" width="7.85546875" bestFit="1" customWidth="1"/>
    <col min="33" max="33" width="7.5703125" bestFit="1" customWidth="1"/>
    <col min="34" max="34" width="7.85546875" bestFit="1" customWidth="1"/>
    <col min="35" max="35" width="4.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s>
  <sheetData>
    <row r="1" spans="3:34" ht="15" customHeight="1" x14ac:dyDescent="0.25">
      <c r="C1" s="112" t="s">
        <v>0</v>
      </c>
      <c r="D1" s="114">
        <v>44698</v>
      </c>
      <c r="E1" s="115"/>
      <c r="F1" s="115"/>
      <c r="G1" s="115"/>
      <c r="H1" s="115"/>
      <c r="I1"/>
      <c r="J1" s="1"/>
      <c r="K1" s="89">
        <v>0.47826086956521741</v>
      </c>
      <c r="L1" s="2"/>
      <c r="M1" s="2"/>
      <c r="AC1" s="3"/>
      <c r="AD1" s="3"/>
      <c r="AE1" s="3"/>
    </row>
    <row r="2" spans="3:34" ht="24.75" customHeight="1" x14ac:dyDescent="0.25">
      <c r="C2" s="113"/>
      <c r="D2" s="114"/>
      <c r="E2" s="115"/>
      <c r="F2" s="115"/>
      <c r="G2" s="115"/>
      <c r="H2" s="115"/>
      <c r="I2"/>
      <c r="J2"/>
      <c r="AC2" s="3"/>
      <c r="AD2" s="3"/>
      <c r="AE2" s="3"/>
    </row>
    <row r="3" spans="3:34" x14ac:dyDescent="0.25">
      <c r="C3"/>
      <c r="D3"/>
      <c r="E3"/>
      <c r="F3"/>
      <c r="G3"/>
      <c r="H3"/>
      <c r="I3"/>
      <c r="J3"/>
      <c r="K3"/>
      <c r="L3"/>
      <c r="M3"/>
      <c r="N3"/>
      <c r="O3"/>
      <c r="P3"/>
      <c r="Q3"/>
      <c r="R3"/>
      <c r="S3"/>
      <c r="T3"/>
      <c r="U3"/>
      <c r="V3"/>
      <c r="W3"/>
      <c r="X3"/>
      <c r="Y3"/>
      <c r="Z3"/>
      <c r="AA3"/>
      <c r="AB3"/>
    </row>
    <row r="4" spans="3:34" x14ac:dyDescent="0.25">
      <c r="C4"/>
      <c r="D4"/>
      <c r="E4"/>
      <c r="F4"/>
      <c r="G4"/>
      <c r="H4"/>
      <c r="I4"/>
      <c r="J4"/>
      <c r="K4"/>
      <c r="L4"/>
      <c r="M4"/>
      <c r="N4"/>
      <c r="O4"/>
      <c r="P4"/>
      <c r="Q4"/>
      <c r="R4"/>
      <c r="S4"/>
      <c r="T4"/>
      <c r="U4"/>
      <c r="V4"/>
      <c r="W4"/>
      <c r="X4"/>
      <c r="Y4"/>
      <c r="Z4"/>
      <c r="AA4"/>
      <c r="AB4"/>
    </row>
    <row r="5" spans="3:34" x14ac:dyDescent="0.25">
      <c r="C5"/>
      <c r="D5"/>
      <c r="E5"/>
      <c r="F5"/>
      <c r="G5"/>
      <c r="H5"/>
      <c r="I5"/>
      <c r="J5"/>
      <c r="K5"/>
      <c r="L5"/>
      <c r="M5"/>
      <c r="N5"/>
      <c r="O5"/>
      <c r="P5"/>
      <c r="Q5"/>
      <c r="R5"/>
      <c r="S5"/>
      <c r="T5"/>
      <c r="U5"/>
      <c r="V5"/>
      <c r="W5"/>
      <c r="X5"/>
      <c r="Y5"/>
      <c r="Z5"/>
      <c r="AA5"/>
      <c r="AB5"/>
    </row>
    <row r="6" spans="3:34" x14ac:dyDescent="0.25">
      <c r="C6" s="33"/>
      <c r="D6" s="34"/>
      <c r="E6" s="34"/>
      <c r="F6" s="34"/>
      <c r="G6" s="34"/>
      <c r="N6" s="35"/>
      <c r="AC6" s="3"/>
      <c r="AD6" s="3"/>
      <c r="AE6" s="3"/>
    </row>
    <row r="7" spans="3:34" x14ac:dyDescent="0.25">
      <c r="D7" s="118" t="s">
        <v>355</v>
      </c>
      <c r="E7" s="118"/>
      <c r="F7" s="118"/>
      <c r="G7" s="118" t="s">
        <v>356</v>
      </c>
      <c r="H7" s="118"/>
      <c r="I7" s="118"/>
      <c r="J7" s="119" t="s">
        <v>357</v>
      </c>
      <c r="K7" s="120"/>
      <c r="L7" s="120"/>
      <c r="M7" s="120"/>
      <c r="N7" s="121"/>
      <c r="O7" s="120" t="s">
        <v>358</v>
      </c>
      <c r="P7" s="120"/>
      <c r="Q7" s="120"/>
      <c r="R7" s="122" t="s">
        <v>1</v>
      </c>
      <c r="S7" s="123"/>
      <c r="T7" s="123"/>
      <c r="U7" s="122" t="s">
        <v>2</v>
      </c>
      <c r="V7" s="123"/>
      <c r="W7" s="123"/>
      <c r="X7" s="122" t="s">
        <v>3</v>
      </c>
      <c r="Y7" s="123"/>
      <c r="Z7" s="123"/>
      <c r="AA7" s="123"/>
      <c r="AB7" s="123"/>
      <c r="AC7" s="3"/>
      <c r="AD7" s="3"/>
    </row>
    <row r="8" spans="3:34" x14ac:dyDescent="0.25">
      <c r="C8" s="116" t="s">
        <v>4</v>
      </c>
      <c r="D8" s="124" t="s">
        <v>20</v>
      </c>
      <c r="E8" s="125"/>
      <c r="F8" s="126"/>
      <c r="G8" s="124" t="s">
        <v>5</v>
      </c>
      <c r="H8" s="125"/>
      <c r="I8" s="126"/>
      <c r="J8" s="124" t="s">
        <v>17</v>
      </c>
      <c r="K8" s="125"/>
      <c r="L8" s="125"/>
      <c r="M8" s="125"/>
      <c r="N8" s="126"/>
      <c r="O8" s="125" t="s">
        <v>17</v>
      </c>
      <c r="P8" s="125"/>
      <c r="Q8" s="125"/>
      <c r="R8" s="124" t="s">
        <v>17</v>
      </c>
      <c r="S8" s="125"/>
      <c r="T8" s="126"/>
      <c r="U8" s="124" t="s">
        <v>17</v>
      </c>
      <c r="V8" s="125"/>
      <c r="W8" s="125"/>
      <c r="X8" s="124" t="s">
        <v>17</v>
      </c>
      <c r="Y8" s="125"/>
      <c r="Z8" s="125"/>
      <c r="AA8" s="125"/>
      <c r="AB8" s="126"/>
      <c r="AC8" s="127" t="s">
        <v>6</v>
      </c>
      <c r="AD8" s="128"/>
      <c r="AE8" s="127" t="s">
        <v>7</v>
      </c>
      <c r="AF8" s="129"/>
      <c r="AG8" s="127" t="s">
        <v>8</v>
      </c>
      <c r="AH8" s="129"/>
    </row>
    <row r="9" spans="3:34" x14ac:dyDescent="0.25">
      <c r="C9" s="117"/>
      <c r="D9" s="4" t="s">
        <v>9</v>
      </c>
      <c r="E9" s="4" t="s">
        <v>10</v>
      </c>
      <c r="F9" s="4" t="s">
        <v>11</v>
      </c>
      <c r="G9" s="4" t="s">
        <v>9</v>
      </c>
      <c r="H9" s="4" t="s">
        <v>10</v>
      </c>
      <c r="I9" s="4" t="s">
        <v>11</v>
      </c>
      <c r="J9" s="4" t="s">
        <v>9</v>
      </c>
      <c r="K9" s="4" t="s">
        <v>10</v>
      </c>
      <c r="L9" s="4" t="s">
        <v>11</v>
      </c>
      <c r="M9" s="4" t="s">
        <v>12</v>
      </c>
      <c r="N9" s="4" t="s">
        <v>13</v>
      </c>
      <c r="O9" s="4" t="s">
        <v>9</v>
      </c>
      <c r="P9" s="4" t="s">
        <v>10</v>
      </c>
      <c r="Q9" s="4" t="s">
        <v>11</v>
      </c>
      <c r="R9" s="4" t="s">
        <v>9</v>
      </c>
      <c r="S9" s="4" t="s">
        <v>10</v>
      </c>
      <c r="T9" s="4" t="s">
        <v>11</v>
      </c>
      <c r="U9" s="4" t="s">
        <v>9</v>
      </c>
      <c r="V9" s="4" t="s">
        <v>10</v>
      </c>
      <c r="W9" s="4" t="s">
        <v>11</v>
      </c>
      <c r="X9" s="4" t="s">
        <v>9</v>
      </c>
      <c r="Y9" s="4" t="s">
        <v>10</v>
      </c>
      <c r="Z9" s="4" t="s">
        <v>11</v>
      </c>
      <c r="AA9" s="4" t="s">
        <v>14</v>
      </c>
      <c r="AB9" s="4" t="s">
        <v>15</v>
      </c>
      <c r="AC9" s="4" t="s">
        <v>16</v>
      </c>
      <c r="AD9" s="4" t="s">
        <v>11</v>
      </c>
      <c r="AE9" s="4" t="s">
        <v>16</v>
      </c>
      <c r="AF9" s="4" t="s">
        <v>11</v>
      </c>
      <c r="AG9" s="4" t="s">
        <v>16</v>
      </c>
      <c r="AH9" s="4" t="s">
        <v>11</v>
      </c>
    </row>
    <row r="10" spans="3:34" collapsed="1" x14ac:dyDescent="0.25">
      <c r="C10" s="5" t="s">
        <v>207</v>
      </c>
      <c r="D10" s="6">
        <v>1378.3478260869565</v>
      </c>
      <c r="E10" s="53">
        <v>406.56680083275484</v>
      </c>
      <c r="F10" s="6">
        <v>560390.46608695621</v>
      </c>
      <c r="G10" s="6">
        <v>1863.7826086956522</v>
      </c>
      <c r="H10" s="53">
        <v>385.50588914549627</v>
      </c>
      <c r="I10" s="6">
        <v>718499.17173912993</v>
      </c>
      <c r="J10" s="6">
        <v>1316</v>
      </c>
      <c r="K10" s="53">
        <v>409.67395896656524</v>
      </c>
      <c r="L10" s="6">
        <v>539130.92999999982</v>
      </c>
      <c r="M10" s="7">
        <v>0.42476354256233878</v>
      </c>
      <c r="N10" s="7">
        <v>0.57523645743766127</v>
      </c>
      <c r="O10" s="6">
        <v>1970.7615731812311</v>
      </c>
      <c r="P10" s="53">
        <v>483.05350089336582</v>
      </c>
      <c r="Q10" s="6">
        <v>951983.27735131083</v>
      </c>
      <c r="R10" s="6">
        <v>2751.6363636363635</v>
      </c>
      <c r="S10" s="6">
        <v>409.67395896656518</v>
      </c>
      <c r="T10" s="6">
        <v>1127273.7627272722</v>
      </c>
      <c r="U10" s="6">
        <v>3270.985552666667</v>
      </c>
      <c r="V10" s="6">
        <v>482.12666435327992</v>
      </c>
      <c r="W10" s="6">
        <v>1577029.3536549499</v>
      </c>
      <c r="X10" s="6">
        <v>-654.76157318123114</v>
      </c>
      <c r="Y10" s="6">
        <v>-73.379541926800584</v>
      </c>
      <c r="Z10" s="6">
        <v>-412852.34735131101</v>
      </c>
      <c r="AA10" s="6">
        <v>-96567.47717566957</v>
      </c>
      <c r="AB10" s="6">
        <v>-316284.87017564144</v>
      </c>
      <c r="AC10" s="8">
        <v>0.66776215748701362</v>
      </c>
      <c r="AD10" s="8">
        <v>0.56632395003829894</v>
      </c>
      <c r="AE10" s="8">
        <v>-4.5233739196265207E-2</v>
      </c>
      <c r="AF10" s="8">
        <v>-3.7937005308826099E-2</v>
      </c>
      <c r="AG10" s="8">
        <v>-0.29390906758112301</v>
      </c>
      <c r="AH10" s="8">
        <v>-0.24964293459791834</v>
      </c>
    </row>
    <row r="11" spans="3:34" s="16" customFormat="1" hidden="1" outlineLevel="1" x14ac:dyDescent="0.25">
      <c r="C11" s="37" t="s">
        <v>362</v>
      </c>
      <c r="D11" s="15">
        <v>1367.3478260869565</v>
      </c>
      <c r="E11" s="57">
        <v>408.73814970269302</v>
      </c>
      <c r="F11" s="15">
        <v>558887.22043478233</v>
      </c>
      <c r="G11" s="15">
        <v>1838.913043478261</v>
      </c>
      <c r="H11" s="57">
        <v>389.08397919375784</v>
      </c>
      <c r="I11" s="15">
        <v>715491.60434782563</v>
      </c>
      <c r="J11" s="15">
        <v>1100</v>
      </c>
      <c r="K11" s="57">
        <v>407.31052727272743</v>
      </c>
      <c r="L11" s="15">
        <v>448041.58000000019</v>
      </c>
      <c r="M11" s="22" t="s">
        <v>364</v>
      </c>
      <c r="N11" s="22" t="s">
        <v>364</v>
      </c>
      <c r="O11" s="15">
        <v>1675.1473372040464</v>
      </c>
      <c r="P11" s="57">
        <v>490.54950237310817</v>
      </c>
      <c r="Q11" s="15">
        <v>821742.69266708218</v>
      </c>
      <c r="R11" s="15">
        <v>2300</v>
      </c>
      <c r="S11" s="15">
        <v>407.31052727272743</v>
      </c>
      <c r="T11" s="15">
        <v>936814.21272727312</v>
      </c>
      <c r="U11" s="15">
        <v>2780.3377197666669</v>
      </c>
      <c r="V11" s="15">
        <v>489.60828322723819</v>
      </c>
      <c r="W11" s="15">
        <v>1361276.3777668918</v>
      </c>
      <c r="X11" s="15">
        <v>-575.14733720404638</v>
      </c>
      <c r="Y11" s="15">
        <v>-83.238975100380742</v>
      </c>
      <c r="Z11" s="15">
        <v>-373701.11266708199</v>
      </c>
      <c r="AA11" s="15">
        <v>-91562.87261041881</v>
      </c>
      <c r="AB11" s="15">
        <v>-282138.24005666317</v>
      </c>
      <c r="AC11" s="17">
        <v>0.65665865656688271</v>
      </c>
      <c r="AD11" s="17">
        <v>0.54523342160283517</v>
      </c>
      <c r="AE11" s="17">
        <v>-0.19552291010842951</v>
      </c>
      <c r="AF11" s="17">
        <v>-0.19833275190753255</v>
      </c>
      <c r="AG11" s="17">
        <v>-0.40182054616384921</v>
      </c>
      <c r="AH11" s="17">
        <v>-0.37379896943949126</v>
      </c>
    </row>
    <row r="12" spans="3:34" s="16" customFormat="1" hidden="1" outlineLevel="1" x14ac:dyDescent="0.25">
      <c r="C12" s="37" t="s">
        <v>363</v>
      </c>
      <c r="D12" s="15">
        <v>11</v>
      </c>
      <c r="E12" s="57">
        <v>136.65869565217392</v>
      </c>
      <c r="F12" s="15">
        <v>1503.2456521739132</v>
      </c>
      <c r="G12" s="15">
        <v>24.869565217391305</v>
      </c>
      <c r="H12" s="57">
        <v>120.93365384615383</v>
      </c>
      <c r="I12" s="15">
        <v>3007.5673913043474</v>
      </c>
      <c r="J12" s="15">
        <v>216</v>
      </c>
      <c r="K12" s="57">
        <v>421.70995370370372</v>
      </c>
      <c r="L12" s="15">
        <v>91089.35</v>
      </c>
      <c r="M12" s="22" t="s">
        <v>364</v>
      </c>
      <c r="N12" s="22" t="s">
        <v>364</v>
      </c>
      <c r="O12" s="15">
        <v>295.61423597718465</v>
      </c>
      <c r="P12" s="57">
        <v>440.57615917482673</v>
      </c>
      <c r="Q12" s="15">
        <v>130240.58468422889</v>
      </c>
      <c r="R12" s="15">
        <v>451.63636363636363</v>
      </c>
      <c r="S12" s="15">
        <v>421.70995370370377</v>
      </c>
      <c r="T12" s="15">
        <v>190459.55000000002</v>
      </c>
      <c r="U12" s="15">
        <v>490.64783290000003</v>
      </c>
      <c r="V12" s="15">
        <v>439.73082406751718</v>
      </c>
      <c r="W12" s="15">
        <v>215752.97588805848</v>
      </c>
      <c r="X12" s="15">
        <v>-79.614235977184649</v>
      </c>
      <c r="Y12" s="15">
        <v>-18.86620547112301</v>
      </c>
      <c r="Z12" s="15">
        <v>-39151.234684228883</v>
      </c>
      <c r="AA12" s="15">
        <v>-4075.1003817625701</v>
      </c>
      <c r="AB12" s="15">
        <v>-35076.134302466322</v>
      </c>
      <c r="AC12" s="17">
        <v>0.7306819960344223</v>
      </c>
      <c r="AD12" s="17">
        <v>0.69939297509181264</v>
      </c>
      <c r="AE12" s="17">
        <v>18.636363636363637</v>
      </c>
      <c r="AF12" s="17">
        <v>59.595119545678699</v>
      </c>
      <c r="AG12" s="17">
        <v>7.685314685314685</v>
      </c>
      <c r="AH12" s="17">
        <v>29.286719514037426</v>
      </c>
    </row>
    <row r="13" spans="3:34" collapsed="1" x14ac:dyDescent="0.25">
      <c r="C13" s="5" t="s">
        <v>208</v>
      </c>
      <c r="D13" s="6">
        <v>1569.6521739130435</v>
      </c>
      <c r="E13" s="53">
        <v>375.89283363802565</v>
      </c>
      <c r="F13" s="6">
        <v>590021.00347826094</v>
      </c>
      <c r="G13" s="6">
        <v>1824.0869565217392</v>
      </c>
      <c r="H13" s="53">
        <v>410.12994231777651</v>
      </c>
      <c r="I13" s="6">
        <v>748112.67826086946</v>
      </c>
      <c r="J13" s="6">
        <v>2373</v>
      </c>
      <c r="K13" s="53">
        <v>372.91038769490103</v>
      </c>
      <c r="L13" s="6">
        <v>884916.35000000009</v>
      </c>
      <c r="M13" s="7">
        <v>0.45692158760890611</v>
      </c>
      <c r="N13" s="7">
        <v>0.54307841239109389</v>
      </c>
      <c r="O13" s="6">
        <v>1663.1179016706194</v>
      </c>
      <c r="P13" s="53">
        <v>489.57374500176149</v>
      </c>
      <c r="Q13" s="6">
        <v>814218.85950035648</v>
      </c>
      <c r="R13" s="6">
        <v>4961.727272727273</v>
      </c>
      <c r="S13" s="6">
        <v>372.91038769490098</v>
      </c>
      <c r="T13" s="6">
        <v>1850279.6409090911</v>
      </c>
      <c r="U13" s="6">
        <v>4116.8969257425742</v>
      </c>
      <c r="V13" s="6">
        <v>483.2625993009994</v>
      </c>
      <c r="W13" s="6">
        <v>1989542.3093886499</v>
      </c>
      <c r="X13" s="6">
        <v>709.8820983293806</v>
      </c>
      <c r="Y13" s="6">
        <v>-116.66335730686046</v>
      </c>
      <c r="Z13" s="6">
        <v>70697.490499643609</v>
      </c>
      <c r="AA13" s="6">
        <v>-276842.14688917989</v>
      </c>
      <c r="AB13" s="6">
        <v>347539.63738882355</v>
      </c>
      <c r="AC13" s="8">
        <v>1.4268381078793611</v>
      </c>
      <c r="AD13" s="8">
        <v>1.0868286083953238</v>
      </c>
      <c r="AE13" s="8">
        <v>0.51179990028253275</v>
      </c>
      <c r="AF13" s="8">
        <v>0.49980482861336722</v>
      </c>
      <c r="AG13" s="8">
        <v>0.30092482242456015</v>
      </c>
      <c r="AH13" s="8">
        <v>0.1828650625961277</v>
      </c>
    </row>
    <row r="14" spans="3:34" s="16" customFormat="1" hidden="1" outlineLevel="1" x14ac:dyDescent="0.25">
      <c r="C14" s="37" t="s">
        <v>362</v>
      </c>
      <c r="D14" s="15">
        <v>1406.0869565217392</v>
      </c>
      <c r="E14" s="57">
        <v>380.31174149659864</v>
      </c>
      <c r="F14" s="15">
        <v>534751.37913043483</v>
      </c>
      <c r="G14" s="15">
        <v>1590.695652173913</v>
      </c>
      <c r="H14" s="57">
        <v>400.0754479855683</v>
      </c>
      <c r="I14" s="15">
        <v>636398.27565217402</v>
      </c>
      <c r="J14" s="15">
        <v>2156</v>
      </c>
      <c r="K14" s="57">
        <v>369.28982374768083</v>
      </c>
      <c r="L14" s="15">
        <v>796188.85999999987</v>
      </c>
      <c r="M14" s="22" t="s">
        <v>364</v>
      </c>
      <c r="N14" s="22" t="s">
        <v>364</v>
      </c>
      <c r="O14" s="15">
        <v>1413.6502164200265</v>
      </c>
      <c r="P14" s="57">
        <v>497.17092732253786</v>
      </c>
      <c r="Q14" s="15">
        <v>702825.78900725092</v>
      </c>
      <c r="R14" s="15">
        <v>4508</v>
      </c>
      <c r="S14" s="15">
        <v>369.28982374768083</v>
      </c>
      <c r="T14" s="15">
        <v>1664758.5254545452</v>
      </c>
      <c r="U14" s="15">
        <v>3499.3623868811878</v>
      </c>
      <c r="V14" s="15">
        <v>490.76184555998492</v>
      </c>
      <c r="W14" s="15">
        <v>1717353.5432690056</v>
      </c>
      <c r="X14" s="15">
        <v>742.34978357997352</v>
      </c>
      <c r="Y14" s="15">
        <v>-127.88110357485704</v>
      </c>
      <c r="Z14" s="15">
        <v>93363.070992748952</v>
      </c>
      <c r="AA14" s="15">
        <v>-275711.65930739179</v>
      </c>
      <c r="AB14" s="15">
        <v>369074.73030014074</v>
      </c>
      <c r="AC14" s="17">
        <v>1.5251297491821734</v>
      </c>
      <c r="AD14" s="17">
        <v>1.132839563449465</v>
      </c>
      <c r="AE14" s="17">
        <v>0.53333333333333321</v>
      </c>
      <c r="AF14" s="17">
        <v>0.48889538404686572</v>
      </c>
      <c r="AG14" s="17">
        <v>0.35538184004810586</v>
      </c>
      <c r="AH14" s="17">
        <v>0.25108582229276816</v>
      </c>
    </row>
    <row r="15" spans="3:34" s="16" customFormat="1" hidden="1" outlineLevel="1" x14ac:dyDescent="0.25">
      <c r="C15" s="37" t="s">
        <v>363</v>
      </c>
      <c r="D15" s="15">
        <v>163.56521739130434</v>
      </c>
      <c r="E15" s="57">
        <v>337.90573099415212</v>
      </c>
      <c r="F15" s="15">
        <v>55269.624347826095</v>
      </c>
      <c r="G15" s="15">
        <v>233.39130434782609</v>
      </c>
      <c r="H15" s="57">
        <v>478.65709016393441</v>
      </c>
      <c r="I15" s="15">
        <v>111714.40260869566</v>
      </c>
      <c r="J15" s="15">
        <v>217</v>
      </c>
      <c r="K15" s="57">
        <v>408.88244239631325</v>
      </c>
      <c r="L15" s="15">
        <v>88727.489999999976</v>
      </c>
      <c r="M15" s="22" t="s">
        <v>364</v>
      </c>
      <c r="N15" s="22" t="s">
        <v>364</v>
      </c>
      <c r="O15" s="15">
        <v>249.46768525059289</v>
      </c>
      <c r="P15" s="57">
        <v>446.52304518402968</v>
      </c>
      <c r="Q15" s="15">
        <v>111393.07049310578</v>
      </c>
      <c r="R15" s="15">
        <v>453.72727272727269</v>
      </c>
      <c r="S15" s="15">
        <v>408.88244239631325</v>
      </c>
      <c r="T15" s="15">
        <v>185521.11545454539</v>
      </c>
      <c r="U15" s="15">
        <v>617.53453886138607</v>
      </c>
      <c r="V15" s="15">
        <v>440.76687050008246</v>
      </c>
      <c r="W15" s="15">
        <v>272188.76611964469</v>
      </c>
      <c r="X15" s="15">
        <v>-32.467685250592893</v>
      </c>
      <c r="Y15" s="15">
        <v>-37.640602787716432</v>
      </c>
      <c r="Z15" s="15">
        <v>-22665.580493105808</v>
      </c>
      <c r="AA15" s="15">
        <v>-8168.0108049344653</v>
      </c>
      <c r="AB15" s="15">
        <v>-14497.569688171345</v>
      </c>
      <c r="AC15" s="17">
        <v>0.86985214049675907</v>
      </c>
      <c r="AD15" s="17">
        <v>0.79652611789250749</v>
      </c>
      <c r="AE15" s="17">
        <v>0.32668793195108986</v>
      </c>
      <c r="AF15" s="17">
        <v>0.60535721107157969</v>
      </c>
      <c r="AG15" s="17">
        <v>-7.0230998509687059E-2</v>
      </c>
      <c r="AH15" s="17">
        <v>-0.20576498707344312</v>
      </c>
    </row>
    <row r="16" spans="3:34" collapsed="1" x14ac:dyDescent="0.25">
      <c r="C16" s="5" t="s">
        <v>0</v>
      </c>
      <c r="D16" s="6">
        <v>2948</v>
      </c>
      <c r="E16" s="53">
        <v>390.2345554834522</v>
      </c>
      <c r="F16" s="6">
        <v>1150411.4695652172</v>
      </c>
      <c r="G16" s="6">
        <v>3687.8695652173915</v>
      </c>
      <c r="H16" s="53">
        <v>397.68539099987038</v>
      </c>
      <c r="I16" s="6">
        <v>1466611.8500000003</v>
      </c>
      <c r="J16" s="6">
        <v>3689</v>
      </c>
      <c r="K16" s="53">
        <v>386.02528598536185</v>
      </c>
      <c r="L16" s="6">
        <v>1424047.2799999998</v>
      </c>
      <c r="M16" s="7">
        <v>0.4453391142768659</v>
      </c>
      <c r="N16" s="7">
        <v>0.5546608857231341</v>
      </c>
      <c r="O16" s="6">
        <v>3633.8794748518499</v>
      </c>
      <c r="P16" s="53">
        <v>486.03762152119083</v>
      </c>
      <c r="Q16" s="6">
        <v>1766202.1368516672</v>
      </c>
      <c r="R16" s="6">
        <v>7713.363636363636</v>
      </c>
      <c r="S16" s="6">
        <v>386.02528598536185</v>
      </c>
      <c r="T16" s="6">
        <v>2977553.4036363633</v>
      </c>
      <c r="U16" s="6">
        <v>7387.8824784092412</v>
      </c>
      <c r="V16" s="6">
        <v>482.75966401289503</v>
      </c>
      <c r="W16" s="6">
        <v>3566571.6630435996</v>
      </c>
      <c r="X16" s="6">
        <v>55.120525148150136</v>
      </c>
      <c r="Y16" s="6">
        <v>-100.01233553582898</v>
      </c>
      <c r="Z16" s="6">
        <v>-342154.8568516674</v>
      </c>
      <c r="AA16" s="6">
        <v>-368945.50579167309</v>
      </c>
      <c r="AB16" s="6">
        <v>26790.648940005878</v>
      </c>
      <c r="AC16" s="8">
        <v>1.015168506696386</v>
      </c>
      <c r="AD16" s="8">
        <v>0.80627650158912534</v>
      </c>
      <c r="AE16" s="8">
        <v>0.25135685210312075</v>
      </c>
      <c r="AF16" s="8">
        <v>0.23785907709890938</v>
      </c>
      <c r="AG16" s="8">
        <v>3.0652786456179375E-4</v>
      </c>
      <c r="AH16" s="8">
        <v>-2.9022382438816732E-2</v>
      </c>
    </row>
    <row r="17" spans="3:39" s="16" customFormat="1" hidden="1" outlineLevel="1" x14ac:dyDescent="0.25">
      <c r="C17" s="37" t="s">
        <v>362</v>
      </c>
      <c r="D17" s="15">
        <v>2773.434782608696</v>
      </c>
      <c r="E17" s="57">
        <v>394.3264166235557</v>
      </c>
      <c r="F17" s="15">
        <v>1093638.5995652173</v>
      </c>
      <c r="G17" s="15">
        <v>3429.608695652174</v>
      </c>
      <c r="H17" s="57">
        <v>394.18196067494063</v>
      </c>
      <c r="I17" s="15">
        <v>1351889.8799999997</v>
      </c>
      <c r="J17" s="15">
        <v>3256</v>
      </c>
      <c r="K17" s="57">
        <v>382.13465601965601</v>
      </c>
      <c r="L17" s="15">
        <v>1244230.44</v>
      </c>
      <c r="M17" s="75" t="s">
        <v>364</v>
      </c>
      <c r="N17" s="75" t="s">
        <v>364</v>
      </c>
      <c r="O17" s="15">
        <v>3088.7975536240729</v>
      </c>
      <c r="P17" s="57">
        <v>493.57993044431271</v>
      </c>
      <c r="Q17" s="15">
        <v>1524568.4816743331</v>
      </c>
      <c r="R17" s="15">
        <v>6808</v>
      </c>
      <c r="S17" s="14">
        <v>382.13465601965601</v>
      </c>
      <c r="T17" s="15">
        <v>2601572.7381818183</v>
      </c>
      <c r="U17" s="15">
        <v>6279.7001066478551</v>
      </c>
      <c r="V17" s="15">
        <v>490.25110574576308</v>
      </c>
      <c r="W17" s="15">
        <v>3078629.9210358975</v>
      </c>
      <c r="X17" s="15">
        <v>167.20244637592714</v>
      </c>
      <c r="Y17" s="15">
        <v>-111.4452744246567</v>
      </c>
      <c r="Z17" s="15">
        <v>-280338.04167433316</v>
      </c>
      <c r="AA17" s="15">
        <v>-362865.81352668221</v>
      </c>
      <c r="AB17" s="15">
        <v>82527.771852349048</v>
      </c>
      <c r="AC17" s="17">
        <v>1.0541318890193205</v>
      </c>
      <c r="AD17" s="17">
        <v>0.8161197446726326</v>
      </c>
      <c r="AE17" s="17">
        <v>0.17399551646835648</v>
      </c>
      <c r="AF17" s="17">
        <v>0.13769799318957046</v>
      </c>
      <c r="AG17" s="17">
        <v>-5.0620555013247824E-2</v>
      </c>
      <c r="AH17" s="17">
        <v>-7.9636249662583272E-2</v>
      </c>
      <c r="AI17"/>
    </row>
    <row r="18" spans="3:39" s="16" customFormat="1" hidden="1" outlineLevel="1" x14ac:dyDescent="0.25">
      <c r="C18" s="37" t="s">
        <v>363</v>
      </c>
      <c r="D18" s="15">
        <v>174.56521739130434</v>
      </c>
      <c r="E18" s="57">
        <v>325.22441095890417</v>
      </c>
      <c r="F18" s="15">
        <v>56772.87000000001</v>
      </c>
      <c r="G18" s="15">
        <v>258.26086956521738</v>
      </c>
      <c r="H18" s="57">
        <v>444.20964814814818</v>
      </c>
      <c r="I18" s="15">
        <v>114721.97</v>
      </c>
      <c r="J18" s="15">
        <v>433</v>
      </c>
      <c r="K18" s="57">
        <v>415.28138568129322</v>
      </c>
      <c r="L18" s="15">
        <v>179816.83999999997</v>
      </c>
      <c r="M18" s="75" t="s">
        <v>364</v>
      </c>
      <c r="N18" s="75" t="s">
        <v>364</v>
      </c>
      <c r="O18" s="15">
        <v>545.08192122777757</v>
      </c>
      <c r="P18" s="57">
        <v>443.29787095683434</v>
      </c>
      <c r="Q18" s="15">
        <v>241633.65517733467</v>
      </c>
      <c r="R18" s="15">
        <v>905.36363636363626</v>
      </c>
      <c r="S18" s="14">
        <v>415.28138568129327</v>
      </c>
      <c r="T18" s="15">
        <v>375980.66545454541</v>
      </c>
      <c r="U18" s="15">
        <v>1108.1823717613861</v>
      </c>
      <c r="V18" s="15">
        <v>440.30816085997691</v>
      </c>
      <c r="W18" s="15">
        <v>487941.74200770311</v>
      </c>
      <c r="X18" s="15">
        <v>-112.08192122777757</v>
      </c>
      <c r="Y18" s="15">
        <v>-28.016485275541129</v>
      </c>
      <c r="Z18" s="15">
        <v>-61816.815177334705</v>
      </c>
      <c r="AA18" s="15">
        <v>-12131.138124309309</v>
      </c>
      <c r="AB18" s="15">
        <v>-49685.677053025414</v>
      </c>
      <c r="AC18" s="17">
        <v>0.79437600686642285</v>
      </c>
      <c r="AD18" s="17">
        <v>0.74417133601704855</v>
      </c>
      <c r="AE18" s="17">
        <v>1.480448318804483</v>
      </c>
      <c r="AF18" s="17">
        <v>2.1673022695523398</v>
      </c>
      <c r="AG18" s="17">
        <v>0.67659932659932664</v>
      </c>
      <c r="AH18" s="17">
        <v>0.56741415789843885</v>
      </c>
      <c r="AI18"/>
    </row>
    <row r="19" spans="3:39" x14ac:dyDescent="0.25">
      <c r="C19" s="41"/>
      <c r="D19" s="42"/>
      <c r="E19" s="43"/>
      <c r="F19" s="42"/>
      <c r="G19" s="42"/>
      <c r="H19" s="43"/>
      <c r="I19" s="42"/>
      <c r="J19" s="42"/>
      <c r="K19" s="44"/>
      <c r="L19" s="42"/>
      <c r="M19" s="42"/>
      <c r="N19" s="43"/>
      <c r="O19" s="42"/>
      <c r="P19" s="42"/>
      <c r="Q19" s="42"/>
      <c r="R19" s="43"/>
      <c r="S19" s="42"/>
      <c r="T19" s="42"/>
      <c r="U19" s="42"/>
      <c r="V19" s="42"/>
      <c r="W19" s="45"/>
      <c r="X19" s="45"/>
      <c r="Y19" s="45"/>
      <c r="Z19" s="45"/>
      <c r="AA19" s="42"/>
      <c r="AB19" s="42"/>
      <c r="AC19" s="42"/>
      <c r="AD19" s="46"/>
      <c r="AE19" s="46"/>
      <c r="AF19" s="47"/>
      <c r="AG19" s="47"/>
      <c r="AH19" s="47"/>
      <c r="AI19" s="47"/>
      <c r="AJ19" s="47"/>
      <c r="AK19" s="47"/>
      <c r="AL19" s="47"/>
      <c r="AM19" s="47"/>
    </row>
    <row r="20" spans="3:39" x14ac:dyDescent="0.25">
      <c r="C20" s="41"/>
      <c r="D20" s="68"/>
      <c r="E20" s="69"/>
      <c r="F20" s="68"/>
      <c r="G20" s="68"/>
      <c r="H20" s="69"/>
      <c r="I20" s="68"/>
      <c r="J20" s="68"/>
      <c r="K20" s="68"/>
      <c r="L20" s="68"/>
      <c r="M20" s="68"/>
      <c r="N20" s="68"/>
      <c r="O20" s="68"/>
      <c r="P20" s="68"/>
      <c r="Q20" s="68"/>
      <c r="R20" s="69"/>
      <c r="S20" s="50"/>
      <c r="T20" s="50"/>
      <c r="U20" s="70"/>
      <c r="V20" s="68"/>
      <c r="W20" s="49"/>
      <c r="X20" s="49"/>
      <c r="Y20" s="50"/>
      <c r="Z20" s="50"/>
      <c r="AA20" s="50"/>
      <c r="AB20" s="50"/>
      <c r="AC20" s="50"/>
      <c r="AD20" s="50"/>
      <c r="AE20" s="50"/>
      <c r="AF20" s="50"/>
      <c r="AG20" s="50"/>
    </row>
    <row r="21" spans="3:39" x14ac:dyDescent="0.25">
      <c r="C21" s="72">
        <v>0.47826086956521741</v>
      </c>
      <c r="D21" s="144" t="s">
        <v>30</v>
      </c>
      <c r="E21" s="144"/>
      <c r="F21" s="144"/>
      <c r="G21" s="144" t="s">
        <v>31</v>
      </c>
      <c r="H21" s="144"/>
      <c r="I21" s="144"/>
      <c r="J21" s="136" t="s">
        <v>357</v>
      </c>
      <c r="K21" s="137"/>
      <c r="L21" s="137"/>
      <c r="M21" s="136" t="s">
        <v>358</v>
      </c>
      <c r="N21" s="137"/>
      <c r="O21" s="137"/>
      <c r="P21" s="136" t="s">
        <v>32</v>
      </c>
      <c r="Q21" s="137"/>
      <c r="R21" s="138"/>
      <c r="S21" s="136" t="s">
        <v>2</v>
      </c>
      <c r="T21" s="137"/>
      <c r="U21" s="138"/>
      <c r="V21" s="110" t="s">
        <v>3</v>
      </c>
      <c r="W21" s="111"/>
      <c r="X21" s="111"/>
      <c r="Y21" s="111"/>
      <c r="Z21" s="111"/>
      <c r="AA21" s="61"/>
      <c r="AB21" s="61"/>
      <c r="AC21" s="61"/>
      <c r="AD21" s="61"/>
      <c r="AE21" s="61"/>
      <c r="AF21" s="61"/>
    </row>
    <row r="22" spans="3:39" x14ac:dyDescent="0.25">
      <c r="C22" s="61"/>
      <c r="D22" s="141" t="s">
        <v>20</v>
      </c>
      <c r="E22" s="141" t="s">
        <v>5</v>
      </c>
      <c r="F22" s="141" t="s">
        <v>5</v>
      </c>
      <c r="G22" s="141" t="s">
        <v>5</v>
      </c>
      <c r="H22" s="141" t="s">
        <v>5</v>
      </c>
      <c r="I22" s="141" t="s">
        <v>5</v>
      </c>
      <c r="J22" s="141" t="s">
        <v>17</v>
      </c>
      <c r="K22" s="141" t="s">
        <v>5</v>
      </c>
      <c r="L22" s="141" t="s">
        <v>5</v>
      </c>
      <c r="M22" s="142" t="s">
        <v>17</v>
      </c>
      <c r="N22" s="143"/>
      <c r="O22" s="143"/>
      <c r="P22" s="142" t="s">
        <v>17</v>
      </c>
      <c r="Q22" s="143"/>
      <c r="R22" s="143"/>
      <c r="S22" s="142" t="s">
        <v>17</v>
      </c>
      <c r="T22" s="143"/>
      <c r="U22" s="143"/>
      <c r="V22" s="142" t="s">
        <v>17</v>
      </c>
      <c r="W22" s="143"/>
      <c r="X22" s="143"/>
      <c r="Y22" s="143"/>
      <c r="Z22" s="150"/>
      <c r="AA22" s="139" t="s">
        <v>6</v>
      </c>
      <c r="AB22" s="149"/>
      <c r="AC22" s="139" t="s">
        <v>7</v>
      </c>
      <c r="AD22" s="140"/>
      <c r="AE22" s="139" t="s">
        <v>8</v>
      </c>
      <c r="AF22" s="140"/>
    </row>
    <row r="23" spans="3:39" x14ac:dyDescent="0.25">
      <c r="C23" s="19" t="s">
        <v>33</v>
      </c>
      <c r="D23" s="20" t="s">
        <v>9</v>
      </c>
      <c r="E23" s="20" t="s">
        <v>10</v>
      </c>
      <c r="F23" s="20" t="s">
        <v>11</v>
      </c>
      <c r="G23" s="20" t="s">
        <v>9</v>
      </c>
      <c r="H23" s="20" t="s">
        <v>10</v>
      </c>
      <c r="I23" s="20" t="s">
        <v>11</v>
      </c>
      <c r="J23" s="20" t="s">
        <v>9</v>
      </c>
      <c r="K23" s="20" t="s">
        <v>10</v>
      </c>
      <c r="L23" s="20" t="s">
        <v>11</v>
      </c>
      <c r="M23" s="20" t="s">
        <v>9</v>
      </c>
      <c r="N23" s="20" t="s">
        <v>10</v>
      </c>
      <c r="O23" s="20" t="s">
        <v>11</v>
      </c>
      <c r="P23" s="20" t="s">
        <v>9</v>
      </c>
      <c r="Q23" s="20" t="s">
        <v>10</v>
      </c>
      <c r="R23" s="20" t="s">
        <v>11</v>
      </c>
      <c r="S23" s="20" t="s">
        <v>9</v>
      </c>
      <c r="T23" s="20" t="s">
        <v>10</v>
      </c>
      <c r="U23" s="20" t="s">
        <v>11</v>
      </c>
      <c r="V23" s="20" t="s">
        <v>9</v>
      </c>
      <c r="W23" s="20" t="s">
        <v>10</v>
      </c>
      <c r="X23" s="20" t="s">
        <v>11</v>
      </c>
      <c r="Y23" s="20" t="s">
        <v>14</v>
      </c>
      <c r="Z23" s="20" t="s">
        <v>15</v>
      </c>
      <c r="AA23" s="20" t="s">
        <v>16</v>
      </c>
      <c r="AB23" s="20" t="s">
        <v>11</v>
      </c>
      <c r="AC23" s="20" t="s">
        <v>16</v>
      </c>
      <c r="AD23" s="20" t="s">
        <v>11</v>
      </c>
      <c r="AE23" s="20" t="s">
        <v>16</v>
      </c>
      <c r="AF23" s="20" t="s">
        <v>11</v>
      </c>
    </row>
    <row r="24" spans="3:39" collapsed="1" x14ac:dyDescent="0.25">
      <c r="C24" s="23" t="s">
        <v>209</v>
      </c>
      <c r="D24" s="6">
        <v>181.73913043478262</v>
      </c>
      <c r="E24" s="53">
        <v>279.04473684210524</v>
      </c>
      <c r="F24" s="6">
        <v>50713.34782608696</v>
      </c>
      <c r="G24" s="6">
        <v>116.69565217391305</v>
      </c>
      <c r="H24" s="53">
        <v>374.5860655737705</v>
      </c>
      <c r="I24" s="6">
        <v>43712.565217391304</v>
      </c>
      <c r="J24" s="6">
        <v>921</v>
      </c>
      <c r="K24" s="53">
        <v>280.75284473398477</v>
      </c>
      <c r="L24" s="6">
        <v>258573.37</v>
      </c>
      <c r="M24" s="6">
        <v>430.83173913043481</v>
      </c>
      <c r="N24" s="53">
        <v>405.17707859973575</v>
      </c>
      <c r="O24" s="6">
        <v>174563.14542891303</v>
      </c>
      <c r="P24" s="6">
        <v>1925.7272727272727</v>
      </c>
      <c r="Q24" s="10">
        <v>280.75284473398477</v>
      </c>
      <c r="R24" s="6">
        <v>540653.40999999992</v>
      </c>
      <c r="S24" s="6">
        <v>965.08742574257417</v>
      </c>
      <c r="T24" s="6">
        <v>458.89694125300099</v>
      </c>
      <c r="U24" s="6">
        <v>442875.66771499999</v>
      </c>
      <c r="V24" s="6">
        <v>490.16826086956519</v>
      </c>
      <c r="W24" s="6">
        <v>-124.42423386575098</v>
      </c>
      <c r="X24" s="6">
        <v>84010.224571086961</v>
      </c>
      <c r="Y24" s="6">
        <v>-114594.71939035665</v>
      </c>
      <c r="Z24" s="6">
        <v>198604.94396144358</v>
      </c>
      <c r="AA24" s="8">
        <v>2.1377255117250455</v>
      </c>
      <c r="AB24" s="8">
        <v>1.4812598006564808</v>
      </c>
      <c r="AC24" s="8">
        <v>4.0677033492822963</v>
      </c>
      <c r="AD24" s="8">
        <v>4.098724124598017</v>
      </c>
      <c r="AE24" s="8">
        <v>6.8923248882265273</v>
      </c>
      <c r="AF24" s="8">
        <v>4.9153099049223732</v>
      </c>
    </row>
    <row r="25" spans="3:39" s="16" customFormat="1" ht="15" hidden="1" customHeight="1" outlineLevel="1" x14ac:dyDescent="0.25">
      <c r="C25" s="23" t="s">
        <v>362</v>
      </c>
      <c r="D25" s="15">
        <v>172.65217391304347</v>
      </c>
      <c r="E25" s="57">
        <v>282.60387811634354</v>
      </c>
      <c r="F25" s="15">
        <v>48792.17391304348</v>
      </c>
      <c r="G25" s="15">
        <v>112.86956521739131</v>
      </c>
      <c r="H25" s="57">
        <v>379.94915254237287</v>
      </c>
      <c r="I25" s="15">
        <v>42884.695652173912</v>
      </c>
      <c r="J25" s="15">
        <v>667</v>
      </c>
      <c r="K25" s="57">
        <v>280.7820989505247</v>
      </c>
      <c r="L25" s="15">
        <v>187281.65999999997</v>
      </c>
      <c r="M25" s="15">
        <v>0</v>
      </c>
      <c r="N25" s="57" t="s">
        <v>364</v>
      </c>
      <c r="O25" s="15">
        <v>0</v>
      </c>
      <c r="P25" s="15">
        <v>1394.6363636363635</v>
      </c>
      <c r="Q25" s="29">
        <v>280.78209895052476</v>
      </c>
      <c r="R25" s="15">
        <v>391588.92545454542</v>
      </c>
      <c r="S25" s="15">
        <v>0</v>
      </c>
      <c r="T25" s="15" t="s">
        <v>364</v>
      </c>
      <c r="U25" s="15">
        <v>0</v>
      </c>
      <c r="V25" s="15">
        <v>667</v>
      </c>
      <c r="W25" s="15">
        <v>0</v>
      </c>
      <c r="X25" s="15">
        <v>187281.65999999997</v>
      </c>
      <c r="Y25" s="15">
        <v>0</v>
      </c>
      <c r="Z25" s="15">
        <v>0</v>
      </c>
      <c r="AA25" s="17" t="s">
        <v>364</v>
      </c>
      <c r="AB25" s="17" t="s">
        <v>364</v>
      </c>
      <c r="AC25" s="17">
        <v>2.8632586250314782</v>
      </c>
      <c r="AD25" s="17">
        <v>2.8383544937712739</v>
      </c>
      <c r="AE25" s="17">
        <v>4.9094761171032362</v>
      </c>
      <c r="AF25" s="17">
        <v>3.3670977991540503</v>
      </c>
    </row>
    <row r="26" spans="3:39" s="16" customFormat="1" ht="15" hidden="1" customHeight="1" outlineLevel="1" x14ac:dyDescent="0.25">
      <c r="C26" s="23" t="s">
        <v>363</v>
      </c>
      <c r="D26" s="15">
        <v>9.0869565217391308</v>
      </c>
      <c r="E26" s="57">
        <v>211.36842105263156</v>
      </c>
      <c r="F26" s="15">
        <v>1920.695652173913</v>
      </c>
      <c r="G26" s="15">
        <v>3.347826086956522</v>
      </c>
      <c r="H26" s="57">
        <v>247.42857142857142</v>
      </c>
      <c r="I26" s="15">
        <v>828.3478260869565</v>
      </c>
      <c r="J26" s="15">
        <v>66</v>
      </c>
      <c r="K26" s="57">
        <v>319.39530303030295</v>
      </c>
      <c r="L26" s="15">
        <v>21080.089999999997</v>
      </c>
      <c r="M26" s="15">
        <v>0</v>
      </c>
      <c r="N26" s="57" t="s">
        <v>364</v>
      </c>
      <c r="O26" s="15">
        <v>0</v>
      </c>
      <c r="P26" s="15">
        <v>138</v>
      </c>
      <c r="Q26" s="29">
        <v>319.39530303030295</v>
      </c>
      <c r="R26" s="15">
        <v>44076.551818181812</v>
      </c>
      <c r="S26" s="15">
        <v>0</v>
      </c>
      <c r="T26" s="15" t="s">
        <v>364</v>
      </c>
      <c r="U26" s="15">
        <v>0</v>
      </c>
      <c r="V26" s="15">
        <v>66</v>
      </c>
      <c r="W26" s="15">
        <v>0</v>
      </c>
      <c r="X26" s="15">
        <v>21080.089999999997</v>
      </c>
      <c r="Y26" s="15">
        <v>0</v>
      </c>
      <c r="Z26" s="15">
        <v>0</v>
      </c>
      <c r="AA26" s="17" t="s">
        <v>364</v>
      </c>
      <c r="AB26" s="17" t="s">
        <v>364</v>
      </c>
      <c r="AC26" s="17">
        <v>6.2631578947368416</v>
      </c>
      <c r="AD26" s="17">
        <v>9.9752370065193752</v>
      </c>
      <c r="AE26" s="17">
        <v>18.714285714285712</v>
      </c>
      <c r="AF26" s="17">
        <v>24.448355553222754</v>
      </c>
    </row>
    <row r="27" spans="3:39" collapsed="1" x14ac:dyDescent="0.25">
      <c r="C27" s="23" t="s">
        <v>210</v>
      </c>
      <c r="D27" s="6">
        <v>76.521739130434781</v>
      </c>
      <c r="E27" s="53">
        <v>215.64375000000001</v>
      </c>
      <c r="F27" s="6">
        <v>16501.434782608696</v>
      </c>
      <c r="G27" s="6">
        <v>61.217391304347828</v>
      </c>
      <c r="H27" s="53">
        <v>275.828125</v>
      </c>
      <c r="I27" s="6">
        <v>16885.478260869564</v>
      </c>
      <c r="J27" s="6">
        <v>229</v>
      </c>
      <c r="K27" s="53">
        <v>212.5723580786026</v>
      </c>
      <c r="L27" s="6">
        <v>48679.07</v>
      </c>
      <c r="M27" s="6">
        <v>215.13130434782607</v>
      </c>
      <c r="N27" s="53">
        <v>240.57077777777778</v>
      </c>
      <c r="O27" s="6">
        <v>51754.305211304345</v>
      </c>
      <c r="P27" s="6">
        <v>478.81818181818181</v>
      </c>
      <c r="Q27" s="10">
        <v>212.5723580786026</v>
      </c>
      <c r="R27" s="6">
        <v>101783.51</v>
      </c>
      <c r="S27" s="6">
        <v>449.82</v>
      </c>
      <c r="T27" s="6">
        <v>240.57077777777783</v>
      </c>
      <c r="U27" s="6">
        <v>108213.54726000002</v>
      </c>
      <c r="V27" s="6">
        <v>13.868695652173926</v>
      </c>
      <c r="W27" s="6">
        <v>-27.998419699175173</v>
      </c>
      <c r="X27" s="6">
        <v>-3075.2352113043453</v>
      </c>
      <c r="Y27" s="6">
        <v>-6411.638111111115</v>
      </c>
      <c r="Z27" s="6">
        <v>3336.4028998067665</v>
      </c>
      <c r="AA27" s="8">
        <v>1.0644661905166108</v>
      </c>
      <c r="AB27" s="8">
        <v>0.94058010828763594</v>
      </c>
      <c r="AC27" s="8">
        <v>1.9926136363636364</v>
      </c>
      <c r="AD27" s="8">
        <v>1.9499901457844244</v>
      </c>
      <c r="AE27" s="8">
        <v>2.7407670454545454</v>
      </c>
      <c r="AF27" s="8">
        <v>1.8828955418342492</v>
      </c>
    </row>
    <row r="28" spans="3:39" ht="15" hidden="1" customHeight="1" outlineLevel="1" x14ac:dyDescent="0.25">
      <c r="C28" s="23" t="s">
        <v>362</v>
      </c>
      <c r="D28" s="15">
        <v>71.739130434782609</v>
      </c>
      <c r="E28" s="57">
        <v>207.08666666666667</v>
      </c>
      <c r="F28" s="15">
        <v>14856.217391304348</v>
      </c>
      <c r="G28" s="15">
        <v>55.956521739130437</v>
      </c>
      <c r="H28" s="57">
        <v>262.03418803418805</v>
      </c>
      <c r="I28" s="15">
        <v>14662.521739130436</v>
      </c>
      <c r="J28" s="15">
        <v>164</v>
      </c>
      <c r="K28" s="57">
        <v>208.35829268292684</v>
      </c>
      <c r="L28" s="15">
        <v>34170.76</v>
      </c>
      <c r="M28" s="15">
        <v>0</v>
      </c>
      <c r="N28" s="57" t="s">
        <v>364</v>
      </c>
      <c r="O28" s="15">
        <v>0</v>
      </c>
      <c r="P28" s="15">
        <v>342.90909090909088</v>
      </c>
      <c r="Q28" s="29">
        <v>208.35829268292684</v>
      </c>
      <c r="R28" s="15">
        <v>71447.952727272728</v>
      </c>
      <c r="S28" s="15">
        <v>0</v>
      </c>
      <c r="T28" s="15" t="s">
        <v>364</v>
      </c>
      <c r="U28" s="15">
        <v>0</v>
      </c>
      <c r="V28" s="15">
        <v>164</v>
      </c>
      <c r="W28" s="15">
        <v>0</v>
      </c>
      <c r="X28" s="15">
        <v>34170.76</v>
      </c>
      <c r="Y28" s="15">
        <v>0</v>
      </c>
      <c r="Z28" s="15">
        <v>0</v>
      </c>
      <c r="AA28" s="17" t="s">
        <v>364</v>
      </c>
      <c r="AB28" s="17" t="s">
        <v>364</v>
      </c>
      <c r="AC28" s="17">
        <v>1.2860606060606061</v>
      </c>
      <c r="AD28" s="17">
        <v>1.3000982753524364</v>
      </c>
      <c r="AE28" s="17">
        <v>1.9308469308469307</v>
      </c>
      <c r="AF28" s="17">
        <v>1.3304831602607061</v>
      </c>
    </row>
    <row r="29" spans="3:39" ht="15" hidden="1" customHeight="1" outlineLevel="1" x14ac:dyDescent="0.25">
      <c r="C29" s="23" t="s">
        <v>363</v>
      </c>
      <c r="D29" s="15">
        <v>4.7826086956521738</v>
      </c>
      <c r="E29" s="57">
        <v>344.00000000000006</v>
      </c>
      <c r="F29" s="15">
        <v>1645.217391304348</v>
      </c>
      <c r="G29" s="15">
        <v>5.2608695652173916</v>
      </c>
      <c r="H29" s="57">
        <v>422.54545454545456</v>
      </c>
      <c r="I29" s="15">
        <v>2222.9565217391305</v>
      </c>
      <c r="J29" s="15">
        <v>35</v>
      </c>
      <c r="K29" s="57">
        <v>348.75057142857145</v>
      </c>
      <c r="L29" s="15">
        <v>12206.27</v>
      </c>
      <c r="M29" s="15">
        <v>0</v>
      </c>
      <c r="N29" s="57" t="s">
        <v>364</v>
      </c>
      <c r="O29" s="15">
        <v>0</v>
      </c>
      <c r="P29" s="15">
        <v>73.181818181818173</v>
      </c>
      <c r="Q29" s="29">
        <v>348.75057142857145</v>
      </c>
      <c r="R29" s="15">
        <v>25522.200909090909</v>
      </c>
      <c r="S29" s="15">
        <v>0</v>
      </c>
      <c r="T29" s="15" t="s">
        <v>364</v>
      </c>
      <c r="U29" s="15">
        <v>0</v>
      </c>
      <c r="V29" s="15">
        <v>35</v>
      </c>
      <c r="W29" s="15">
        <v>0</v>
      </c>
      <c r="X29" s="15">
        <v>12206.27</v>
      </c>
      <c r="Y29" s="15">
        <v>0</v>
      </c>
      <c r="Z29" s="15">
        <v>0</v>
      </c>
      <c r="AA29" s="17" t="s">
        <v>364</v>
      </c>
      <c r="AB29" s="17" t="s">
        <v>364</v>
      </c>
      <c r="AC29" s="17">
        <v>6.3181818181818183</v>
      </c>
      <c r="AD29" s="17">
        <v>6.419244450317124</v>
      </c>
      <c r="AE29" s="17">
        <v>5.6528925619834709</v>
      </c>
      <c r="AF29" s="17">
        <v>4.4910070802691289</v>
      </c>
    </row>
    <row r="30" spans="3:39" collapsed="1" x14ac:dyDescent="0.25">
      <c r="C30" s="23" t="s">
        <v>211</v>
      </c>
      <c r="D30" s="6">
        <v>16.260869565217391</v>
      </c>
      <c r="E30" s="53">
        <v>229.20588235294122</v>
      </c>
      <c r="F30" s="6">
        <v>3727.0869565217395</v>
      </c>
      <c r="G30" s="6">
        <v>0</v>
      </c>
      <c r="H30" s="53" t="s">
        <v>364</v>
      </c>
      <c r="I30" s="6">
        <v>0</v>
      </c>
      <c r="J30" s="6">
        <v>26</v>
      </c>
      <c r="K30" s="53">
        <v>342.4173076923077</v>
      </c>
      <c r="L30" s="6">
        <v>8902.85</v>
      </c>
      <c r="M30" s="6">
        <v>41.65</v>
      </c>
      <c r="N30" s="53">
        <v>255.70170000000002</v>
      </c>
      <c r="O30" s="6">
        <v>10649.975805</v>
      </c>
      <c r="P30" s="6">
        <v>54.36363636363636</v>
      </c>
      <c r="Q30" s="10">
        <v>342.4173076923077</v>
      </c>
      <c r="R30" s="6">
        <v>18615.05</v>
      </c>
      <c r="S30" s="6">
        <v>83.3</v>
      </c>
      <c r="T30" s="6">
        <v>255.70170000000002</v>
      </c>
      <c r="U30" s="6">
        <v>21299.95161</v>
      </c>
      <c r="V30" s="6">
        <v>-15.649999999999999</v>
      </c>
      <c r="W30" s="6">
        <v>86.715607692307685</v>
      </c>
      <c r="X30" s="6">
        <v>-1747.1258049999997</v>
      </c>
      <c r="Y30" s="6">
        <v>2254.6057999999998</v>
      </c>
      <c r="Z30" s="6">
        <v>-4001.7316049999999</v>
      </c>
      <c r="AA30" s="8">
        <v>0.62424969987995205</v>
      </c>
      <c r="AB30" s="8">
        <v>0.83595025594520589</v>
      </c>
      <c r="AC30" s="8">
        <v>0.59893048128342252</v>
      </c>
      <c r="AD30" s="8">
        <v>1.3886885666623892</v>
      </c>
      <c r="AE30" s="8" t="s">
        <v>364</v>
      </c>
      <c r="AF30" s="8" t="s">
        <v>364</v>
      </c>
    </row>
    <row r="31" spans="3:39" ht="15" hidden="1" customHeight="1" outlineLevel="1" x14ac:dyDescent="0.25">
      <c r="C31" s="23" t="s">
        <v>362</v>
      </c>
      <c r="D31" s="15">
        <v>15.782608695652174</v>
      </c>
      <c r="E31" s="57">
        <v>231.78787878787881</v>
      </c>
      <c r="F31" s="15">
        <v>3658.217391304348</v>
      </c>
      <c r="G31" s="15">
        <v>0</v>
      </c>
      <c r="H31" s="57" t="s">
        <v>364</v>
      </c>
      <c r="I31" s="15">
        <v>0</v>
      </c>
      <c r="J31" s="15">
        <v>26</v>
      </c>
      <c r="K31" s="57">
        <v>342.4173076923077</v>
      </c>
      <c r="L31" s="15">
        <v>8902.85</v>
      </c>
      <c r="M31" s="15">
        <v>0</v>
      </c>
      <c r="N31" s="57" t="s">
        <v>364</v>
      </c>
      <c r="O31" s="15">
        <v>0</v>
      </c>
      <c r="P31" s="15">
        <v>54.36363636363636</v>
      </c>
      <c r="Q31" s="29">
        <v>342.4173076923077</v>
      </c>
      <c r="R31" s="15">
        <v>18615.05</v>
      </c>
      <c r="S31" s="15">
        <v>0</v>
      </c>
      <c r="T31" s="15" t="s">
        <v>364</v>
      </c>
      <c r="U31" s="15">
        <v>0</v>
      </c>
      <c r="V31" s="15">
        <v>26</v>
      </c>
      <c r="W31" s="15">
        <v>0</v>
      </c>
      <c r="X31" s="15">
        <v>8902.85</v>
      </c>
      <c r="Y31" s="15">
        <v>0</v>
      </c>
      <c r="Z31" s="15">
        <v>0</v>
      </c>
      <c r="AA31" s="17" t="s">
        <v>364</v>
      </c>
      <c r="AB31" s="17" t="s">
        <v>364</v>
      </c>
      <c r="AC31" s="17">
        <v>0.64738292011019283</v>
      </c>
      <c r="AD31" s="17">
        <v>1.4336579945090862</v>
      </c>
      <c r="AE31" s="17" t="s">
        <v>364</v>
      </c>
      <c r="AF31" s="17" t="s">
        <v>364</v>
      </c>
    </row>
    <row r="32" spans="3:39" ht="15" hidden="1" customHeight="1" outlineLevel="1" x14ac:dyDescent="0.25">
      <c r="C32" s="23" t="s">
        <v>363</v>
      </c>
      <c r="D32" s="15">
        <v>0.47826086956521741</v>
      </c>
      <c r="E32" s="57">
        <v>143</v>
      </c>
      <c r="F32" s="15">
        <v>68.391304347826093</v>
      </c>
      <c r="G32" s="15">
        <v>0</v>
      </c>
      <c r="H32" s="57" t="s">
        <v>364</v>
      </c>
      <c r="I32" s="15">
        <v>0</v>
      </c>
      <c r="J32" s="15">
        <v>0</v>
      </c>
      <c r="K32" s="57" t="s">
        <v>364</v>
      </c>
      <c r="L32" s="15">
        <v>0</v>
      </c>
      <c r="M32" s="15">
        <v>0</v>
      </c>
      <c r="N32" s="57" t="s">
        <v>364</v>
      </c>
      <c r="O32" s="15">
        <v>0</v>
      </c>
      <c r="P32" s="15">
        <v>0</v>
      </c>
      <c r="Q32" s="29" t="s">
        <v>364</v>
      </c>
      <c r="R32" s="15">
        <v>0</v>
      </c>
      <c r="S32" s="15">
        <v>0</v>
      </c>
      <c r="T32" s="15" t="s">
        <v>364</v>
      </c>
      <c r="U32" s="15">
        <v>0</v>
      </c>
      <c r="V32" s="15">
        <v>0</v>
      </c>
      <c r="W32" s="15">
        <v>0</v>
      </c>
      <c r="X32" s="15">
        <v>0</v>
      </c>
      <c r="Y32" s="15">
        <v>0</v>
      </c>
      <c r="Z32" s="15">
        <v>0</v>
      </c>
      <c r="AA32" s="17" t="s">
        <v>364</v>
      </c>
      <c r="AB32" s="17" t="s">
        <v>364</v>
      </c>
      <c r="AC32" s="17">
        <v>-1</v>
      </c>
      <c r="AD32" s="17">
        <v>-1</v>
      </c>
      <c r="AE32" s="17" t="s">
        <v>364</v>
      </c>
      <c r="AF32" s="17" t="s">
        <v>364</v>
      </c>
    </row>
    <row r="33" spans="3:32" collapsed="1" x14ac:dyDescent="0.25">
      <c r="C33" s="23" t="s">
        <v>212</v>
      </c>
      <c r="D33" s="6">
        <v>0</v>
      </c>
      <c r="E33" s="53" t="s">
        <v>364</v>
      </c>
      <c r="F33" s="6">
        <v>103.30434782608695</v>
      </c>
      <c r="G33" s="6">
        <v>0</v>
      </c>
      <c r="H33" s="53" t="s">
        <v>364</v>
      </c>
      <c r="I33" s="6">
        <v>0</v>
      </c>
      <c r="J33" s="6">
        <v>48</v>
      </c>
      <c r="K33" s="53">
        <v>690.11458333333337</v>
      </c>
      <c r="L33" s="6">
        <v>33125.5</v>
      </c>
      <c r="M33" s="6">
        <v>72.877152173913046</v>
      </c>
      <c r="N33" s="53">
        <v>794.5367</v>
      </c>
      <c r="O33" s="6">
        <v>57903.571993658697</v>
      </c>
      <c r="P33" s="6">
        <v>100.36363636363636</v>
      </c>
      <c r="Q33" s="10">
        <v>690.11458333333337</v>
      </c>
      <c r="R33" s="6">
        <v>69262.409090909088</v>
      </c>
      <c r="S33" s="6">
        <v>152.37950000000001</v>
      </c>
      <c r="T33" s="6">
        <v>794.5367</v>
      </c>
      <c r="U33" s="6">
        <v>121071.10507765001</v>
      </c>
      <c r="V33" s="6">
        <v>-24.877152173913046</v>
      </c>
      <c r="W33" s="6">
        <v>-104.42211666666662</v>
      </c>
      <c r="X33" s="6">
        <v>-24778.071993658697</v>
      </c>
      <c r="Y33" s="6">
        <v>-5012.261599999998</v>
      </c>
      <c r="Z33" s="6">
        <v>-19765.810393658699</v>
      </c>
      <c r="AA33" s="8">
        <v>0.65864264132403871</v>
      </c>
      <c r="AB33" s="8">
        <v>0.57208042370214629</v>
      </c>
      <c r="AC33" s="8" t="s">
        <v>364</v>
      </c>
      <c r="AD33" s="8">
        <v>319.65930134680133</v>
      </c>
      <c r="AE33" s="8" t="s">
        <v>364</v>
      </c>
      <c r="AF33" s="8" t="s">
        <v>364</v>
      </c>
    </row>
    <row r="34" spans="3:32" ht="15" hidden="1" customHeight="1" outlineLevel="1" x14ac:dyDescent="0.25">
      <c r="C34" s="23" t="s">
        <v>362</v>
      </c>
      <c r="D34" s="15">
        <v>0</v>
      </c>
      <c r="E34" s="57" t="s">
        <v>364</v>
      </c>
      <c r="F34" s="15">
        <v>103.30434782608695</v>
      </c>
      <c r="G34" s="15">
        <v>0</v>
      </c>
      <c r="H34" s="57" t="s">
        <v>364</v>
      </c>
      <c r="I34" s="15">
        <v>0</v>
      </c>
      <c r="J34" s="15">
        <v>42</v>
      </c>
      <c r="K34" s="57">
        <v>520.96428571428567</v>
      </c>
      <c r="L34" s="15">
        <v>21880.5</v>
      </c>
      <c r="M34" s="15">
        <v>0</v>
      </c>
      <c r="N34" s="57" t="s">
        <v>364</v>
      </c>
      <c r="O34" s="15">
        <v>0</v>
      </c>
      <c r="P34" s="15">
        <v>87.818181818181813</v>
      </c>
      <c r="Q34" s="29">
        <v>520.96428571428567</v>
      </c>
      <c r="R34" s="15">
        <v>45750.13636363636</v>
      </c>
      <c r="S34" s="15">
        <v>0</v>
      </c>
      <c r="T34" s="15" t="s">
        <v>364</v>
      </c>
      <c r="U34" s="15">
        <v>0</v>
      </c>
      <c r="V34" s="15">
        <v>42</v>
      </c>
      <c r="W34" s="15">
        <v>0</v>
      </c>
      <c r="X34" s="15">
        <v>21880.5</v>
      </c>
      <c r="Y34" s="15">
        <v>0</v>
      </c>
      <c r="Z34" s="15">
        <v>0</v>
      </c>
      <c r="AA34" s="17" t="s">
        <v>364</v>
      </c>
      <c r="AB34" s="17" t="s">
        <v>364</v>
      </c>
      <c r="AC34" s="17" t="s">
        <v>364</v>
      </c>
      <c r="AD34" s="17">
        <v>210.80618686868686</v>
      </c>
      <c r="AE34" s="17" t="s">
        <v>364</v>
      </c>
      <c r="AF34" s="17" t="s">
        <v>364</v>
      </c>
    </row>
    <row r="35" spans="3:32" ht="15" hidden="1" customHeight="1" outlineLevel="1" x14ac:dyDescent="0.25">
      <c r="C35" s="23" t="s">
        <v>363</v>
      </c>
      <c r="D35" s="15">
        <v>0</v>
      </c>
      <c r="E35" s="57" t="s">
        <v>364</v>
      </c>
      <c r="F35" s="15">
        <v>0</v>
      </c>
      <c r="G35" s="15">
        <v>0</v>
      </c>
      <c r="H35" s="57" t="s">
        <v>364</v>
      </c>
      <c r="I35" s="15">
        <v>0</v>
      </c>
      <c r="J35" s="15">
        <v>6</v>
      </c>
      <c r="K35" s="57">
        <v>1874.1666666666667</v>
      </c>
      <c r="L35" s="15">
        <v>11245</v>
      </c>
      <c r="M35" s="15">
        <v>0</v>
      </c>
      <c r="N35" s="57" t="s">
        <v>364</v>
      </c>
      <c r="O35" s="15">
        <v>0</v>
      </c>
      <c r="P35" s="15">
        <v>12.545454545454545</v>
      </c>
      <c r="Q35" s="29">
        <v>1874.1666666666667</v>
      </c>
      <c r="R35" s="15">
        <v>23512.272727272728</v>
      </c>
      <c r="S35" s="15">
        <v>0</v>
      </c>
      <c r="T35" s="15" t="s">
        <v>364</v>
      </c>
      <c r="U35" s="15">
        <v>0</v>
      </c>
      <c r="V35" s="15">
        <v>6</v>
      </c>
      <c r="W35" s="15">
        <v>0</v>
      </c>
      <c r="X35" s="15">
        <v>11245</v>
      </c>
      <c r="Y35" s="15">
        <v>0</v>
      </c>
      <c r="Z35" s="15">
        <v>0</v>
      </c>
      <c r="AA35" s="17" t="s">
        <v>364</v>
      </c>
      <c r="AB35" s="17" t="s">
        <v>364</v>
      </c>
      <c r="AC35" s="17" t="s">
        <v>364</v>
      </c>
      <c r="AD35" s="17" t="s">
        <v>364</v>
      </c>
      <c r="AE35" s="17" t="s">
        <v>364</v>
      </c>
      <c r="AF35" s="17" t="s">
        <v>364</v>
      </c>
    </row>
    <row r="36" spans="3:32" collapsed="1" x14ac:dyDescent="0.25">
      <c r="C36" s="23" t="s">
        <v>46</v>
      </c>
      <c r="D36" s="6">
        <v>118.60869565217392</v>
      </c>
      <c r="E36" s="53">
        <v>414.59274193548384</v>
      </c>
      <c r="F36" s="6">
        <v>49174.304347826088</v>
      </c>
      <c r="G36" s="6">
        <v>129.60869565217391</v>
      </c>
      <c r="H36" s="53">
        <v>368.61254612546128</v>
      </c>
      <c r="I36" s="6">
        <v>47775.391304347824</v>
      </c>
      <c r="J36" s="6">
        <v>315</v>
      </c>
      <c r="K36" s="53">
        <v>389.63187301587305</v>
      </c>
      <c r="L36" s="6">
        <v>122734.04000000001</v>
      </c>
      <c r="M36" s="6">
        <v>303.91565217391303</v>
      </c>
      <c r="N36" s="53">
        <v>444.5076007931263</v>
      </c>
      <c r="O36" s="6">
        <v>135092.81739130436</v>
      </c>
      <c r="P36" s="6">
        <v>658.63636363636363</v>
      </c>
      <c r="Q36" s="10">
        <v>389.631873015873</v>
      </c>
      <c r="R36" s="6">
        <v>256625.72</v>
      </c>
      <c r="S36" s="6">
        <v>635.45999999999992</v>
      </c>
      <c r="T36" s="6">
        <v>444.5076007931263</v>
      </c>
      <c r="U36" s="6">
        <v>282466.8</v>
      </c>
      <c r="V36" s="6">
        <v>11.084347826086969</v>
      </c>
      <c r="W36" s="6">
        <v>-54.875727777253246</v>
      </c>
      <c r="X36" s="6">
        <v>-12358.777391304349</v>
      </c>
      <c r="Y36" s="6">
        <v>-17285.854249834774</v>
      </c>
      <c r="Z36" s="6">
        <v>4927.076858530424</v>
      </c>
      <c r="AA36" s="8">
        <v>1.0364717899417173</v>
      </c>
      <c r="AB36" s="8">
        <v>0.90851639909539816</v>
      </c>
      <c r="AC36" s="8">
        <v>1.6557917888563047</v>
      </c>
      <c r="AD36" s="8">
        <v>1.4958978398934051</v>
      </c>
      <c r="AE36" s="8">
        <v>1.4303924857430395</v>
      </c>
      <c r="AF36" s="8">
        <v>1.5689803191382869</v>
      </c>
    </row>
    <row r="37" spans="3:32" ht="15" hidden="1" customHeight="1" outlineLevel="1" x14ac:dyDescent="0.25">
      <c r="C37" s="23" t="s">
        <v>362</v>
      </c>
      <c r="D37" s="15">
        <v>112.39130434782609</v>
      </c>
      <c r="E37" s="57">
        <v>423.11914893617023</v>
      </c>
      <c r="F37" s="15">
        <v>47554.913043478264</v>
      </c>
      <c r="G37" s="15">
        <v>123.39130434782609</v>
      </c>
      <c r="H37" s="57">
        <v>371.17054263565893</v>
      </c>
      <c r="I37" s="15">
        <v>45799.217391304352</v>
      </c>
      <c r="J37" s="15">
        <v>280</v>
      </c>
      <c r="K37" s="57">
        <v>402.44771428571431</v>
      </c>
      <c r="L37" s="15">
        <v>112685.36</v>
      </c>
      <c r="M37" s="15">
        <v>0</v>
      </c>
      <c r="N37" s="57" t="s">
        <v>364</v>
      </c>
      <c r="O37" s="15">
        <v>0</v>
      </c>
      <c r="P37" s="15">
        <v>585.45454545454538</v>
      </c>
      <c r="Q37" s="29">
        <v>402.44771428571431</v>
      </c>
      <c r="R37" s="15">
        <v>235614.84363636363</v>
      </c>
      <c r="S37" s="15">
        <v>0</v>
      </c>
      <c r="T37" s="15" t="s">
        <v>364</v>
      </c>
      <c r="U37" s="15">
        <v>0</v>
      </c>
      <c r="V37" s="15">
        <v>280</v>
      </c>
      <c r="W37" s="15">
        <v>0</v>
      </c>
      <c r="X37" s="15">
        <v>112685.36</v>
      </c>
      <c r="Y37" s="15">
        <v>0</v>
      </c>
      <c r="Z37" s="15">
        <v>0</v>
      </c>
      <c r="AA37" s="17" t="s">
        <v>364</v>
      </c>
      <c r="AB37" s="17" t="s">
        <v>364</v>
      </c>
      <c r="AC37" s="17">
        <v>1.4912959381044486</v>
      </c>
      <c r="AD37" s="17">
        <v>1.3695839775161529</v>
      </c>
      <c r="AE37" s="17">
        <v>1.2692036645525016</v>
      </c>
      <c r="AF37" s="17">
        <v>1.460421081810777</v>
      </c>
    </row>
    <row r="38" spans="3:32" ht="15" hidden="1" customHeight="1" outlineLevel="1" x14ac:dyDescent="0.25">
      <c r="C38" s="23" t="s">
        <v>363</v>
      </c>
      <c r="D38" s="15">
        <v>6.2173913043478262</v>
      </c>
      <c r="E38" s="57">
        <v>260.46153846153851</v>
      </c>
      <c r="F38" s="15">
        <v>1619.3913043478262</v>
      </c>
      <c r="G38" s="15">
        <v>6.6956521739130439</v>
      </c>
      <c r="H38" s="57">
        <v>295.14285714285711</v>
      </c>
      <c r="I38" s="15">
        <v>1976.1739130434783</v>
      </c>
      <c r="J38" s="15">
        <v>35</v>
      </c>
      <c r="K38" s="57">
        <v>287.10514285714282</v>
      </c>
      <c r="L38" s="15">
        <v>10048.679999999998</v>
      </c>
      <c r="M38" s="15">
        <v>0</v>
      </c>
      <c r="N38" s="57" t="s">
        <v>364</v>
      </c>
      <c r="O38" s="15">
        <v>0</v>
      </c>
      <c r="P38" s="15">
        <v>73.181818181818173</v>
      </c>
      <c r="Q38" s="29">
        <v>287.10514285714282</v>
      </c>
      <c r="R38" s="15">
        <v>21010.876363636358</v>
      </c>
      <c r="S38" s="15">
        <v>0</v>
      </c>
      <c r="T38" s="15" t="s">
        <v>364</v>
      </c>
      <c r="U38" s="15">
        <v>0</v>
      </c>
      <c r="V38" s="15">
        <v>35</v>
      </c>
      <c r="W38" s="15">
        <v>0</v>
      </c>
      <c r="X38" s="15">
        <v>10048.679999999998</v>
      </c>
      <c r="Y38" s="15">
        <v>0</v>
      </c>
      <c r="Z38" s="15">
        <v>0</v>
      </c>
      <c r="AA38" s="17" t="s">
        <v>364</v>
      </c>
      <c r="AB38" s="17" t="s">
        <v>364</v>
      </c>
      <c r="AC38" s="17">
        <v>4.6293706293706292</v>
      </c>
      <c r="AD38" s="17">
        <v>5.2052204263545061</v>
      </c>
      <c r="AE38" s="17">
        <v>4.2272727272727275</v>
      </c>
      <c r="AF38" s="17">
        <v>4.0849168353427787</v>
      </c>
    </row>
    <row r="39" spans="3:32" collapsed="1" x14ac:dyDescent="0.25">
      <c r="C39" s="23" t="s">
        <v>45</v>
      </c>
      <c r="D39" s="6">
        <v>0</v>
      </c>
      <c r="E39" s="53" t="s">
        <v>364</v>
      </c>
      <c r="F39" s="6">
        <v>0</v>
      </c>
      <c r="G39" s="6">
        <v>0</v>
      </c>
      <c r="H39" s="53" t="s">
        <v>364</v>
      </c>
      <c r="I39" s="6">
        <v>0</v>
      </c>
      <c r="J39" s="6">
        <v>20</v>
      </c>
      <c r="K39" s="53">
        <v>534.50099999999998</v>
      </c>
      <c r="L39" s="6">
        <v>10690.02</v>
      </c>
      <c r="M39" s="6">
        <v>82.799416492753636</v>
      </c>
      <c r="N39" s="53">
        <v>449.99999999999994</v>
      </c>
      <c r="O39" s="6">
        <v>37259.737421739133</v>
      </c>
      <c r="P39" s="6">
        <v>41.81818181818182</v>
      </c>
      <c r="Q39" s="10">
        <v>534.50099999999998</v>
      </c>
      <c r="R39" s="6">
        <v>22351.86</v>
      </c>
      <c r="S39" s="6">
        <v>173.12605266666668</v>
      </c>
      <c r="T39" s="6">
        <v>450</v>
      </c>
      <c r="U39" s="6">
        <v>77906.723700000002</v>
      </c>
      <c r="V39" s="6">
        <v>-62.799416492753636</v>
      </c>
      <c r="W39" s="6">
        <v>84.501000000000033</v>
      </c>
      <c r="X39" s="6">
        <v>-26569.717421739133</v>
      </c>
      <c r="Y39" s="6">
        <v>1690.0200000000007</v>
      </c>
      <c r="Z39" s="6">
        <v>-28259.737421739133</v>
      </c>
      <c r="AA39" s="8">
        <v>0.24154759595135966</v>
      </c>
      <c r="AB39" s="8">
        <v>0.28690540351910598</v>
      </c>
      <c r="AC39" s="8" t="s">
        <v>364</v>
      </c>
      <c r="AD39" s="8" t="s">
        <v>364</v>
      </c>
      <c r="AE39" s="8" t="s">
        <v>364</v>
      </c>
      <c r="AF39" s="8" t="s">
        <v>364</v>
      </c>
    </row>
    <row r="40" spans="3:32" ht="15" hidden="1" customHeight="1" outlineLevel="1" x14ac:dyDescent="0.25">
      <c r="C40" s="23" t="s">
        <v>362</v>
      </c>
      <c r="D40" s="15">
        <v>0</v>
      </c>
      <c r="E40" s="57" t="s">
        <v>364</v>
      </c>
      <c r="F40" s="15">
        <v>0</v>
      </c>
      <c r="G40" s="15">
        <v>0</v>
      </c>
      <c r="H40" s="57" t="s">
        <v>364</v>
      </c>
      <c r="I40" s="15">
        <v>0</v>
      </c>
      <c r="J40" s="15">
        <v>16</v>
      </c>
      <c r="K40" s="57">
        <v>588.58375000000001</v>
      </c>
      <c r="L40" s="15">
        <v>9417.34</v>
      </c>
      <c r="M40" s="15">
        <v>0</v>
      </c>
      <c r="N40" s="57" t="s">
        <v>364</v>
      </c>
      <c r="O40" s="15">
        <v>0</v>
      </c>
      <c r="P40" s="15">
        <v>33.454545454545453</v>
      </c>
      <c r="Q40" s="29">
        <v>588.58375000000001</v>
      </c>
      <c r="R40" s="15">
        <v>19690.801818181819</v>
      </c>
      <c r="S40" s="15">
        <v>0</v>
      </c>
      <c r="T40" s="15" t="s">
        <v>364</v>
      </c>
      <c r="U40" s="15">
        <v>0</v>
      </c>
      <c r="V40" s="15">
        <v>16</v>
      </c>
      <c r="W40" s="15">
        <v>0</v>
      </c>
      <c r="X40" s="15">
        <v>9417.34</v>
      </c>
      <c r="Y40" s="15">
        <v>0</v>
      </c>
      <c r="Z40" s="15">
        <v>0</v>
      </c>
      <c r="AA40" s="17" t="s">
        <v>364</v>
      </c>
      <c r="AB40" s="17" t="s">
        <v>364</v>
      </c>
      <c r="AC40" s="17" t="s">
        <v>364</v>
      </c>
      <c r="AD40" s="17" t="s">
        <v>364</v>
      </c>
      <c r="AE40" s="17" t="s">
        <v>364</v>
      </c>
      <c r="AF40" s="17" t="s">
        <v>364</v>
      </c>
    </row>
    <row r="41" spans="3:32" ht="15" hidden="1" customHeight="1" outlineLevel="1" x14ac:dyDescent="0.25">
      <c r="C41" s="23" t="s">
        <v>363</v>
      </c>
      <c r="D41" s="15">
        <v>0</v>
      </c>
      <c r="E41" s="57" t="s">
        <v>364</v>
      </c>
      <c r="F41" s="15">
        <v>0</v>
      </c>
      <c r="G41" s="15">
        <v>0</v>
      </c>
      <c r="H41" s="57" t="s">
        <v>364</v>
      </c>
      <c r="I41" s="15">
        <v>0</v>
      </c>
      <c r="J41" s="15">
        <v>0</v>
      </c>
      <c r="K41" s="57" t="s">
        <v>364</v>
      </c>
      <c r="L41" s="15">
        <v>0</v>
      </c>
      <c r="M41" s="15">
        <v>0</v>
      </c>
      <c r="N41" s="57" t="s">
        <v>364</v>
      </c>
      <c r="O41" s="15">
        <v>0</v>
      </c>
      <c r="P41" s="15">
        <v>0</v>
      </c>
      <c r="Q41" s="29" t="s">
        <v>364</v>
      </c>
      <c r="R41" s="15">
        <v>0</v>
      </c>
      <c r="S41" s="15">
        <v>0</v>
      </c>
      <c r="T41" s="15" t="s">
        <v>364</v>
      </c>
      <c r="U41" s="15">
        <v>0</v>
      </c>
      <c r="V41" s="15">
        <v>0</v>
      </c>
      <c r="W41" s="15">
        <v>0</v>
      </c>
      <c r="X41" s="15">
        <v>0</v>
      </c>
      <c r="Y41" s="15">
        <v>0</v>
      </c>
      <c r="Z41" s="15">
        <v>0</v>
      </c>
      <c r="AA41" s="17" t="s">
        <v>364</v>
      </c>
      <c r="AB41" s="17" t="s">
        <v>364</v>
      </c>
      <c r="AC41" s="17" t="s">
        <v>364</v>
      </c>
      <c r="AD41" s="17" t="s">
        <v>364</v>
      </c>
      <c r="AE41" s="17" t="s">
        <v>364</v>
      </c>
      <c r="AF41" s="17" t="s">
        <v>364</v>
      </c>
    </row>
    <row r="42" spans="3:32" collapsed="1" x14ac:dyDescent="0.25">
      <c r="C42" s="23" t="s">
        <v>213</v>
      </c>
      <c r="D42" s="6">
        <v>0</v>
      </c>
      <c r="E42" s="53" t="s">
        <v>364</v>
      </c>
      <c r="F42" s="6">
        <v>0</v>
      </c>
      <c r="G42" s="6">
        <v>0</v>
      </c>
      <c r="H42" s="53" t="s">
        <v>364</v>
      </c>
      <c r="I42" s="6">
        <v>0</v>
      </c>
      <c r="J42" s="6">
        <v>89</v>
      </c>
      <c r="K42" s="53">
        <v>457.29011235955056</v>
      </c>
      <c r="L42" s="6">
        <v>40698.82</v>
      </c>
      <c r="M42" s="6">
        <v>0</v>
      </c>
      <c r="N42" s="53" t="s">
        <v>364</v>
      </c>
      <c r="O42" s="6">
        <v>0</v>
      </c>
      <c r="P42" s="6">
        <v>186.09090909090909</v>
      </c>
      <c r="Q42" s="10">
        <v>457.29011235955056</v>
      </c>
      <c r="R42" s="6">
        <v>85097.53272727273</v>
      </c>
      <c r="S42" s="6">
        <v>0</v>
      </c>
      <c r="T42" s="6" t="s">
        <v>364</v>
      </c>
      <c r="U42" s="6">
        <v>0</v>
      </c>
      <c r="V42" s="6">
        <v>89</v>
      </c>
      <c r="W42" s="6">
        <v>0</v>
      </c>
      <c r="X42" s="6">
        <v>40698.82</v>
      </c>
      <c r="Y42" s="6">
        <v>0</v>
      </c>
      <c r="Z42" s="6">
        <v>0</v>
      </c>
      <c r="AA42" s="8" t="s">
        <v>364</v>
      </c>
      <c r="AB42" s="8" t="s">
        <v>364</v>
      </c>
      <c r="AC42" s="8" t="s">
        <v>364</v>
      </c>
      <c r="AD42" s="8" t="s">
        <v>364</v>
      </c>
      <c r="AE42" s="8" t="s">
        <v>364</v>
      </c>
      <c r="AF42" s="8" t="s">
        <v>364</v>
      </c>
    </row>
    <row r="43" spans="3:32" ht="15" hidden="1" customHeight="1" outlineLevel="1" x14ac:dyDescent="0.25">
      <c r="C43" s="23" t="s">
        <v>362</v>
      </c>
      <c r="D43" s="15">
        <v>0</v>
      </c>
      <c r="E43" s="57" t="s">
        <v>364</v>
      </c>
      <c r="F43" s="15">
        <v>0</v>
      </c>
      <c r="G43" s="15">
        <v>0</v>
      </c>
      <c r="H43" s="57" t="s">
        <v>364</v>
      </c>
      <c r="I43" s="15">
        <v>0</v>
      </c>
      <c r="J43" s="15">
        <v>0</v>
      </c>
      <c r="K43" s="57" t="s">
        <v>364</v>
      </c>
      <c r="L43" s="15">
        <v>0</v>
      </c>
      <c r="M43" s="15">
        <v>0</v>
      </c>
      <c r="N43" s="57" t="s">
        <v>364</v>
      </c>
      <c r="O43" s="15">
        <v>0</v>
      </c>
      <c r="P43" s="15">
        <v>0</v>
      </c>
      <c r="Q43" s="29" t="s">
        <v>364</v>
      </c>
      <c r="R43" s="15">
        <v>0</v>
      </c>
      <c r="S43" s="15">
        <v>0</v>
      </c>
      <c r="T43" s="15" t="s">
        <v>364</v>
      </c>
      <c r="U43" s="15">
        <v>0</v>
      </c>
      <c r="V43" s="15">
        <v>0</v>
      </c>
      <c r="W43" s="15">
        <v>0</v>
      </c>
      <c r="X43" s="15">
        <v>0</v>
      </c>
      <c r="Y43" s="15">
        <v>0</v>
      </c>
      <c r="Z43" s="15">
        <v>0</v>
      </c>
      <c r="AA43" s="17" t="s">
        <v>364</v>
      </c>
      <c r="AB43" s="17" t="s">
        <v>364</v>
      </c>
      <c r="AC43" s="17" t="s">
        <v>364</v>
      </c>
      <c r="AD43" s="17" t="s">
        <v>364</v>
      </c>
      <c r="AE43" s="17" t="s">
        <v>364</v>
      </c>
      <c r="AF43" s="17" t="s">
        <v>364</v>
      </c>
    </row>
    <row r="44" spans="3:32" ht="15" hidden="1" customHeight="1" outlineLevel="1" x14ac:dyDescent="0.25">
      <c r="C44" s="23" t="s">
        <v>363</v>
      </c>
      <c r="D44" s="15">
        <v>0</v>
      </c>
      <c r="E44" s="57" t="s">
        <v>364</v>
      </c>
      <c r="F44" s="15">
        <v>0</v>
      </c>
      <c r="G44" s="15">
        <v>0</v>
      </c>
      <c r="H44" s="57" t="s">
        <v>364</v>
      </c>
      <c r="I44" s="15">
        <v>0</v>
      </c>
      <c r="J44" s="15">
        <v>0</v>
      </c>
      <c r="K44" s="57" t="s">
        <v>364</v>
      </c>
      <c r="L44" s="15">
        <v>0</v>
      </c>
      <c r="M44" s="15">
        <v>0</v>
      </c>
      <c r="N44" s="57" t="s">
        <v>364</v>
      </c>
      <c r="O44" s="15">
        <v>0</v>
      </c>
      <c r="P44" s="15">
        <v>0</v>
      </c>
      <c r="Q44" s="29" t="s">
        <v>364</v>
      </c>
      <c r="R44" s="15">
        <v>0</v>
      </c>
      <c r="S44" s="15">
        <v>0</v>
      </c>
      <c r="T44" s="15" t="s">
        <v>364</v>
      </c>
      <c r="U44" s="15">
        <v>0</v>
      </c>
      <c r="V44" s="15">
        <v>0</v>
      </c>
      <c r="W44" s="15">
        <v>0</v>
      </c>
      <c r="X44" s="15">
        <v>0</v>
      </c>
      <c r="Y44" s="15">
        <v>0</v>
      </c>
      <c r="Z44" s="15">
        <v>0</v>
      </c>
      <c r="AA44" s="17" t="s">
        <v>364</v>
      </c>
      <c r="AB44" s="17" t="s">
        <v>364</v>
      </c>
      <c r="AC44" s="17" t="s">
        <v>364</v>
      </c>
      <c r="AD44" s="17" t="s">
        <v>364</v>
      </c>
      <c r="AE44" s="17" t="s">
        <v>364</v>
      </c>
      <c r="AF44" s="17" t="s">
        <v>364</v>
      </c>
    </row>
    <row r="45" spans="3:32" collapsed="1" x14ac:dyDescent="0.25">
      <c r="C45" s="23" t="s">
        <v>42</v>
      </c>
      <c r="D45" s="6">
        <v>150.65217391304347</v>
      </c>
      <c r="E45" s="53">
        <v>405.76507936507943</v>
      </c>
      <c r="F45" s="6">
        <v>61129.391304347831</v>
      </c>
      <c r="G45" s="6">
        <v>181.2608695652174</v>
      </c>
      <c r="H45" s="53">
        <v>364.3641160949868</v>
      </c>
      <c r="I45" s="6">
        <v>66044.956521739135</v>
      </c>
      <c r="J45" s="6">
        <v>332</v>
      </c>
      <c r="K45" s="53">
        <v>366.21596385542171</v>
      </c>
      <c r="L45" s="6">
        <v>121583.7</v>
      </c>
      <c r="M45" s="6">
        <v>428.22043478260861</v>
      </c>
      <c r="N45" s="53">
        <v>418.78578962551796</v>
      </c>
      <c r="O45" s="6">
        <v>179332.63291421736</v>
      </c>
      <c r="P45" s="6">
        <v>694.18181818181813</v>
      </c>
      <c r="Q45" s="10">
        <v>366.21596385542171</v>
      </c>
      <c r="R45" s="6">
        <v>254220.46363636362</v>
      </c>
      <c r="S45" s="6">
        <v>895.37</v>
      </c>
      <c r="T45" s="6">
        <v>418.78578962551796</v>
      </c>
      <c r="U45" s="6">
        <v>374968.23245700001</v>
      </c>
      <c r="V45" s="6">
        <v>-96.220434782608606</v>
      </c>
      <c r="W45" s="6">
        <v>-52.569825770096259</v>
      </c>
      <c r="X45" s="6">
        <v>-57748.932914217366</v>
      </c>
      <c r="Y45" s="6">
        <v>-17453.182155671959</v>
      </c>
      <c r="Z45" s="6">
        <v>-40295.7507585454</v>
      </c>
      <c r="AA45" s="8">
        <v>0.77530162746330378</v>
      </c>
      <c r="AB45" s="8">
        <v>0.6779786702744659</v>
      </c>
      <c r="AC45" s="8">
        <v>1.2037518037518038</v>
      </c>
      <c r="AD45" s="8">
        <v>0.98895649712370604</v>
      </c>
      <c r="AE45" s="8">
        <v>0.83161429599424308</v>
      </c>
      <c r="AF45" s="8">
        <v>0.84092331047231317</v>
      </c>
    </row>
    <row r="46" spans="3:32" ht="15" hidden="1" customHeight="1" outlineLevel="1" x14ac:dyDescent="0.25">
      <c r="C46" s="23" t="s">
        <v>362</v>
      </c>
      <c r="D46" s="15">
        <v>142.52173913043478</v>
      </c>
      <c r="E46" s="57">
        <v>403.55704697986579</v>
      </c>
      <c r="F46" s="15">
        <v>57515.652173913048</v>
      </c>
      <c r="G46" s="15">
        <v>171.69565217391306</v>
      </c>
      <c r="H46" s="57">
        <v>361.40389972144845</v>
      </c>
      <c r="I46" s="15">
        <v>62051.478260869568</v>
      </c>
      <c r="J46" s="15">
        <v>289</v>
      </c>
      <c r="K46" s="57">
        <v>346.56044982698961</v>
      </c>
      <c r="L46" s="15">
        <v>100155.97</v>
      </c>
      <c r="M46" s="15">
        <v>0</v>
      </c>
      <c r="N46" s="57" t="s">
        <v>364</v>
      </c>
      <c r="O46" s="15">
        <v>0</v>
      </c>
      <c r="P46" s="15">
        <v>604.27272727272725</v>
      </c>
      <c r="Q46" s="29">
        <v>346.56044982698961</v>
      </c>
      <c r="R46" s="15">
        <v>209417.02818181817</v>
      </c>
      <c r="S46" s="15">
        <v>0</v>
      </c>
      <c r="T46" s="15" t="s">
        <v>364</v>
      </c>
      <c r="U46" s="15">
        <v>0</v>
      </c>
      <c r="V46" s="15">
        <v>289</v>
      </c>
      <c r="W46" s="15">
        <v>0</v>
      </c>
      <c r="X46" s="15">
        <v>100155.97</v>
      </c>
      <c r="Y46" s="15">
        <v>0</v>
      </c>
      <c r="Z46" s="15">
        <v>0</v>
      </c>
      <c r="AA46" s="17" t="s">
        <v>364</v>
      </c>
      <c r="AB46" s="17" t="s">
        <v>364</v>
      </c>
      <c r="AC46" s="17">
        <v>1.0277608297742526</v>
      </c>
      <c r="AD46" s="17">
        <v>0.74136893548826022</v>
      </c>
      <c r="AE46" s="17">
        <v>0.68321093947834877</v>
      </c>
      <c r="AF46" s="17">
        <v>0.61407871024338834</v>
      </c>
    </row>
    <row r="47" spans="3:32" ht="15" hidden="1" customHeight="1" outlineLevel="1" x14ac:dyDescent="0.25">
      <c r="C47" s="23" t="s">
        <v>363</v>
      </c>
      <c r="D47" s="15">
        <v>8.1304347826086953</v>
      </c>
      <c r="E47" s="57">
        <v>444.47058823529414</v>
      </c>
      <c r="F47" s="15">
        <v>3613.7391304347825</v>
      </c>
      <c r="G47" s="15">
        <v>9.5652173913043477</v>
      </c>
      <c r="H47" s="57">
        <v>417.45</v>
      </c>
      <c r="I47" s="15">
        <v>3993</v>
      </c>
      <c r="J47" s="15">
        <v>43</v>
      </c>
      <c r="K47" s="57">
        <v>498.31930232558148</v>
      </c>
      <c r="L47" s="15">
        <v>21427.730000000003</v>
      </c>
      <c r="M47" s="15">
        <v>0</v>
      </c>
      <c r="N47" s="57" t="s">
        <v>364</v>
      </c>
      <c r="O47" s="15">
        <v>0</v>
      </c>
      <c r="P47" s="15">
        <v>89.909090909090907</v>
      </c>
      <c r="Q47" s="29">
        <v>498.31930232558148</v>
      </c>
      <c r="R47" s="15">
        <v>44803.435454545463</v>
      </c>
      <c r="S47" s="15">
        <v>0</v>
      </c>
      <c r="T47" s="15" t="s">
        <v>364</v>
      </c>
      <c r="U47" s="15">
        <v>0</v>
      </c>
      <c r="V47" s="15">
        <v>43</v>
      </c>
      <c r="W47" s="15">
        <v>0</v>
      </c>
      <c r="X47" s="15">
        <v>21427.730000000003</v>
      </c>
      <c r="Y47" s="15">
        <v>0</v>
      </c>
      <c r="Z47" s="15">
        <v>0</v>
      </c>
      <c r="AA47" s="17" t="s">
        <v>364</v>
      </c>
      <c r="AB47" s="17" t="s">
        <v>364</v>
      </c>
      <c r="AC47" s="17">
        <v>4.2887700534759361</v>
      </c>
      <c r="AD47" s="17">
        <v>4.9295176620626604</v>
      </c>
      <c r="AE47" s="17">
        <v>3.495454545454546</v>
      </c>
      <c r="AF47" s="17">
        <v>4.3663235662409221</v>
      </c>
    </row>
    <row r="48" spans="3:32" collapsed="1" x14ac:dyDescent="0.25">
      <c r="C48" s="23" t="s">
        <v>39</v>
      </c>
      <c r="D48" s="6">
        <v>143</v>
      </c>
      <c r="E48" s="53">
        <v>482.23745819397999</v>
      </c>
      <c r="F48" s="6">
        <v>68959.956521739135</v>
      </c>
      <c r="G48" s="6">
        <v>149.21739130434784</v>
      </c>
      <c r="H48" s="53">
        <v>450.39102564102564</v>
      </c>
      <c r="I48" s="6">
        <v>67206.173913043487</v>
      </c>
      <c r="J48" s="6">
        <v>67</v>
      </c>
      <c r="K48" s="53">
        <v>413.88671641791041</v>
      </c>
      <c r="L48" s="6">
        <v>27730.409999999996</v>
      </c>
      <c r="M48" s="6">
        <v>200</v>
      </c>
      <c r="N48" s="53">
        <v>510</v>
      </c>
      <c r="O48" s="6">
        <v>102000</v>
      </c>
      <c r="P48" s="6">
        <v>140.09090909090909</v>
      </c>
      <c r="Q48" s="10">
        <v>413.88671641791035</v>
      </c>
      <c r="R48" s="6">
        <v>57981.76636363635</v>
      </c>
      <c r="S48" s="6">
        <v>400</v>
      </c>
      <c r="T48" s="6">
        <v>510</v>
      </c>
      <c r="U48" s="6">
        <v>204000</v>
      </c>
      <c r="V48" s="6">
        <v>-133</v>
      </c>
      <c r="W48" s="6">
        <v>-96.113283582089593</v>
      </c>
      <c r="X48" s="6">
        <v>-74269.59</v>
      </c>
      <c r="Y48" s="6">
        <v>-6439.5900000000029</v>
      </c>
      <c r="Z48" s="6">
        <v>-67830</v>
      </c>
      <c r="AA48" s="8">
        <v>0.33500000000000002</v>
      </c>
      <c r="AB48" s="8">
        <v>0.27186676470588234</v>
      </c>
      <c r="AC48" s="8">
        <v>-0.53146853146853146</v>
      </c>
      <c r="AD48" s="8">
        <v>-0.59787663161797122</v>
      </c>
      <c r="AE48" s="8">
        <v>-0.55099067599067608</v>
      </c>
      <c r="AF48" s="8">
        <v>-0.58738299793885407</v>
      </c>
    </row>
    <row r="49" spans="3:32" ht="15" hidden="1" customHeight="1" outlineLevel="1" x14ac:dyDescent="0.25">
      <c r="C49" s="23" t="s">
        <v>362</v>
      </c>
      <c r="D49" s="15">
        <v>134.86956521739131</v>
      </c>
      <c r="E49" s="57">
        <v>503.16666666666663</v>
      </c>
      <c r="F49" s="15">
        <v>67861.869565217392</v>
      </c>
      <c r="G49" s="15">
        <v>135.82608695652175</v>
      </c>
      <c r="H49" s="57">
        <v>477.15845070422529</v>
      </c>
      <c r="I49" s="15">
        <v>64810.565217391304</v>
      </c>
      <c r="J49" s="15">
        <v>63</v>
      </c>
      <c r="K49" s="57">
        <v>411.76968253968249</v>
      </c>
      <c r="L49" s="15">
        <v>25941.489999999998</v>
      </c>
      <c r="M49" s="15">
        <v>0</v>
      </c>
      <c r="N49" s="57" t="s">
        <v>364</v>
      </c>
      <c r="O49" s="15">
        <v>0</v>
      </c>
      <c r="P49" s="15">
        <v>131.72727272727272</v>
      </c>
      <c r="Q49" s="29">
        <v>411.76968253968249</v>
      </c>
      <c r="R49" s="15">
        <v>54241.297272727264</v>
      </c>
      <c r="S49" s="15">
        <v>0</v>
      </c>
      <c r="T49" s="15" t="s">
        <v>364</v>
      </c>
      <c r="U49" s="15">
        <v>0</v>
      </c>
      <c r="V49" s="15">
        <v>63</v>
      </c>
      <c r="W49" s="15">
        <v>0</v>
      </c>
      <c r="X49" s="15">
        <v>25941.489999999998</v>
      </c>
      <c r="Y49" s="15">
        <v>0</v>
      </c>
      <c r="Z49" s="15">
        <v>0</v>
      </c>
      <c r="AA49" s="17" t="s">
        <v>364</v>
      </c>
      <c r="AB49" s="17" t="s">
        <v>364</v>
      </c>
      <c r="AC49" s="17">
        <v>-0.53288201160541593</v>
      </c>
      <c r="AD49" s="17">
        <v>-0.61773098551213046</v>
      </c>
      <c r="AE49" s="17">
        <v>-0.53617157490396927</v>
      </c>
      <c r="AF49" s="17">
        <v>-0.59973362501953853</v>
      </c>
    </row>
    <row r="50" spans="3:32" ht="15" hidden="1" customHeight="1" outlineLevel="1" x14ac:dyDescent="0.25">
      <c r="C50" s="23" t="s">
        <v>363</v>
      </c>
      <c r="D50" s="15">
        <v>5.2608695652173916</v>
      </c>
      <c r="E50" s="57">
        <v>142.72727272727272</v>
      </c>
      <c r="F50" s="15">
        <v>750.86956521739137</v>
      </c>
      <c r="G50" s="15">
        <v>5.2608695652173916</v>
      </c>
      <c r="H50" s="57">
        <v>161.72727272727272</v>
      </c>
      <c r="I50" s="15">
        <v>850.82608695652175</v>
      </c>
      <c r="J50" s="15">
        <v>4</v>
      </c>
      <c r="K50" s="57">
        <v>297.48</v>
      </c>
      <c r="L50" s="15">
        <v>1189.92</v>
      </c>
      <c r="M50" s="15">
        <v>0</v>
      </c>
      <c r="N50" s="57" t="s">
        <v>364</v>
      </c>
      <c r="O50" s="15">
        <v>0</v>
      </c>
      <c r="P50" s="15">
        <v>8.3636363636363633</v>
      </c>
      <c r="Q50" s="29">
        <v>297.48</v>
      </c>
      <c r="R50" s="15">
        <v>2488.0145454545454</v>
      </c>
      <c r="S50" s="15">
        <v>0</v>
      </c>
      <c r="T50" s="15" t="s">
        <v>364</v>
      </c>
      <c r="U50" s="15">
        <v>0</v>
      </c>
      <c r="V50" s="15">
        <v>4</v>
      </c>
      <c r="W50" s="15">
        <v>0</v>
      </c>
      <c r="X50" s="15">
        <v>1189.92</v>
      </c>
      <c r="Y50" s="15">
        <v>0</v>
      </c>
      <c r="Z50" s="15">
        <v>0</v>
      </c>
      <c r="AA50" s="17" t="s">
        <v>364</v>
      </c>
      <c r="AB50" s="17" t="s">
        <v>364</v>
      </c>
      <c r="AC50" s="17">
        <v>-0.23966942148760334</v>
      </c>
      <c r="AD50" s="17">
        <v>0.58472264041690791</v>
      </c>
      <c r="AE50" s="17">
        <v>-0.23966942148760334</v>
      </c>
      <c r="AF50" s="17">
        <v>0.39854668097501156</v>
      </c>
    </row>
    <row r="51" spans="3:32" ht="15" customHeight="1" collapsed="1" x14ac:dyDescent="0.25">
      <c r="C51" s="23" t="s">
        <v>48</v>
      </c>
      <c r="D51" s="6">
        <v>34.434782608695656</v>
      </c>
      <c r="E51" s="53">
        <v>435.59722222222223</v>
      </c>
      <c r="F51" s="6">
        <v>14999.695652173914</v>
      </c>
      <c r="G51" s="6">
        <v>40.652173913043477</v>
      </c>
      <c r="H51" s="53">
        <v>437.76470588235298</v>
      </c>
      <c r="I51" s="6">
        <v>17796.08695652174</v>
      </c>
      <c r="J51" s="6">
        <v>127</v>
      </c>
      <c r="K51" s="53">
        <v>479.94763779527563</v>
      </c>
      <c r="L51" s="6">
        <v>60953.350000000006</v>
      </c>
      <c r="M51" s="6">
        <v>217.60869565217391</v>
      </c>
      <c r="N51" s="53">
        <v>460.32334923076928</v>
      </c>
      <c r="O51" s="6">
        <v>100170.36360434783</v>
      </c>
      <c r="P51" s="6">
        <v>265.54545454545456</v>
      </c>
      <c r="Q51" s="10">
        <v>479.94763779527563</v>
      </c>
      <c r="R51" s="6">
        <v>127447.91363636365</v>
      </c>
      <c r="S51" s="6">
        <v>455</v>
      </c>
      <c r="T51" s="6">
        <v>460.32334923076917</v>
      </c>
      <c r="U51" s="6">
        <v>209447.12389999998</v>
      </c>
      <c r="V51" s="6">
        <v>-90.608695652173907</v>
      </c>
      <c r="W51" s="6">
        <v>19.624288564506344</v>
      </c>
      <c r="X51" s="6">
        <v>-39217.013604347827</v>
      </c>
      <c r="Y51" s="6">
        <v>2492.2846476923055</v>
      </c>
      <c r="Z51" s="6">
        <v>-41709.298252040135</v>
      </c>
      <c r="AA51" s="8">
        <v>0.58361638361638368</v>
      </c>
      <c r="AB51" s="8">
        <v>0.60849684284618455</v>
      </c>
      <c r="AC51" s="8">
        <v>2.6881313131313127</v>
      </c>
      <c r="AD51" s="8">
        <v>3.0636391173154243</v>
      </c>
      <c r="AE51" s="8">
        <v>2.1240641711229951</v>
      </c>
      <c r="AF51" s="8">
        <v>2.4250984583811781</v>
      </c>
    </row>
    <row r="52" spans="3:32" ht="15" hidden="1" customHeight="1" outlineLevel="1" x14ac:dyDescent="0.25">
      <c r="C52" s="23" t="s">
        <v>362</v>
      </c>
      <c r="D52" s="15">
        <v>31.565217391304348</v>
      </c>
      <c r="E52" s="57">
        <v>396.84848484848487</v>
      </c>
      <c r="F52" s="15">
        <v>12526.608695652174</v>
      </c>
      <c r="G52" s="15">
        <v>33.478260869565219</v>
      </c>
      <c r="H52" s="57">
        <v>358.15714285714284</v>
      </c>
      <c r="I52" s="15">
        <v>11990.478260869566</v>
      </c>
      <c r="J52" s="15">
        <v>111</v>
      </c>
      <c r="K52" s="57">
        <v>460.24063063063068</v>
      </c>
      <c r="L52" s="15">
        <v>51086.710000000006</v>
      </c>
      <c r="M52" s="15">
        <v>0</v>
      </c>
      <c r="N52" s="57" t="s">
        <v>364</v>
      </c>
      <c r="O52" s="15">
        <v>0</v>
      </c>
      <c r="P52" s="15">
        <v>232.09090909090909</v>
      </c>
      <c r="Q52" s="29">
        <v>460.24063063063068</v>
      </c>
      <c r="R52" s="15">
        <v>106817.66636363638</v>
      </c>
      <c r="S52" s="15">
        <v>0</v>
      </c>
      <c r="T52" s="15" t="s">
        <v>364</v>
      </c>
      <c r="U52" s="15">
        <v>0</v>
      </c>
      <c r="V52" s="15">
        <v>111</v>
      </c>
      <c r="W52" s="15">
        <v>0</v>
      </c>
      <c r="X52" s="15">
        <v>51086.710000000006</v>
      </c>
      <c r="Y52" s="15">
        <v>0</v>
      </c>
      <c r="Z52" s="15">
        <v>0</v>
      </c>
      <c r="AA52" s="17" t="s">
        <v>364</v>
      </c>
      <c r="AB52" s="17" t="s">
        <v>364</v>
      </c>
      <c r="AC52" s="17">
        <v>2.5165289256198347</v>
      </c>
      <c r="AD52" s="17">
        <v>3.078255435386239</v>
      </c>
      <c r="AE52" s="17">
        <v>2.3155844155844156</v>
      </c>
      <c r="AF52" s="17">
        <v>3.2606065319945898</v>
      </c>
    </row>
    <row r="53" spans="3:32" ht="15" hidden="1" customHeight="1" outlineLevel="1" x14ac:dyDescent="0.25">
      <c r="C53" s="23" t="s">
        <v>363</v>
      </c>
      <c r="D53" s="15">
        <v>3.347826086956522</v>
      </c>
      <c r="E53" s="57">
        <v>738.71428571428567</v>
      </c>
      <c r="F53" s="15">
        <v>2473.086956521739</v>
      </c>
      <c r="G53" s="15">
        <v>7.1739130434782608</v>
      </c>
      <c r="H53" s="57">
        <v>809.26666666666665</v>
      </c>
      <c r="I53" s="15">
        <v>5805.608695652174</v>
      </c>
      <c r="J53" s="15">
        <v>16</v>
      </c>
      <c r="K53" s="57">
        <v>616.66499999999996</v>
      </c>
      <c r="L53" s="15">
        <v>9866.64</v>
      </c>
      <c r="M53" s="15">
        <v>0</v>
      </c>
      <c r="N53" s="57" t="s">
        <v>364</v>
      </c>
      <c r="O53" s="15">
        <v>0</v>
      </c>
      <c r="P53" s="15">
        <v>33.454545454545453</v>
      </c>
      <c r="Q53" s="29">
        <v>616.66499999999996</v>
      </c>
      <c r="R53" s="15">
        <v>20630.247272727273</v>
      </c>
      <c r="S53" s="15">
        <v>0</v>
      </c>
      <c r="T53" s="15" t="s">
        <v>364</v>
      </c>
      <c r="U53" s="15">
        <v>0</v>
      </c>
      <c r="V53" s="15">
        <v>16</v>
      </c>
      <c r="W53" s="15">
        <v>0</v>
      </c>
      <c r="X53" s="15">
        <v>9866.64</v>
      </c>
      <c r="Y53" s="15">
        <v>0</v>
      </c>
      <c r="Z53" s="15">
        <v>0</v>
      </c>
      <c r="AA53" s="17" t="s">
        <v>364</v>
      </c>
      <c r="AB53" s="17" t="s">
        <v>364</v>
      </c>
      <c r="AC53" s="17">
        <v>3.779220779220779</v>
      </c>
      <c r="AD53" s="17">
        <v>2.9896049647509715</v>
      </c>
      <c r="AE53" s="17">
        <v>1.2303030303030302</v>
      </c>
      <c r="AF53" s="17">
        <v>0.69950138172232235</v>
      </c>
    </row>
    <row r="54" spans="3:32" ht="15" customHeight="1" collapsed="1" x14ac:dyDescent="0.25">
      <c r="C54" s="23" t="s">
        <v>147</v>
      </c>
      <c r="D54" s="6">
        <v>64.086956521739125</v>
      </c>
      <c r="E54" s="53">
        <v>681.33582089552249</v>
      </c>
      <c r="F54" s="6">
        <v>43664.739130434784</v>
      </c>
      <c r="G54" s="6">
        <v>71.739130434782609</v>
      </c>
      <c r="H54" s="53">
        <v>695.54666666666674</v>
      </c>
      <c r="I54" s="6">
        <v>49897.913043478264</v>
      </c>
      <c r="J54" s="6">
        <v>99</v>
      </c>
      <c r="K54" s="53">
        <v>770.84404040404058</v>
      </c>
      <c r="L54" s="6">
        <v>76313.560000000012</v>
      </c>
      <c r="M54" s="6">
        <v>209.62108695652174</v>
      </c>
      <c r="N54" s="53">
        <v>881.06406582747127</v>
      </c>
      <c r="O54" s="6">
        <v>184689.60715708695</v>
      </c>
      <c r="P54" s="6">
        <v>207</v>
      </c>
      <c r="Q54" s="10">
        <v>770.84404040404058</v>
      </c>
      <c r="R54" s="6">
        <v>159564.7163636364</v>
      </c>
      <c r="S54" s="6">
        <v>429.59000000000003</v>
      </c>
      <c r="T54" s="6">
        <v>879.18368365650952</v>
      </c>
      <c r="U54" s="6">
        <v>377688.51866199996</v>
      </c>
      <c r="V54" s="6">
        <v>-110.62108695652174</v>
      </c>
      <c r="W54" s="6">
        <v>-110.22002542343068</v>
      </c>
      <c r="X54" s="6">
        <v>-108376.04715708694</v>
      </c>
      <c r="Y54" s="6">
        <v>-10911.782516919639</v>
      </c>
      <c r="Z54" s="6">
        <v>-97464.264640167297</v>
      </c>
      <c r="AA54" s="8">
        <v>0.47228073013729743</v>
      </c>
      <c r="AB54" s="8">
        <v>0.41319899465210214</v>
      </c>
      <c r="AC54" s="8">
        <v>0.5447761194029852</v>
      </c>
      <c r="AD54" s="8">
        <v>0.74771592639170625</v>
      </c>
      <c r="AE54" s="8">
        <v>0.38</v>
      </c>
      <c r="AF54" s="8">
        <v>0.52939382321470285</v>
      </c>
    </row>
    <row r="55" spans="3:32" ht="15" hidden="1" customHeight="1" outlineLevel="1" x14ac:dyDescent="0.25">
      <c r="C55" s="23" t="s">
        <v>362</v>
      </c>
      <c r="D55" s="15">
        <v>57.391304347826086</v>
      </c>
      <c r="E55" s="57">
        <v>731.29166666666674</v>
      </c>
      <c r="F55" s="15">
        <v>41969.782608695656</v>
      </c>
      <c r="G55" s="15">
        <v>62.173913043478265</v>
      </c>
      <c r="H55" s="57">
        <v>703.96153846153845</v>
      </c>
      <c r="I55" s="15">
        <v>43768.043478260872</v>
      </c>
      <c r="J55" s="15">
        <v>88</v>
      </c>
      <c r="K55" s="57">
        <v>819.70920454545455</v>
      </c>
      <c r="L55" s="15">
        <v>72134.41</v>
      </c>
      <c r="M55" s="15">
        <v>0</v>
      </c>
      <c r="N55" s="57" t="s">
        <v>364</v>
      </c>
      <c r="O55" s="15">
        <v>0</v>
      </c>
      <c r="P55" s="15">
        <v>184</v>
      </c>
      <c r="Q55" s="29">
        <v>819.70920454545467</v>
      </c>
      <c r="R55" s="15">
        <v>150826.49363636365</v>
      </c>
      <c r="S55" s="15">
        <v>0</v>
      </c>
      <c r="T55" s="15" t="s">
        <v>364</v>
      </c>
      <c r="U55" s="15">
        <v>0</v>
      </c>
      <c r="V55" s="15">
        <v>88</v>
      </c>
      <c r="W55" s="15">
        <v>0</v>
      </c>
      <c r="X55" s="15">
        <v>72134.41</v>
      </c>
      <c r="Y55" s="15">
        <v>0</v>
      </c>
      <c r="Z55" s="15">
        <v>0</v>
      </c>
      <c r="AA55" s="17" t="s">
        <v>364</v>
      </c>
      <c r="AB55" s="17" t="s">
        <v>364</v>
      </c>
      <c r="AC55" s="17">
        <v>0.53333333333333333</v>
      </c>
      <c r="AD55" s="17">
        <v>0.71872250739403598</v>
      </c>
      <c r="AE55" s="17">
        <v>0.4153846153846153</v>
      </c>
      <c r="AF55" s="17">
        <v>0.64810679819006323</v>
      </c>
    </row>
    <row r="56" spans="3:32" ht="15" hidden="1" customHeight="1" outlineLevel="1" x14ac:dyDescent="0.25">
      <c r="C56" s="23" t="s">
        <v>363</v>
      </c>
      <c r="D56" s="15">
        <v>6.6956521739130439</v>
      </c>
      <c r="E56" s="57">
        <v>253.14285714285714</v>
      </c>
      <c r="F56" s="15">
        <v>1694.9565217391305</v>
      </c>
      <c r="G56" s="15">
        <v>9.5652173913043477</v>
      </c>
      <c r="H56" s="57">
        <v>640.85</v>
      </c>
      <c r="I56" s="15">
        <v>6129.8695652173919</v>
      </c>
      <c r="J56" s="15">
        <v>11</v>
      </c>
      <c r="K56" s="57">
        <v>379.92272727272723</v>
      </c>
      <c r="L56" s="15">
        <v>4179.1499999999996</v>
      </c>
      <c r="M56" s="15">
        <v>0</v>
      </c>
      <c r="N56" s="57" t="s">
        <v>364</v>
      </c>
      <c r="O56" s="15">
        <v>0</v>
      </c>
      <c r="P56" s="15">
        <v>23</v>
      </c>
      <c r="Q56" s="29">
        <v>379.92272727272723</v>
      </c>
      <c r="R56" s="15">
        <v>8738.2227272727268</v>
      </c>
      <c r="S56" s="15">
        <v>0</v>
      </c>
      <c r="T56" s="15" t="s">
        <v>364</v>
      </c>
      <c r="U56" s="15">
        <v>0</v>
      </c>
      <c r="V56" s="15">
        <v>11</v>
      </c>
      <c r="W56" s="15">
        <v>0</v>
      </c>
      <c r="X56" s="15">
        <v>4179.1499999999996</v>
      </c>
      <c r="Y56" s="15">
        <v>0</v>
      </c>
      <c r="Z56" s="15">
        <v>0</v>
      </c>
      <c r="AA56" s="17" t="s">
        <v>364</v>
      </c>
      <c r="AB56" s="17" t="s">
        <v>364</v>
      </c>
      <c r="AC56" s="17">
        <v>0.64285714285714279</v>
      </c>
      <c r="AD56" s="17">
        <v>1.4656384670634104</v>
      </c>
      <c r="AE56" s="17">
        <v>0.15000000000000002</v>
      </c>
      <c r="AF56" s="17">
        <v>-0.31823182279217244</v>
      </c>
    </row>
    <row r="57" spans="3:32" ht="15" customHeight="1" collapsed="1" x14ac:dyDescent="0.25">
      <c r="C57" s="23" t="s">
        <v>214</v>
      </c>
      <c r="D57" s="6">
        <v>10.521739130434783</v>
      </c>
      <c r="E57" s="53">
        <v>369.45454545454544</v>
      </c>
      <c r="F57" s="6">
        <v>3887.304347826087</v>
      </c>
      <c r="G57" s="6">
        <v>14.82608695652174</v>
      </c>
      <c r="H57" s="53">
        <v>352.03225806451616</v>
      </c>
      <c r="I57" s="6">
        <v>5219.2608695652179</v>
      </c>
      <c r="J57" s="6">
        <v>17</v>
      </c>
      <c r="K57" s="53">
        <v>503.64235294117645</v>
      </c>
      <c r="L57" s="6">
        <v>8561.92</v>
      </c>
      <c r="M57" s="6">
        <v>44.392173913043472</v>
      </c>
      <c r="N57" s="53">
        <v>452.62139999999999</v>
      </c>
      <c r="O57" s="6">
        <v>20092.847905565213</v>
      </c>
      <c r="P57" s="6">
        <v>35.545454545454547</v>
      </c>
      <c r="Q57" s="10">
        <v>503.6423529411764</v>
      </c>
      <c r="R57" s="6">
        <v>17902.196363636362</v>
      </c>
      <c r="S57" s="6">
        <v>92.82</v>
      </c>
      <c r="T57" s="6">
        <v>452.62139999999994</v>
      </c>
      <c r="U57" s="6">
        <v>42012.318347999993</v>
      </c>
      <c r="V57" s="6">
        <v>-27.392173913043472</v>
      </c>
      <c r="W57" s="6">
        <v>51.020952941176461</v>
      </c>
      <c r="X57" s="6">
        <v>-11530.927905565213</v>
      </c>
      <c r="Y57" s="6">
        <v>867.35619999999983</v>
      </c>
      <c r="Z57" s="6">
        <v>-12398.284105565213</v>
      </c>
      <c r="AA57" s="8">
        <v>0.38295038295038303</v>
      </c>
      <c r="AB57" s="8">
        <v>0.42611779277085771</v>
      </c>
      <c r="AC57" s="8">
        <v>0.61570247933884292</v>
      </c>
      <c r="AD57" s="8">
        <v>1.2025340014316392</v>
      </c>
      <c r="AE57" s="8">
        <v>0.14662756598240462</v>
      </c>
      <c r="AF57" s="8">
        <v>0.64044683988237527</v>
      </c>
    </row>
    <row r="58" spans="3:32" ht="15" hidden="1" customHeight="1" outlineLevel="1" x14ac:dyDescent="0.25">
      <c r="C58" s="23" t="s">
        <v>362</v>
      </c>
      <c r="D58" s="15">
        <v>9.0869565217391308</v>
      </c>
      <c r="E58" s="57">
        <v>421.73684210526312</v>
      </c>
      <c r="F58" s="15">
        <v>3832.304347826087</v>
      </c>
      <c r="G58" s="15">
        <v>13.869565217391305</v>
      </c>
      <c r="H58" s="57">
        <v>371.51724137931035</v>
      </c>
      <c r="I58" s="15">
        <v>5152.782608695652</v>
      </c>
      <c r="J58" s="15">
        <v>16</v>
      </c>
      <c r="K58" s="57">
        <v>529.44500000000005</v>
      </c>
      <c r="L58" s="15">
        <v>8471.1200000000008</v>
      </c>
      <c r="M58" s="15">
        <v>0</v>
      </c>
      <c r="N58" s="57" t="s">
        <v>364</v>
      </c>
      <c r="O58" s="15">
        <v>0</v>
      </c>
      <c r="P58" s="15">
        <v>33.454545454545453</v>
      </c>
      <c r="Q58" s="29">
        <v>529.44500000000005</v>
      </c>
      <c r="R58" s="15">
        <v>17712.34181818182</v>
      </c>
      <c r="S58" s="15">
        <v>0</v>
      </c>
      <c r="T58" s="15" t="s">
        <v>364</v>
      </c>
      <c r="U58" s="15">
        <v>0</v>
      </c>
      <c r="V58" s="15">
        <v>16</v>
      </c>
      <c r="W58" s="15">
        <v>0</v>
      </c>
      <c r="X58" s="15">
        <v>8471.1200000000008</v>
      </c>
      <c r="Y58" s="15">
        <v>0</v>
      </c>
      <c r="Z58" s="15">
        <v>0</v>
      </c>
      <c r="AA58" s="17" t="s">
        <v>364</v>
      </c>
      <c r="AB58" s="17" t="s">
        <v>364</v>
      </c>
      <c r="AC58" s="17">
        <v>0.76076555023923442</v>
      </c>
      <c r="AD58" s="17">
        <v>1.2104507448124073</v>
      </c>
      <c r="AE58" s="17">
        <v>0.15360501567398116</v>
      </c>
      <c r="AF58" s="17">
        <v>0.64398940209595512</v>
      </c>
    </row>
    <row r="59" spans="3:32" ht="15" hidden="1" customHeight="1" outlineLevel="1" x14ac:dyDescent="0.25">
      <c r="C59" s="23" t="s">
        <v>363</v>
      </c>
      <c r="D59" s="15">
        <v>1.4347826086956523</v>
      </c>
      <c r="E59" s="57">
        <v>38.333333333333329</v>
      </c>
      <c r="F59" s="15">
        <v>55</v>
      </c>
      <c r="G59" s="15">
        <v>0.95652173913043481</v>
      </c>
      <c r="H59" s="57">
        <v>69.5</v>
      </c>
      <c r="I59" s="15">
        <v>66.478260869565219</v>
      </c>
      <c r="J59" s="15">
        <v>1</v>
      </c>
      <c r="K59" s="57">
        <v>90.8</v>
      </c>
      <c r="L59" s="15">
        <v>90.8</v>
      </c>
      <c r="M59" s="15">
        <v>0</v>
      </c>
      <c r="N59" s="57" t="s">
        <v>364</v>
      </c>
      <c r="O59" s="15">
        <v>0</v>
      </c>
      <c r="P59" s="15">
        <v>2.0909090909090908</v>
      </c>
      <c r="Q59" s="29">
        <v>90.8</v>
      </c>
      <c r="R59" s="15">
        <v>189.85454545454544</v>
      </c>
      <c r="S59" s="15">
        <v>0</v>
      </c>
      <c r="T59" s="15" t="s">
        <v>364</v>
      </c>
      <c r="U59" s="15">
        <v>0</v>
      </c>
      <c r="V59" s="15">
        <v>1</v>
      </c>
      <c r="W59" s="15">
        <v>0</v>
      </c>
      <c r="X59" s="15">
        <v>90.8</v>
      </c>
      <c r="Y59" s="15">
        <v>0</v>
      </c>
      <c r="Z59" s="15">
        <v>0</v>
      </c>
      <c r="AA59" s="17" t="s">
        <v>364</v>
      </c>
      <c r="AB59" s="17" t="s">
        <v>364</v>
      </c>
      <c r="AC59" s="17">
        <v>-0.30303030303030309</v>
      </c>
      <c r="AD59" s="17">
        <v>0.65090909090909088</v>
      </c>
      <c r="AE59" s="17">
        <v>4.5454545454545421E-2</v>
      </c>
      <c r="AF59" s="17">
        <v>0.36586003924133415</v>
      </c>
    </row>
    <row r="60" spans="3:32" ht="15" customHeight="1" collapsed="1" x14ac:dyDescent="0.25">
      <c r="C60" s="23" t="s">
        <v>215</v>
      </c>
      <c r="D60" s="6">
        <v>0</v>
      </c>
      <c r="E60" s="53" t="s">
        <v>364</v>
      </c>
      <c r="F60" s="6">
        <v>0</v>
      </c>
      <c r="G60" s="6">
        <v>0</v>
      </c>
      <c r="H60" s="53" t="s">
        <v>364</v>
      </c>
      <c r="I60" s="6">
        <v>0</v>
      </c>
      <c r="J60" s="6">
        <v>24</v>
      </c>
      <c r="K60" s="53">
        <v>3141.0204166666667</v>
      </c>
      <c r="L60" s="6">
        <v>75384.490000000005</v>
      </c>
      <c r="M60" s="6">
        <v>51.201377529057261</v>
      </c>
      <c r="N60" s="53">
        <v>1212</v>
      </c>
      <c r="O60" s="6">
        <v>62056.069565217404</v>
      </c>
      <c r="P60" s="6">
        <v>50.18181818181818</v>
      </c>
      <c r="Q60" s="10">
        <v>3141.0204166666667</v>
      </c>
      <c r="R60" s="6">
        <v>157622.11545454545</v>
      </c>
      <c r="S60" s="6">
        <v>0</v>
      </c>
      <c r="T60" s="6" t="s">
        <v>364</v>
      </c>
      <c r="U60" s="6">
        <v>0</v>
      </c>
      <c r="V60" s="6">
        <v>-27.201377529057261</v>
      </c>
      <c r="W60" s="6">
        <v>1929.0204166666667</v>
      </c>
      <c r="X60" s="6">
        <v>13328.420434782602</v>
      </c>
      <c r="Y60" s="6">
        <v>46296.490000000005</v>
      </c>
      <c r="Z60" s="6">
        <v>-32968.069565217404</v>
      </c>
      <c r="AA60" s="8">
        <v>0.46873738868411841</v>
      </c>
      <c r="AB60" s="8">
        <v>1.2147802870559694</v>
      </c>
      <c r="AC60" s="8" t="s">
        <v>364</v>
      </c>
      <c r="AD60" s="8" t="s">
        <v>364</v>
      </c>
      <c r="AE60" s="8" t="s">
        <v>364</v>
      </c>
      <c r="AF60" s="8" t="s">
        <v>364</v>
      </c>
    </row>
    <row r="61" spans="3:32" ht="15" hidden="1" customHeight="1" outlineLevel="1" x14ac:dyDescent="0.25">
      <c r="C61" s="23" t="s">
        <v>362</v>
      </c>
      <c r="D61" s="15">
        <v>0</v>
      </c>
      <c r="E61" s="57" t="s">
        <v>364</v>
      </c>
      <c r="F61" s="15">
        <v>0</v>
      </c>
      <c r="G61" s="15">
        <v>0</v>
      </c>
      <c r="H61" s="57" t="s">
        <v>364</v>
      </c>
      <c r="I61" s="15">
        <v>0</v>
      </c>
      <c r="J61" s="15">
        <v>23</v>
      </c>
      <c r="K61" s="57">
        <v>3258.514347826087</v>
      </c>
      <c r="L61" s="15">
        <v>74945.83</v>
      </c>
      <c r="M61" s="15">
        <v>0</v>
      </c>
      <c r="N61" s="57" t="s">
        <v>364</v>
      </c>
      <c r="O61" s="15">
        <v>0</v>
      </c>
      <c r="P61" s="15">
        <v>48.090909090909086</v>
      </c>
      <c r="Q61" s="29">
        <v>3258.514347826087</v>
      </c>
      <c r="R61" s="15">
        <v>156704.91727272727</v>
      </c>
      <c r="S61" s="15">
        <v>0</v>
      </c>
      <c r="T61" s="15" t="s">
        <v>364</v>
      </c>
      <c r="U61" s="15">
        <v>0</v>
      </c>
      <c r="V61" s="15">
        <v>23</v>
      </c>
      <c r="W61" s="15">
        <v>0</v>
      </c>
      <c r="X61" s="15">
        <v>74945.83</v>
      </c>
      <c r="Y61" s="15">
        <v>0</v>
      </c>
      <c r="Z61" s="15">
        <v>0</v>
      </c>
      <c r="AA61" s="17" t="s">
        <v>364</v>
      </c>
      <c r="AB61" s="17" t="s">
        <v>364</v>
      </c>
      <c r="AC61" s="17" t="s">
        <v>364</v>
      </c>
      <c r="AD61" s="17" t="s">
        <v>364</v>
      </c>
      <c r="AE61" s="17" t="s">
        <v>364</v>
      </c>
      <c r="AF61" s="17" t="s">
        <v>364</v>
      </c>
    </row>
    <row r="62" spans="3:32" hidden="1" outlineLevel="1" x14ac:dyDescent="0.25">
      <c r="C62" s="23" t="s">
        <v>363</v>
      </c>
      <c r="D62" s="15">
        <v>0</v>
      </c>
      <c r="E62" s="57" t="s">
        <v>364</v>
      </c>
      <c r="F62" s="15">
        <v>0</v>
      </c>
      <c r="G62" s="15">
        <v>0</v>
      </c>
      <c r="H62" s="57" t="s">
        <v>364</v>
      </c>
      <c r="I62" s="15">
        <v>0</v>
      </c>
      <c r="J62" s="15">
        <v>1</v>
      </c>
      <c r="K62" s="57">
        <v>438.66</v>
      </c>
      <c r="L62" s="15">
        <v>438.66</v>
      </c>
      <c r="M62" s="15">
        <v>0</v>
      </c>
      <c r="N62" s="57" t="s">
        <v>364</v>
      </c>
      <c r="O62" s="15">
        <v>0</v>
      </c>
      <c r="P62" s="15">
        <v>2.0909090909090908</v>
      </c>
      <c r="Q62" s="29">
        <v>438.66</v>
      </c>
      <c r="R62" s="15">
        <v>917.19818181818187</v>
      </c>
      <c r="S62" s="15">
        <v>0</v>
      </c>
      <c r="T62" s="15" t="s">
        <v>364</v>
      </c>
      <c r="U62" s="15">
        <v>0</v>
      </c>
      <c r="V62" s="15">
        <v>1</v>
      </c>
      <c r="W62" s="15">
        <v>0</v>
      </c>
      <c r="X62" s="15">
        <v>438.66</v>
      </c>
      <c r="Y62" s="15">
        <v>0</v>
      </c>
      <c r="Z62" s="15">
        <v>0</v>
      </c>
      <c r="AA62" s="17" t="s">
        <v>364</v>
      </c>
      <c r="AB62" s="17" t="s">
        <v>364</v>
      </c>
      <c r="AC62" s="17" t="s">
        <v>364</v>
      </c>
      <c r="AD62" s="17" t="s">
        <v>364</v>
      </c>
      <c r="AE62" s="17" t="s">
        <v>364</v>
      </c>
      <c r="AF62" s="17" t="s">
        <v>364</v>
      </c>
    </row>
    <row r="63" spans="3:32" ht="15" customHeight="1" collapsed="1" x14ac:dyDescent="0.25">
      <c r="C63" s="23" t="s">
        <v>216</v>
      </c>
      <c r="D63" s="6">
        <v>46.869565217391305</v>
      </c>
      <c r="E63" s="53">
        <v>482.35714285714289</v>
      </c>
      <c r="F63" s="6">
        <v>22607.869565217392</v>
      </c>
      <c r="G63" s="6">
        <v>73.652173913043484</v>
      </c>
      <c r="H63" s="53">
        <v>722.83766233766232</v>
      </c>
      <c r="I63" s="6">
        <v>53238.565217391304</v>
      </c>
      <c r="J63" s="6">
        <v>144</v>
      </c>
      <c r="K63" s="53">
        <v>634.10305555555556</v>
      </c>
      <c r="L63" s="6">
        <v>91310.84</v>
      </c>
      <c r="M63" s="6">
        <v>187.24391304347824</v>
      </c>
      <c r="N63" s="53">
        <v>697.81142522796358</v>
      </c>
      <c r="O63" s="6">
        <v>130660.94182613044</v>
      </c>
      <c r="P63" s="6">
        <v>301.09090909090907</v>
      </c>
      <c r="Q63" s="10">
        <v>634.10305555555556</v>
      </c>
      <c r="R63" s="6">
        <v>190922.66545454544</v>
      </c>
      <c r="S63" s="6">
        <v>0</v>
      </c>
      <c r="T63" s="6" t="s">
        <v>364</v>
      </c>
      <c r="U63" s="6">
        <v>0</v>
      </c>
      <c r="V63" s="6">
        <v>-43.243913043478244</v>
      </c>
      <c r="W63" s="6">
        <v>-63.708369672408026</v>
      </c>
      <c r="X63" s="6">
        <v>-39350.101826130442</v>
      </c>
      <c r="Y63" s="6">
        <v>-9174.0052328267557</v>
      </c>
      <c r="Z63" s="6">
        <v>-30176.096593303679</v>
      </c>
      <c r="AA63" s="8">
        <v>0.76905036676179184</v>
      </c>
      <c r="AB63" s="8">
        <v>0.69883806686091909</v>
      </c>
      <c r="AC63" s="8">
        <v>2.0723562152133579</v>
      </c>
      <c r="AD63" s="8">
        <v>3.0388962673636151</v>
      </c>
      <c r="AE63" s="8">
        <v>0.95513577331759136</v>
      </c>
      <c r="AF63" s="8">
        <v>0.71512586087071561</v>
      </c>
    </row>
    <row r="64" spans="3:32" ht="15" hidden="1" customHeight="1" outlineLevel="1" x14ac:dyDescent="0.25">
      <c r="C64" s="23" t="s">
        <v>362</v>
      </c>
      <c r="D64" s="15">
        <v>42.086956521739133</v>
      </c>
      <c r="E64" s="57">
        <v>492.37499999999994</v>
      </c>
      <c r="F64" s="15">
        <v>20722.565217391304</v>
      </c>
      <c r="G64" s="15">
        <v>62.652173913043477</v>
      </c>
      <c r="H64" s="57">
        <v>747.00763358778636</v>
      </c>
      <c r="I64" s="15">
        <v>46801.652173913048</v>
      </c>
      <c r="J64" s="15">
        <v>117</v>
      </c>
      <c r="K64" s="57">
        <v>629.95820512820512</v>
      </c>
      <c r="L64" s="15">
        <v>73705.11</v>
      </c>
      <c r="M64" s="15">
        <v>0</v>
      </c>
      <c r="N64" s="57" t="s">
        <v>364</v>
      </c>
      <c r="O64" s="15">
        <v>0</v>
      </c>
      <c r="P64" s="15">
        <v>244.63636363636363</v>
      </c>
      <c r="Q64" s="29">
        <v>629.95820512820512</v>
      </c>
      <c r="R64" s="15">
        <v>154110.68454545454</v>
      </c>
      <c r="S64" s="15">
        <v>0</v>
      </c>
      <c r="T64" s="15" t="s">
        <v>364</v>
      </c>
      <c r="U64" s="15">
        <v>0</v>
      </c>
      <c r="V64" s="15">
        <v>117</v>
      </c>
      <c r="W64" s="15">
        <v>0</v>
      </c>
      <c r="X64" s="15">
        <v>73705.11</v>
      </c>
      <c r="Y64" s="15">
        <v>0</v>
      </c>
      <c r="Z64" s="15">
        <v>0</v>
      </c>
      <c r="AA64" s="17" t="s">
        <v>364</v>
      </c>
      <c r="AB64" s="17" t="s">
        <v>364</v>
      </c>
      <c r="AC64" s="17">
        <v>1.7799586776859504</v>
      </c>
      <c r="AD64" s="17">
        <v>2.5567560881962321</v>
      </c>
      <c r="AE64" s="17">
        <v>0.86745315752949348</v>
      </c>
      <c r="AF64" s="17">
        <v>0.57483991646523058</v>
      </c>
    </row>
    <row r="65" spans="3:32" hidden="1" outlineLevel="1" x14ac:dyDescent="0.25">
      <c r="C65" s="23" t="s">
        <v>363</v>
      </c>
      <c r="D65" s="15">
        <v>5.2608695652173916</v>
      </c>
      <c r="E65" s="57">
        <v>358.36363636363637</v>
      </c>
      <c r="F65" s="15">
        <v>1885.304347826087</v>
      </c>
      <c r="G65" s="15">
        <v>11</v>
      </c>
      <c r="H65" s="57">
        <v>585.13043478260875</v>
      </c>
      <c r="I65" s="15">
        <v>6436.434782608696</v>
      </c>
      <c r="J65" s="15">
        <v>27</v>
      </c>
      <c r="K65" s="57">
        <v>652.06407407407403</v>
      </c>
      <c r="L65" s="15">
        <v>17605.73</v>
      </c>
      <c r="M65" s="15">
        <v>0</v>
      </c>
      <c r="N65" s="57" t="s">
        <v>364</v>
      </c>
      <c r="O65" s="15">
        <v>0</v>
      </c>
      <c r="P65" s="15">
        <v>56.454545454545453</v>
      </c>
      <c r="Q65" s="29">
        <v>652.06407407407403</v>
      </c>
      <c r="R65" s="15">
        <v>36811.980909090904</v>
      </c>
      <c r="S65" s="15">
        <v>0</v>
      </c>
      <c r="T65" s="15" t="s">
        <v>364</v>
      </c>
      <c r="U65" s="15">
        <v>0</v>
      </c>
      <c r="V65" s="15">
        <v>27</v>
      </c>
      <c r="W65" s="15">
        <v>0</v>
      </c>
      <c r="X65" s="15">
        <v>17605.73</v>
      </c>
      <c r="Y65" s="15">
        <v>0</v>
      </c>
      <c r="Z65" s="15">
        <v>0</v>
      </c>
      <c r="AA65" s="17" t="s">
        <v>364</v>
      </c>
      <c r="AB65" s="17" t="s">
        <v>364</v>
      </c>
      <c r="AC65" s="17">
        <v>4.1322314049586772</v>
      </c>
      <c r="AD65" s="17">
        <v>8.3384020571006872</v>
      </c>
      <c r="AE65" s="17">
        <v>1.4545454545454546</v>
      </c>
      <c r="AF65" s="17">
        <v>1.7353232953701074</v>
      </c>
    </row>
    <row r="66" spans="3:32" ht="15" customHeight="1" collapsed="1" x14ac:dyDescent="0.25">
      <c r="C66" s="23" t="s">
        <v>50</v>
      </c>
      <c r="D66" s="6">
        <v>46.391304347826086</v>
      </c>
      <c r="E66" s="53">
        <v>266.8041237113402</v>
      </c>
      <c r="F66" s="6">
        <v>12377.391304347826</v>
      </c>
      <c r="G66" s="6">
        <v>33.956521739130437</v>
      </c>
      <c r="H66" s="53">
        <v>295.77464788732397</v>
      </c>
      <c r="I66" s="6">
        <v>10043.478260869566</v>
      </c>
      <c r="J66" s="6">
        <v>431</v>
      </c>
      <c r="K66" s="53">
        <v>322.19127610208818</v>
      </c>
      <c r="L66" s="6">
        <v>138864.44</v>
      </c>
      <c r="M66" s="6">
        <v>286.55956521739131</v>
      </c>
      <c r="N66" s="53">
        <v>348.67533955137941</v>
      </c>
      <c r="O66" s="6">
        <v>99916.253703869559</v>
      </c>
      <c r="P66" s="6">
        <v>901.18181818181813</v>
      </c>
      <c r="Q66" s="10">
        <v>322.19127610208818</v>
      </c>
      <c r="R66" s="6">
        <v>290352.92</v>
      </c>
      <c r="S66" s="6">
        <v>0</v>
      </c>
      <c r="T66" s="6" t="s">
        <v>364</v>
      </c>
      <c r="U66" s="6">
        <v>0</v>
      </c>
      <c r="V66" s="6">
        <v>144.44043478260869</v>
      </c>
      <c r="W66" s="6">
        <v>-26.484063449291227</v>
      </c>
      <c r="X66" s="6">
        <v>38948.186296130443</v>
      </c>
      <c r="Y66" s="6">
        <v>-11414.631346644519</v>
      </c>
      <c r="Z66" s="6">
        <v>50362.817642774957</v>
      </c>
      <c r="AA66" s="8">
        <v>1.5040502998845373</v>
      </c>
      <c r="AB66" s="8">
        <v>1.3898083129854384</v>
      </c>
      <c r="AC66" s="8">
        <v>8.2905342080599826</v>
      </c>
      <c r="AD66" s="8">
        <v>10.219200927357033</v>
      </c>
      <c r="AE66" s="8">
        <v>11.692701664532649</v>
      </c>
      <c r="AF66" s="8">
        <v>12.826329523809523</v>
      </c>
    </row>
    <row r="67" spans="3:32" ht="15" hidden="1" customHeight="1" outlineLevel="1" x14ac:dyDescent="0.25">
      <c r="C67" s="23" t="s">
        <v>362</v>
      </c>
      <c r="D67" s="15">
        <v>44.478260869565219</v>
      </c>
      <c r="E67" s="57">
        <v>268.80645161290323</v>
      </c>
      <c r="F67" s="15">
        <v>11956.04347826087</v>
      </c>
      <c r="G67" s="15">
        <v>32.043478260869563</v>
      </c>
      <c r="H67" s="57">
        <v>296.6567164179105</v>
      </c>
      <c r="I67" s="15">
        <v>9505.9130434782619</v>
      </c>
      <c r="J67" s="15">
        <v>363</v>
      </c>
      <c r="K67" s="57">
        <v>310.99881542699728</v>
      </c>
      <c r="L67" s="15">
        <v>112892.57</v>
      </c>
      <c r="M67" s="15">
        <v>0</v>
      </c>
      <c r="N67" s="57" t="s">
        <v>364</v>
      </c>
      <c r="O67" s="15">
        <v>0</v>
      </c>
      <c r="P67" s="15">
        <v>759</v>
      </c>
      <c r="Q67" s="29">
        <v>310.99881542699728</v>
      </c>
      <c r="R67" s="15">
        <v>236048.10090909092</v>
      </c>
      <c r="S67" s="15">
        <v>0</v>
      </c>
      <c r="T67" s="15" t="s">
        <v>364</v>
      </c>
      <c r="U67" s="15">
        <v>0</v>
      </c>
      <c r="V67" s="15">
        <v>363</v>
      </c>
      <c r="W67" s="15">
        <v>0</v>
      </c>
      <c r="X67" s="15">
        <v>112892.57</v>
      </c>
      <c r="Y67" s="15">
        <v>0</v>
      </c>
      <c r="Z67" s="15">
        <v>0</v>
      </c>
      <c r="AA67" s="17" t="s">
        <v>364</v>
      </c>
      <c r="AB67" s="17" t="s">
        <v>364</v>
      </c>
      <c r="AC67" s="17">
        <v>7.1612903225806441</v>
      </c>
      <c r="AD67" s="17">
        <v>8.4423017284327742</v>
      </c>
      <c r="AE67" s="17">
        <v>10.328358208955224</v>
      </c>
      <c r="AF67" s="17">
        <v>10.876036471578331</v>
      </c>
    </row>
    <row r="68" spans="3:32" ht="15" hidden="1" customHeight="1" outlineLevel="1" x14ac:dyDescent="0.25">
      <c r="C68" s="23" t="s">
        <v>363</v>
      </c>
      <c r="D68" s="15">
        <v>1.9130434782608696</v>
      </c>
      <c r="E68" s="57">
        <v>220</v>
      </c>
      <c r="F68" s="15">
        <v>420.86956521739131</v>
      </c>
      <c r="G68" s="15">
        <v>1.9130434782608696</v>
      </c>
      <c r="H68" s="57">
        <v>281</v>
      </c>
      <c r="I68" s="15">
        <v>537.56521739130437</v>
      </c>
      <c r="J68" s="15">
        <v>68</v>
      </c>
      <c r="K68" s="57">
        <v>381.93926470588235</v>
      </c>
      <c r="L68" s="15">
        <v>25971.87</v>
      </c>
      <c r="M68" s="15">
        <v>0</v>
      </c>
      <c r="N68" s="57" t="s">
        <v>364</v>
      </c>
      <c r="O68" s="15">
        <v>0</v>
      </c>
      <c r="P68" s="15">
        <v>142.18181818181819</v>
      </c>
      <c r="Q68" s="29">
        <v>381.93926470588229</v>
      </c>
      <c r="R68" s="15">
        <v>54304.819090909084</v>
      </c>
      <c r="S68" s="15">
        <v>0</v>
      </c>
      <c r="T68" s="15" t="s">
        <v>364</v>
      </c>
      <c r="U68" s="15">
        <v>0</v>
      </c>
      <c r="V68" s="15">
        <v>68</v>
      </c>
      <c r="W68" s="15">
        <v>0</v>
      </c>
      <c r="X68" s="15">
        <v>25971.87</v>
      </c>
      <c r="Y68" s="15">
        <v>0</v>
      </c>
      <c r="Z68" s="15">
        <v>0</v>
      </c>
      <c r="AA68" s="17" t="s">
        <v>364</v>
      </c>
      <c r="AB68" s="17" t="s">
        <v>364</v>
      </c>
      <c r="AC68" s="17">
        <v>34.54545454545454</v>
      </c>
      <c r="AD68" s="17">
        <v>60.710021694214873</v>
      </c>
      <c r="AE68" s="17">
        <v>34.54545454545454</v>
      </c>
      <c r="AF68" s="17">
        <v>47.313895988353281</v>
      </c>
    </row>
    <row r="69" spans="3:32" ht="15" customHeight="1" collapsed="1" x14ac:dyDescent="0.25">
      <c r="C69" s="23" t="s">
        <v>217</v>
      </c>
      <c r="D69" s="6">
        <v>19.608695652173914</v>
      </c>
      <c r="E69" s="53">
        <v>521.1219512195122</v>
      </c>
      <c r="F69" s="6">
        <v>10218.521739130436</v>
      </c>
      <c r="G69" s="6">
        <v>62.173913043478265</v>
      </c>
      <c r="H69" s="53">
        <v>473.66153846153844</v>
      </c>
      <c r="I69" s="6">
        <v>29449.391304347828</v>
      </c>
      <c r="J69" s="6">
        <v>61</v>
      </c>
      <c r="K69" s="53">
        <v>522.56475409836071</v>
      </c>
      <c r="L69" s="6">
        <v>31876.450000000004</v>
      </c>
      <c r="M69" s="6">
        <v>127.54083695652174</v>
      </c>
      <c r="N69" s="53">
        <v>628.53452686328001</v>
      </c>
      <c r="O69" s="6">
        <v>80163.819612214138</v>
      </c>
      <c r="P69" s="6">
        <v>127.54545454545455</v>
      </c>
      <c r="Q69" s="10">
        <v>522.56475409836071</v>
      </c>
      <c r="R69" s="6">
        <v>66650.759090909094</v>
      </c>
      <c r="S69" s="6">
        <v>0</v>
      </c>
      <c r="T69" s="6" t="s">
        <v>364</v>
      </c>
      <c r="U69" s="6">
        <v>0</v>
      </c>
      <c r="V69" s="6">
        <v>-66.540836956521744</v>
      </c>
      <c r="W69" s="6">
        <v>-105.9697727649193</v>
      </c>
      <c r="X69" s="6">
        <v>-48287.369612214134</v>
      </c>
      <c r="Y69" s="6">
        <v>-6464.156138660077</v>
      </c>
      <c r="Z69" s="6">
        <v>-41823.213473554053</v>
      </c>
      <c r="AA69" s="8">
        <v>0.47827818489849411</v>
      </c>
      <c r="AB69" s="8">
        <v>0.39764135683902913</v>
      </c>
      <c r="AC69" s="8">
        <v>2.1108647450110865</v>
      </c>
      <c r="AD69" s="8">
        <v>2.1194776322619626</v>
      </c>
      <c r="AE69" s="8">
        <v>-1.8881118881118951E-2</v>
      </c>
      <c r="AF69" s="8">
        <v>8.2414562344242825E-2</v>
      </c>
    </row>
    <row r="70" spans="3:32" ht="15" hidden="1" customHeight="1" outlineLevel="1" x14ac:dyDescent="0.25">
      <c r="C70" s="23" t="s">
        <v>362</v>
      </c>
      <c r="D70" s="15">
        <v>16.260869565217391</v>
      </c>
      <c r="E70" s="57">
        <v>478.41176470588238</v>
      </c>
      <c r="F70" s="15">
        <v>7779.391304347826</v>
      </c>
      <c r="G70" s="15">
        <v>52.130434782608695</v>
      </c>
      <c r="H70" s="57">
        <v>451.71559633027522</v>
      </c>
      <c r="I70" s="15">
        <v>23548.130434782608</v>
      </c>
      <c r="J70" s="15">
        <v>36</v>
      </c>
      <c r="K70" s="57">
        <v>456.33888888888902</v>
      </c>
      <c r="L70" s="15">
        <v>16428.200000000004</v>
      </c>
      <c r="M70" s="15">
        <v>0</v>
      </c>
      <c r="N70" s="57" t="s">
        <v>364</v>
      </c>
      <c r="O70" s="15">
        <v>0</v>
      </c>
      <c r="P70" s="15">
        <v>75.272727272727266</v>
      </c>
      <c r="Q70" s="29">
        <v>456.33888888888902</v>
      </c>
      <c r="R70" s="15">
        <v>34349.872727272734</v>
      </c>
      <c r="S70" s="15">
        <v>0</v>
      </c>
      <c r="T70" s="15" t="s">
        <v>364</v>
      </c>
      <c r="U70" s="15">
        <v>0</v>
      </c>
      <c r="V70" s="15">
        <v>36</v>
      </c>
      <c r="W70" s="15">
        <v>0</v>
      </c>
      <c r="X70" s="15">
        <v>16428.200000000004</v>
      </c>
      <c r="Y70" s="15">
        <v>0</v>
      </c>
      <c r="Z70" s="15">
        <v>0</v>
      </c>
      <c r="AA70" s="17" t="s">
        <v>364</v>
      </c>
      <c r="AB70" s="17" t="s">
        <v>364</v>
      </c>
      <c r="AC70" s="17">
        <v>1.2139037433155082</v>
      </c>
      <c r="AD70" s="17">
        <v>1.1117590512278825</v>
      </c>
      <c r="AE70" s="17">
        <v>-0.30942452043369473</v>
      </c>
      <c r="AF70" s="17">
        <v>-0.30235650573201583</v>
      </c>
    </row>
    <row r="71" spans="3:32" ht="15" hidden="1" customHeight="1" outlineLevel="1" x14ac:dyDescent="0.25">
      <c r="C71" s="23" t="s">
        <v>363</v>
      </c>
      <c r="D71" s="15">
        <v>2.8695652173913047</v>
      </c>
      <c r="E71" s="57">
        <v>850</v>
      </c>
      <c r="F71" s="15">
        <v>2439.130434782609</v>
      </c>
      <c r="G71" s="15">
        <v>10.043478260869566</v>
      </c>
      <c r="H71" s="57">
        <v>587.57142857142856</v>
      </c>
      <c r="I71" s="15">
        <v>5901.2608695652179</v>
      </c>
      <c r="J71" s="15">
        <v>25</v>
      </c>
      <c r="K71" s="57">
        <v>617.92999999999995</v>
      </c>
      <c r="L71" s="15">
        <v>15448.25</v>
      </c>
      <c r="M71" s="15">
        <v>0</v>
      </c>
      <c r="N71" s="57" t="s">
        <v>364</v>
      </c>
      <c r="O71" s="15">
        <v>0</v>
      </c>
      <c r="P71" s="15">
        <v>52.272727272727273</v>
      </c>
      <c r="Q71" s="29">
        <v>617.92999999999995</v>
      </c>
      <c r="R71" s="15">
        <v>32300.886363636364</v>
      </c>
      <c r="S71" s="15">
        <v>0</v>
      </c>
      <c r="T71" s="15" t="s">
        <v>364</v>
      </c>
      <c r="U71" s="15">
        <v>0</v>
      </c>
      <c r="V71" s="15">
        <v>25</v>
      </c>
      <c r="W71" s="15">
        <v>0</v>
      </c>
      <c r="X71" s="15">
        <v>15448.25</v>
      </c>
      <c r="Y71" s="15">
        <v>0</v>
      </c>
      <c r="Z71" s="15">
        <v>0</v>
      </c>
      <c r="AA71" s="17" t="s">
        <v>364</v>
      </c>
      <c r="AB71" s="17" t="s">
        <v>364</v>
      </c>
      <c r="AC71" s="17">
        <v>7.712121212121211</v>
      </c>
      <c r="AD71" s="17">
        <v>5.3335071301247767</v>
      </c>
      <c r="AE71" s="17">
        <v>1.4891774891774889</v>
      </c>
      <c r="AF71" s="17">
        <v>1.6177880187727012</v>
      </c>
    </row>
    <row r="72" spans="3:32" ht="15" customHeight="1" collapsed="1" x14ac:dyDescent="0.25">
      <c r="C72" s="23" t="s">
        <v>40</v>
      </c>
      <c r="D72" s="6">
        <v>53.565217391304351</v>
      </c>
      <c r="E72" s="53">
        <v>200.11607142857142</v>
      </c>
      <c r="F72" s="6">
        <v>10719.260869565218</v>
      </c>
      <c r="G72" s="6">
        <v>50.217391304347828</v>
      </c>
      <c r="H72" s="53">
        <v>179.25714285714287</v>
      </c>
      <c r="I72" s="6">
        <v>9001.826086956522</v>
      </c>
      <c r="J72" s="6">
        <v>235</v>
      </c>
      <c r="K72" s="53">
        <v>214.69063829787234</v>
      </c>
      <c r="L72" s="6">
        <v>50452.3</v>
      </c>
      <c r="M72" s="6">
        <v>160.49478260869563</v>
      </c>
      <c r="N72" s="53">
        <v>203.77759999999998</v>
      </c>
      <c r="O72" s="6">
        <v>32705.241612521731</v>
      </c>
      <c r="P72" s="6">
        <v>491.36363636363637</v>
      </c>
      <c r="Q72" s="10">
        <v>214.69063829787234</v>
      </c>
      <c r="R72" s="6">
        <v>105491.17272727273</v>
      </c>
      <c r="S72" s="6">
        <v>0</v>
      </c>
      <c r="T72" s="6" t="s">
        <v>364</v>
      </c>
      <c r="U72" s="6">
        <v>0</v>
      </c>
      <c r="V72" s="6">
        <v>74.50521739130437</v>
      </c>
      <c r="W72" s="6">
        <v>10.913038297872362</v>
      </c>
      <c r="X72" s="6">
        <v>17747.058387478271</v>
      </c>
      <c r="Y72" s="6">
        <v>2564.5640000000049</v>
      </c>
      <c r="Z72" s="6">
        <v>15182.494387478264</v>
      </c>
      <c r="AA72" s="8">
        <v>1.4642220524573468</v>
      </c>
      <c r="AB72" s="8">
        <v>1.5426365167314198</v>
      </c>
      <c r="AC72" s="8">
        <v>3.3871753246753245</v>
      </c>
      <c r="AD72" s="8">
        <v>3.7066957893754844</v>
      </c>
      <c r="AE72" s="8">
        <v>3.6796536796536796</v>
      </c>
      <c r="AF72" s="8">
        <v>4.6046739308932487</v>
      </c>
    </row>
    <row r="73" spans="3:32" ht="15" hidden="1" customHeight="1" outlineLevel="1" x14ac:dyDescent="0.25">
      <c r="C73" s="23" t="s">
        <v>362</v>
      </c>
      <c r="D73" s="15">
        <v>51.173913043478265</v>
      </c>
      <c r="E73" s="57">
        <v>199.55140186915887</v>
      </c>
      <c r="F73" s="15">
        <v>10211.826086956522</v>
      </c>
      <c r="G73" s="15">
        <v>47.347826086956523</v>
      </c>
      <c r="H73" s="57">
        <v>183.47474747474746</v>
      </c>
      <c r="I73" s="15">
        <v>8687.1304347826081</v>
      </c>
      <c r="J73" s="15">
        <v>218</v>
      </c>
      <c r="K73" s="57">
        <v>213.37155963302752</v>
      </c>
      <c r="L73" s="15">
        <v>46515</v>
      </c>
      <c r="M73" s="15">
        <v>0</v>
      </c>
      <c r="N73" s="57" t="s">
        <v>364</v>
      </c>
      <c r="O73" s="15">
        <v>0</v>
      </c>
      <c r="P73" s="15">
        <v>455.81818181818181</v>
      </c>
      <c r="Q73" s="29">
        <v>213.37155963302754</v>
      </c>
      <c r="R73" s="15">
        <v>97258.636363636368</v>
      </c>
      <c r="S73" s="15">
        <v>0</v>
      </c>
      <c r="T73" s="15" t="s">
        <v>364</v>
      </c>
      <c r="U73" s="15">
        <v>0</v>
      </c>
      <c r="V73" s="15">
        <v>218</v>
      </c>
      <c r="W73" s="15">
        <v>0</v>
      </c>
      <c r="X73" s="15">
        <v>46515</v>
      </c>
      <c r="Y73" s="15">
        <v>0</v>
      </c>
      <c r="Z73" s="15">
        <v>0</v>
      </c>
      <c r="AA73" s="17" t="s">
        <v>364</v>
      </c>
      <c r="AB73" s="17" t="s">
        <v>364</v>
      </c>
      <c r="AC73" s="17">
        <v>3.259983007646559</v>
      </c>
      <c r="AD73" s="17">
        <v>3.5550129432201372</v>
      </c>
      <c r="AE73" s="17">
        <v>3.6042240587695131</v>
      </c>
      <c r="AF73" s="17">
        <v>4.3544723829352767</v>
      </c>
    </row>
    <row r="74" spans="3:32" ht="15" hidden="1" customHeight="1" outlineLevel="1" x14ac:dyDescent="0.25">
      <c r="C74" s="23" t="s">
        <v>363</v>
      </c>
      <c r="D74" s="15">
        <v>2.3913043478260869</v>
      </c>
      <c r="E74" s="57">
        <v>212.20000000000002</v>
      </c>
      <c r="F74" s="15">
        <v>507.43478260869568</v>
      </c>
      <c r="G74" s="15">
        <v>2.8695652173913047</v>
      </c>
      <c r="H74" s="57">
        <v>109.66666666666666</v>
      </c>
      <c r="I74" s="15">
        <v>314.69565217391306</v>
      </c>
      <c r="J74" s="15">
        <v>17</v>
      </c>
      <c r="K74" s="57">
        <v>231.60588235294119</v>
      </c>
      <c r="L74" s="15">
        <v>3937.3</v>
      </c>
      <c r="M74" s="15">
        <v>0</v>
      </c>
      <c r="N74" s="57" t="s">
        <v>364</v>
      </c>
      <c r="O74" s="15">
        <v>0</v>
      </c>
      <c r="P74" s="15">
        <v>35.545454545454547</v>
      </c>
      <c r="Q74" s="29">
        <v>231.60588235294117</v>
      </c>
      <c r="R74" s="15">
        <v>8232.5363636363636</v>
      </c>
      <c r="S74" s="15">
        <v>0</v>
      </c>
      <c r="T74" s="15" t="s">
        <v>364</v>
      </c>
      <c r="U74" s="15">
        <v>0</v>
      </c>
      <c r="V74" s="15">
        <v>17</v>
      </c>
      <c r="W74" s="15">
        <v>0</v>
      </c>
      <c r="X74" s="15">
        <v>3937.3</v>
      </c>
      <c r="Y74" s="15">
        <v>0</v>
      </c>
      <c r="Z74" s="15">
        <v>0</v>
      </c>
      <c r="AA74" s="17" t="s">
        <v>364</v>
      </c>
      <c r="AB74" s="17" t="s">
        <v>364</v>
      </c>
      <c r="AC74" s="17">
        <v>6.1090909090909093</v>
      </c>
      <c r="AD74" s="17">
        <v>6.7592237169051499</v>
      </c>
      <c r="AE74" s="17">
        <v>4.9242424242424239</v>
      </c>
      <c r="AF74" s="17">
        <v>11.511453440176844</v>
      </c>
    </row>
    <row r="75" spans="3:32" ht="15" customHeight="1" collapsed="1" x14ac:dyDescent="0.25">
      <c r="C75" s="23" t="s">
        <v>52</v>
      </c>
      <c r="D75" s="6">
        <v>44</v>
      </c>
      <c r="E75" s="53">
        <v>497.41304347826093</v>
      </c>
      <c r="F75" s="6">
        <v>21886.17391304348</v>
      </c>
      <c r="G75" s="6">
        <v>56.434782608695656</v>
      </c>
      <c r="H75" s="53">
        <v>519.76271186440681</v>
      </c>
      <c r="I75" s="6">
        <v>29332.695652173916</v>
      </c>
      <c r="J75" s="6">
        <v>133</v>
      </c>
      <c r="K75" s="53">
        <v>496.896015037594</v>
      </c>
      <c r="L75" s="6">
        <v>66087.17</v>
      </c>
      <c r="M75" s="6">
        <v>232.57347826086959</v>
      </c>
      <c r="N75" s="53">
        <v>504.16966863394265</v>
      </c>
      <c r="O75" s="6">
        <v>117256.49346782609</v>
      </c>
      <c r="P75" s="6">
        <v>278.09090909090907</v>
      </c>
      <c r="Q75" s="10">
        <v>496.89601503759394</v>
      </c>
      <c r="R75" s="6">
        <v>138182.26454545453</v>
      </c>
      <c r="S75" s="6">
        <v>0</v>
      </c>
      <c r="T75" s="6" t="s">
        <v>364</v>
      </c>
      <c r="U75" s="6">
        <v>0</v>
      </c>
      <c r="V75" s="6">
        <v>-99.573478260869592</v>
      </c>
      <c r="W75" s="6">
        <v>-7.2736535963486517</v>
      </c>
      <c r="X75" s="6">
        <v>-51169.323467826092</v>
      </c>
      <c r="Y75" s="6">
        <v>-967.39592831437062</v>
      </c>
      <c r="Z75" s="6">
        <v>-50201.927539511715</v>
      </c>
      <c r="AA75" s="8">
        <v>0.57186228195296851</v>
      </c>
      <c r="AB75" s="8">
        <v>0.56361202732140037</v>
      </c>
      <c r="AC75" s="8">
        <v>2.0227272727272729</v>
      </c>
      <c r="AD75" s="8">
        <v>2.0195853447282577</v>
      </c>
      <c r="AE75" s="8">
        <v>1.3567026194144836</v>
      </c>
      <c r="AF75" s="8">
        <v>1.2530206832559596</v>
      </c>
    </row>
    <row r="76" spans="3:32" ht="15" hidden="1" customHeight="1" outlineLevel="1" x14ac:dyDescent="0.25">
      <c r="C76" s="23" t="s">
        <v>362</v>
      </c>
      <c r="D76" s="15">
        <v>42.086956521739133</v>
      </c>
      <c r="E76" s="57">
        <v>513.60227272727275</v>
      </c>
      <c r="F76" s="15">
        <v>21615.956521739132</v>
      </c>
      <c r="G76" s="15">
        <v>55</v>
      </c>
      <c r="H76" s="57">
        <v>528.46956521739139</v>
      </c>
      <c r="I76" s="15">
        <v>29065.826086956524</v>
      </c>
      <c r="J76" s="15">
        <v>128</v>
      </c>
      <c r="K76" s="57">
        <v>506.21656250000001</v>
      </c>
      <c r="L76" s="15">
        <v>64795.72</v>
      </c>
      <c r="M76" s="15">
        <v>0</v>
      </c>
      <c r="N76" s="57" t="s">
        <v>364</v>
      </c>
      <c r="O76" s="15">
        <v>0</v>
      </c>
      <c r="P76" s="15">
        <v>267.63636363636363</v>
      </c>
      <c r="Q76" s="29">
        <v>506.21656250000001</v>
      </c>
      <c r="R76" s="15">
        <v>135481.96</v>
      </c>
      <c r="S76" s="15">
        <v>0</v>
      </c>
      <c r="T76" s="15" t="s">
        <v>364</v>
      </c>
      <c r="U76" s="15">
        <v>0</v>
      </c>
      <c r="V76" s="15">
        <v>128</v>
      </c>
      <c r="W76" s="15">
        <v>0</v>
      </c>
      <c r="X76" s="15">
        <v>64795.72</v>
      </c>
      <c r="Y76" s="15">
        <v>0</v>
      </c>
      <c r="Z76" s="15">
        <v>0</v>
      </c>
      <c r="AA76" s="17" t="s">
        <v>364</v>
      </c>
      <c r="AB76" s="17" t="s">
        <v>364</v>
      </c>
      <c r="AC76" s="17">
        <v>2.0413223140495869</v>
      </c>
      <c r="AD76" s="17">
        <v>1.9975874504945015</v>
      </c>
      <c r="AE76" s="17">
        <v>1.3272727272727274</v>
      </c>
      <c r="AF76" s="17">
        <v>1.2292750189225654</v>
      </c>
    </row>
    <row r="77" spans="3:32" ht="15" hidden="1" customHeight="1" outlineLevel="1" x14ac:dyDescent="0.25">
      <c r="C77" s="23" t="s">
        <v>363</v>
      </c>
      <c r="D77" s="15">
        <v>1.4347826086956523</v>
      </c>
      <c r="E77" s="57">
        <v>188.33333333333331</v>
      </c>
      <c r="F77" s="15">
        <v>270.21739130434781</v>
      </c>
      <c r="G77" s="15">
        <v>0.95652173913043481</v>
      </c>
      <c r="H77" s="57">
        <v>279</v>
      </c>
      <c r="I77" s="15">
        <v>266.86956521739131</v>
      </c>
      <c r="J77" s="15">
        <v>5</v>
      </c>
      <c r="K77" s="57">
        <v>258.29000000000002</v>
      </c>
      <c r="L77" s="15">
        <v>1291.45</v>
      </c>
      <c r="M77" s="15">
        <v>0</v>
      </c>
      <c r="N77" s="57" t="s">
        <v>364</v>
      </c>
      <c r="O77" s="15">
        <v>0</v>
      </c>
      <c r="P77" s="15">
        <v>10.454545454545455</v>
      </c>
      <c r="Q77" s="29">
        <v>258.28999999999996</v>
      </c>
      <c r="R77" s="15">
        <v>2700.3045454545454</v>
      </c>
      <c r="S77" s="15">
        <v>0</v>
      </c>
      <c r="T77" s="15" t="s">
        <v>364</v>
      </c>
      <c r="U77" s="15">
        <v>0</v>
      </c>
      <c r="V77" s="15">
        <v>5</v>
      </c>
      <c r="W77" s="15">
        <v>0</v>
      </c>
      <c r="X77" s="15">
        <v>1291.45</v>
      </c>
      <c r="Y77" s="15">
        <v>0</v>
      </c>
      <c r="Z77" s="15">
        <v>0</v>
      </c>
      <c r="AA77" s="17" t="s">
        <v>364</v>
      </c>
      <c r="AB77" s="17" t="s">
        <v>364</v>
      </c>
      <c r="AC77" s="17">
        <v>2.4848484848484844</v>
      </c>
      <c r="AD77" s="17">
        <v>3.7793000804505237</v>
      </c>
      <c r="AE77" s="17">
        <v>4.2272727272727275</v>
      </c>
      <c r="AF77" s="17">
        <v>3.8392554578038451</v>
      </c>
    </row>
    <row r="78" spans="3:32" ht="15" customHeight="1" collapsed="1" x14ac:dyDescent="0.25">
      <c r="C78" s="23" t="s">
        <v>218</v>
      </c>
      <c r="D78" s="6">
        <v>0</v>
      </c>
      <c r="E78" s="53" t="s">
        <v>364</v>
      </c>
      <c r="F78" s="6">
        <v>0</v>
      </c>
      <c r="G78" s="6">
        <v>0</v>
      </c>
      <c r="H78" s="53" t="s">
        <v>364</v>
      </c>
      <c r="I78" s="6">
        <v>0</v>
      </c>
      <c r="J78" s="6">
        <v>0</v>
      </c>
      <c r="K78" s="53" t="s">
        <v>364</v>
      </c>
      <c r="L78" s="6">
        <v>0</v>
      </c>
      <c r="M78" s="6">
        <v>30.290909090909093</v>
      </c>
      <c r="N78" s="53">
        <v>734.77499999999998</v>
      </c>
      <c r="O78" s="6">
        <v>22257.002727272727</v>
      </c>
      <c r="P78" s="6">
        <v>0</v>
      </c>
      <c r="Q78" s="10" t="s">
        <v>364</v>
      </c>
      <c r="R78" s="6">
        <v>0</v>
      </c>
      <c r="S78" s="6">
        <v>0</v>
      </c>
      <c r="T78" s="6" t="s">
        <v>364</v>
      </c>
      <c r="U78" s="6">
        <v>0</v>
      </c>
      <c r="V78" s="6">
        <v>-30.290909090909093</v>
      </c>
      <c r="W78" s="6">
        <v>0</v>
      </c>
      <c r="X78" s="6">
        <v>-22257.002727272727</v>
      </c>
      <c r="Y78" s="6">
        <v>0</v>
      </c>
      <c r="Z78" s="6">
        <v>-22257.002727272727</v>
      </c>
      <c r="AA78" s="8">
        <v>0</v>
      </c>
      <c r="AB78" s="8">
        <v>0</v>
      </c>
      <c r="AC78" s="8" t="s">
        <v>364</v>
      </c>
      <c r="AD78" s="8" t="s">
        <v>364</v>
      </c>
      <c r="AE78" s="8" t="s">
        <v>364</v>
      </c>
      <c r="AF78" s="8" t="s">
        <v>364</v>
      </c>
    </row>
    <row r="79" spans="3:32" ht="15" hidden="1" customHeight="1" outlineLevel="1" x14ac:dyDescent="0.25">
      <c r="C79" s="23" t="s">
        <v>362</v>
      </c>
      <c r="D79" s="15">
        <v>0</v>
      </c>
      <c r="E79" s="57" t="s">
        <v>364</v>
      </c>
      <c r="F79" s="15">
        <v>0</v>
      </c>
      <c r="G79" s="15">
        <v>0</v>
      </c>
      <c r="H79" s="57" t="s">
        <v>364</v>
      </c>
      <c r="I79" s="15">
        <v>0</v>
      </c>
      <c r="J79" s="15">
        <v>0</v>
      </c>
      <c r="K79" s="57" t="s">
        <v>364</v>
      </c>
      <c r="L79" s="15">
        <v>0</v>
      </c>
      <c r="M79" s="15">
        <v>0</v>
      </c>
      <c r="N79" s="57" t="s">
        <v>364</v>
      </c>
      <c r="O79" s="15">
        <v>0</v>
      </c>
      <c r="P79" s="15">
        <v>0</v>
      </c>
      <c r="Q79" s="29" t="s">
        <v>364</v>
      </c>
      <c r="R79" s="15">
        <v>0</v>
      </c>
      <c r="S79" s="15">
        <v>0</v>
      </c>
      <c r="T79" s="15" t="s">
        <v>364</v>
      </c>
      <c r="U79" s="15">
        <v>0</v>
      </c>
      <c r="V79" s="15">
        <v>0</v>
      </c>
      <c r="W79" s="15">
        <v>0</v>
      </c>
      <c r="X79" s="15">
        <v>0</v>
      </c>
      <c r="Y79" s="15">
        <v>0</v>
      </c>
      <c r="Z79" s="15">
        <v>0</v>
      </c>
      <c r="AA79" s="17" t="s">
        <v>364</v>
      </c>
      <c r="AB79" s="17" t="s">
        <v>364</v>
      </c>
      <c r="AC79" s="17" t="s">
        <v>364</v>
      </c>
      <c r="AD79" s="17" t="s">
        <v>364</v>
      </c>
      <c r="AE79" s="17" t="s">
        <v>364</v>
      </c>
      <c r="AF79" s="17" t="s">
        <v>364</v>
      </c>
    </row>
    <row r="80" spans="3:32" ht="15" hidden="1" customHeight="1" outlineLevel="1" x14ac:dyDescent="0.25">
      <c r="C80" s="23" t="s">
        <v>363</v>
      </c>
      <c r="D80" s="15">
        <v>0</v>
      </c>
      <c r="E80" s="57" t="s">
        <v>364</v>
      </c>
      <c r="F80" s="15">
        <v>0</v>
      </c>
      <c r="G80" s="15">
        <v>0</v>
      </c>
      <c r="H80" s="57" t="s">
        <v>364</v>
      </c>
      <c r="I80" s="15">
        <v>0</v>
      </c>
      <c r="J80" s="15">
        <v>0</v>
      </c>
      <c r="K80" s="57" t="s">
        <v>364</v>
      </c>
      <c r="L80" s="15">
        <v>0</v>
      </c>
      <c r="M80" s="15">
        <v>0</v>
      </c>
      <c r="N80" s="57" t="s">
        <v>364</v>
      </c>
      <c r="O80" s="15">
        <v>0</v>
      </c>
      <c r="P80" s="15">
        <v>0</v>
      </c>
      <c r="Q80" s="29" t="s">
        <v>364</v>
      </c>
      <c r="R80" s="15">
        <v>0</v>
      </c>
      <c r="S80" s="15">
        <v>0</v>
      </c>
      <c r="T80" s="15" t="s">
        <v>364</v>
      </c>
      <c r="U80" s="15">
        <v>0</v>
      </c>
      <c r="V80" s="15">
        <v>0</v>
      </c>
      <c r="W80" s="15">
        <v>0</v>
      </c>
      <c r="X80" s="15">
        <v>0</v>
      </c>
      <c r="Y80" s="15">
        <v>0</v>
      </c>
      <c r="Z80" s="15">
        <v>0</v>
      </c>
      <c r="AA80" s="17" t="s">
        <v>364</v>
      </c>
      <c r="AB80" s="17" t="s">
        <v>364</v>
      </c>
      <c r="AC80" s="17" t="s">
        <v>364</v>
      </c>
      <c r="AD80" s="17" t="s">
        <v>364</v>
      </c>
      <c r="AE80" s="17" t="s">
        <v>364</v>
      </c>
      <c r="AF80" s="17" t="s">
        <v>364</v>
      </c>
    </row>
    <row r="81" spans="3:32" ht="15" customHeight="1" collapsed="1" x14ac:dyDescent="0.25">
      <c r="C81" s="23" t="s">
        <v>41</v>
      </c>
      <c r="D81" s="6">
        <v>24.869565217391305</v>
      </c>
      <c r="E81" s="53">
        <v>681.51923076923083</v>
      </c>
      <c r="F81" s="6">
        <v>16949.08695652174</v>
      </c>
      <c r="G81" s="6">
        <v>26.782608695652176</v>
      </c>
      <c r="H81" s="53">
        <v>283.16071428571428</v>
      </c>
      <c r="I81" s="6">
        <v>7583.782608695652</v>
      </c>
      <c r="J81" s="6">
        <v>112</v>
      </c>
      <c r="K81" s="53">
        <v>536.94794642857141</v>
      </c>
      <c r="L81" s="6">
        <v>60138.17</v>
      </c>
      <c r="M81" s="6">
        <v>149.29391304347826</v>
      </c>
      <c r="N81" s="53">
        <v>679.77465583034336</v>
      </c>
      <c r="O81" s="6">
        <v>101486.21835669564</v>
      </c>
      <c r="P81" s="6">
        <v>234.18181818181819</v>
      </c>
      <c r="Q81" s="10">
        <v>536.94794642857141</v>
      </c>
      <c r="R81" s="6">
        <v>125743.44636363635</v>
      </c>
      <c r="S81" s="6">
        <v>0</v>
      </c>
      <c r="T81" s="6" t="s">
        <v>364</v>
      </c>
      <c r="U81" s="6">
        <v>0</v>
      </c>
      <c r="V81" s="6">
        <v>-37.293913043478256</v>
      </c>
      <c r="W81" s="6">
        <v>-142.82670940177195</v>
      </c>
      <c r="X81" s="6">
        <v>-41348.048356695639</v>
      </c>
      <c r="Y81" s="6">
        <v>-15996.591452998458</v>
      </c>
      <c r="Z81" s="6">
        <v>-25351.456903697184</v>
      </c>
      <c r="AA81" s="8">
        <v>0.75019803364242121</v>
      </c>
      <c r="AB81" s="8">
        <v>0.59257474535735655</v>
      </c>
      <c r="AC81" s="8">
        <v>3.5034965034965033</v>
      </c>
      <c r="AD81" s="8">
        <v>2.5481657598588092</v>
      </c>
      <c r="AE81" s="8">
        <v>3.1818181818181817</v>
      </c>
      <c r="AF81" s="8">
        <v>6.9298383277818232</v>
      </c>
    </row>
    <row r="82" spans="3:32" ht="15" hidden="1" customHeight="1" outlineLevel="1" x14ac:dyDescent="0.25">
      <c r="C82" s="23" t="s">
        <v>362</v>
      </c>
      <c r="D82" s="15">
        <v>23.913043478260871</v>
      </c>
      <c r="E82" s="57">
        <v>705.3</v>
      </c>
      <c r="F82" s="15">
        <v>16865.869565217392</v>
      </c>
      <c r="G82" s="15">
        <v>25.347826086956523</v>
      </c>
      <c r="H82" s="57">
        <v>292</v>
      </c>
      <c r="I82" s="15">
        <v>7401.5652173913049</v>
      </c>
      <c r="J82" s="15">
        <v>102</v>
      </c>
      <c r="K82" s="57">
        <v>569.3032352941176</v>
      </c>
      <c r="L82" s="15">
        <v>58068.93</v>
      </c>
      <c r="M82" s="15">
        <v>0</v>
      </c>
      <c r="N82" s="57" t="s">
        <v>364</v>
      </c>
      <c r="O82" s="15">
        <v>0</v>
      </c>
      <c r="P82" s="15">
        <v>213.27272727272725</v>
      </c>
      <c r="Q82" s="29">
        <v>569.30323529411771</v>
      </c>
      <c r="R82" s="15">
        <v>121416.85363636364</v>
      </c>
      <c r="S82" s="15">
        <v>0</v>
      </c>
      <c r="T82" s="15" t="s">
        <v>364</v>
      </c>
      <c r="U82" s="15">
        <v>0</v>
      </c>
      <c r="V82" s="15">
        <v>102</v>
      </c>
      <c r="W82" s="15">
        <v>0</v>
      </c>
      <c r="X82" s="15">
        <v>58068.93</v>
      </c>
      <c r="Y82" s="15">
        <v>0</v>
      </c>
      <c r="Z82" s="15">
        <v>0</v>
      </c>
      <c r="AA82" s="17" t="s">
        <v>364</v>
      </c>
      <c r="AB82" s="17" t="s">
        <v>364</v>
      </c>
      <c r="AC82" s="17">
        <v>3.2654545454545452</v>
      </c>
      <c r="AD82" s="17">
        <v>2.4429846486988129</v>
      </c>
      <c r="AE82" s="17">
        <v>3.024013722126929</v>
      </c>
      <c r="AF82" s="17">
        <v>6.8454932564204984</v>
      </c>
    </row>
    <row r="83" spans="3:32" ht="15" hidden="1" customHeight="1" outlineLevel="1" x14ac:dyDescent="0.25">
      <c r="C83" s="23" t="s">
        <v>363</v>
      </c>
      <c r="D83" s="15">
        <v>0.95652173913043481</v>
      </c>
      <c r="E83" s="57">
        <v>87.5</v>
      </c>
      <c r="F83" s="15">
        <v>83.695652173913047</v>
      </c>
      <c r="G83" s="15">
        <v>1.4347826086956523</v>
      </c>
      <c r="H83" s="57">
        <v>126.66666666666666</v>
      </c>
      <c r="I83" s="15">
        <v>181.73913043478262</v>
      </c>
      <c r="J83" s="15">
        <v>9</v>
      </c>
      <c r="K83" s="57">
        <v>229.91555555555558</v>
      </c>
      <c r="L83" s="15">
        <v>2069.2400000000002</v>
      </c>
      <c r="M83" s="15">
        <v>0</v>
      </c>
      <c r="N83" s="57" t="s">
        <v>364</v>
      </c>
      <c r="O83" s="15">
        <v>0</v>
      </c>
      <c r="P83" s="15">
        <v>18.818181818181817</v>
      </c>
      <c r="Q83" s="29">
        <v>229.91555555555558</v>
      </c>
      <c r="R83" s="15">
        <v>4326.5927272727276</v>
      </c>
      <c r="S83" s="15">
        <v>0</v>
      </c>
      <c r="T83" s="15" t="s">
        <v>364</v>
      </c>
      <c r="U83" s="15">
        <v>0</v>
      </c>
      <c r="V83" s="15">
        <v>9</v>
      </c>
      <c r="W83" s="15">
        <v>0</v>
      </c>
      <c r="X83" s="15">
        <v>2069.2400000000002</v>
      </c>
      <c r="Y83" s="15">
        <v>0</v>
      </c>
      <c r="Z83" s="15">
        <v>0</v>
      </c>
      <c r="AA83" s="17" t="s">
        <v>364</v>
      </c>
      <c r="AB83" s="17" t="s">
        <v>364</v>
      </c>
      <c r="AC83" s="17">
        <v>8.4090909090909083</v>
      </c>
      <c r="AD83" s="17">
        <v>23.723387012987015</v>
      </c>
      <c r="AE83" s="17">
        <v>5.2727272727272725</v>
      </c>
      <c r="AF83" s="17">
        <v>10.38577033492823</v>
      </c>
    </row>
    <row r="84" spans="3:32" ht="15" customHeight="1" collapsed="1" x14ac:dyDescent="0.25">
      <c r="C84" s="23" t="s">
        <v>219</v>
      </c>
      <c r="D84" s="6">
        <v>27.739130434782609</v>
      </c>
      <c r="E84" s="53">
        <v>429.91379310344826</v>
      </c>
      <c r="F84" s="6">
        <v>11925.434782608696</v>
      </c>
      <c r="G84" s="6">
        <v>24.391304347826086</v>
      </c>
      <c r="H84" s="53">
        <v>360.98039215686276</v>
      </c>
      <c r="I84" s="6">
        <v>8804.782608695652</v>
      </c>
      <c r="J84" s="6">
        <v>130</v>
      </c>
      <c r="K84" s="53">
        <v>457.23330769230773</v>
      </c>
      <c r="L84" s="6">
        <v>59440.33</v>
      </c>
      <c r="M84" s="6">
        <v>161.63304347826087</v>
      </c>
      <c r="N84" s="53">
        <v>409.51459999999992</v>
      </c>
      <c r="O84" s="6">
        <v>66191.091146782594</v>
      </c>
      <c r="P84" s="6">
        <v>271.81818181818181</v>
      </c>
      <c r="Q84" s="10">
        <v>457.23330769230773</v>
      </c>
      <c r="R84" s="6">
        <v>124284.32636363637</v>
      </c>
      <c r="S84" s="6">
        <v>0</v>
      </c>
      <c r="T84" s="6" t="s">
        <v>364</v>
      </c>
      <c r="U84" s="6">
        <v>0</v>
      </c>
      <c r="V84" s="6">
        <v>-31.633043478260873</v>
      </c>
      <c r="W84" s="6">
        <v>47.718707692307817</v>
      </c>
      <c r="X84" s="6">
        <v>-6750.7611467825918</v>
      </c>
      <c r="Y84" s="6">
        <v>6203.4320000000162</v>
      </c>
      <c r="Z84" s="6">
        <v>-12954.193146782607</v>
      </c>
      <c r="AA84" s="8">
        <v>0.80429098656107767</v>
      </c>
      <c r="AB84" s="8">
        <v>0.89801103094353907</v>
      </c>
      <c r="AC84" s="8">
        <v>3.6865203761755483</v>
      </c>
      <c r="AD84" s="8">
        <v>3.9843323185737463</v>
      </c>
      <c r="AE84" s="8">
        <v>4.3297682709447418</v>
      </c>
      <c r="AF84" s="8">
        <v>5.7509139795565662</v>
      </c>
    </row>
    <row r="85" spans="3:32" ht="15" hidden="1" customHeight="1" outlineLevel="1" x14ac:dyDescent="0.25">
      <c r="C85" s="23" t="s">
        <v>362</v>
      </c>
      <c r="D85" s="15">
        <v>24.391304347826086</v>
      </c>
      <c r="E85" s="57">
        <v>394.50980392156862</v>
      </c>
      <c r="F85" s="15">
        <v>9622.608695652174</v>
      </c>
      <c r="G85" s="15">
        <v>20.086956521739133</v>
      </c>
      <c r="H85" s="57">
        <v>378.83333333333331</v>
      </c>
      <c r="I85" s="15">
        <v>7609.608695652174</v>
      </c>
      <c r="J85" s="15">
        <v>102</v>
      </c>
      <c r="K85" s="57">
        <v>443.42715686274511</v>
      </c>
      <c r="L85" s="15">
        <v>45229.57</v>
      </c>
      <c r="M85" s="15">
        <v>0</v>
      </c>
      <c r="N85" s="57" t="s">
        <v>364</v>
      </c>
      <c r="O85" s="15">
        <v>0</v>
      </c>
      <c r="P85" s="15">
        <v>213.27272727272725</v>
      </c>
      <c r="Q85" s="29">
        <v>443.42715686274511</v>
      </c>
      <c r="R85" s="15">
        <v>94570.919090909083</v>
      </c>
      <c r="S85" s="15">
        <v>0</v>
      </c>
      <c r="T85" s="15" t="s">
        <v>364</v>
      </c>
      <c r="U85" s="15">
        <v>0</v>
      </c>
      <c r="V85" s="15">
        <v>102</v>
      </c>
      <c r="W85" s="15">
        <v>0</v>
      </c>
      <c r="X85" s="15">
        <v>45229.57</v>
      </c>
      <c r="Y85" s="15">
        <v>0</v>
      </c>
      <c r="Z85" s="15">
        <v>0</v>
      </c>
      <c r="AA85" s="17" t="s">
        <v>364</v>
      </c>
      <c r="AB85" s="17" t="s">
        <v>364</v>
      </c>
      <c r="AC85" s="17">
        <v>3.1818181818181817</v>
      </c>
      <c r="AD85" s="17">
        <v>3.7003438911982647</v>
      </c>
      <c r="AE85" s="17">
        <v>4.0779220779220777</v>
      </c>
      <c r="AF85" s="17">
        <v>4.9437445220859209</v>
      </c>
    </row>
    <row r="86" spans="3:32" ht="15" hidden="1" customHeight="1" outlineLevel="1" x14ac:dyDescent="0.25">
      <c r="C86" s="23" t="s">
        <v>363</v>
      </c>
      <c r="D86" s="15">
        <v>3.8260869565217392</v>
      </c>
      <c r="E86" s="57">
        <v>601.875</v>
      </c>
      <c r="F86" s="15">
        <v>2302.826086956522</v>
      </c>
      <c r="G86" s="15">
        <v>4.304347826086957</v>
      </c>
      <c r="H86" s="57">
        <v>277.55555555555554</v>
      </c>
      <c r="I86" s="15">
        <v>1194.695652173913</v>
      </c>
      <c r="J86" s="15">
        <v>28</v>
      </c>
      <c r="K86" s="57">
        <v>507.52714285714285</v>
      </c>
      <c r="L86" s="15">
        <v>14210.76</v>
      </c>
      <c r="M86" s="15">
        <v>0</v>
      </c>
      <c r="N86" s="57" t="s">
        <v>364</v>
      </c>
      <c r="O86" s="15">
        <v>0</v>
      </c>
      <c r="P86" s="15">
        <v>58.545454545454547</v>
      </c>
      <c r="Q86" s="29">
        <v>507.52714285714285</v>
      </c>
      <c r="R86" s="15">
        <v>29713.407272727272</v>
      </c>
      <c r="S86" s="15">
        <v>0</v>
      </c>
      <c r="T86" s="15" t="s">
        <v>364</v>
      </c>
      <c r="U86" s="15">
        <v>0</v>
      </c>
      <c r="V86" s="15">
        <v>28</v>
      </c>
      <c r="W86" s="15">
        <v>0</v>
      </c>
      <c r="X86" s="15">
        <v>14210.76</v>
      </c>
      <c r="Y86" s="15">
        <v>0</v>
      </c>
      <c r="Z86" s="15">
        <v>0</v>
      </c>
      <c r="AA86" s="17" t="s">
        <v>364</v>
      </c>
      <c r="AB86" s="17" t="s">
        <v>364</v>
      </c>
      <c r="AC86" s="17">
        <v>6.3181818181818183</v>
      </c>
      <c r="AD86" s="17">
        <v>5.1710087793826105</v>
      </c>
      <c r="AE86" s="17">
        <v>5.5050505050505043</v>
      </c>
      <c r="AF86" s="17">
        <v>10.894878812140622</v>
      </c>
    </row>
    <row r="87" spans="3:32" ht="15" customHeight="1" collapsed="1" x14ac:dyDescent="0.25">
      <c r="C87" s="23" t="s">
        <v>220</v>
      </c>
      <c r="D87" s="6">
        <v>0</v>
      </c>
      <c r="E87" s="53" t="s">
        <v>364</v>
      </c>
      <c r="F87" s="6">
        <v>0</v>
      </c>
      <c r="G87" s="6">
        <v>0</v>
      </c>
      <c r="H87" s="53" t="s">
        <v>364</v>
      </c>
      <c r="I87" s="6">
        <v>0</v>
      </c>
      <c r="J87" s="6">
        <v>0</v>
      </c>
      <c r="K87" s="53" t="s">
        <v>364</v>
      </c>
      <c r="L87" s="6">
        <v>0</v>
      </c>
      <c r="M87" s="6">
        <v>0</v>
      </c>
      <c r="N87" s="53" t="s">
        <v>364</v>
      </c>
      <c r="O87" s="6">
        <v>0</v>
      </c>
      <c r="P87" s="6">
        <v>0</v>
      </c>
      <c r="Q87" s="10" t="s">
        <v>364</v>
      </c>
      <c r="R87" s="6">
        <v>0</v>
      </c>
      <c r="S87" s="6">
        <v>0</v>
      </c>
      <c r="T87" s="6" t="s">
        <v>364</v>
      </c>
      <c r="U87" s="6">
        <v>0</v>
      </c>
      <c r="V87" s="6">
        <v>0</v>
      </c>
      <c r="W87" s="6">
        <v>0</v>
      </c>
      <c r="X87" s="6">
        <v>0</v>
      </c>
      <c r="Y87" s="6">
        <v>0</v>
      </c>
      <c r="Z87" s="6">
        <v>0</v>
      </c>
      <c r="AA87" s="8" t="s">
        <v>364</v>
      </c>
      <c r="AB87" s="8" t="s">
        <v>364</v>
      </c>
      <c r="AC87" s="8" t="s">
        <v>364</v>
      </c>
      <c r="AD87" s="8" t="s">
        <v>364</v>
      </c>
      <c r="AE87" s="8" t="s">
        <v>364</v>
      </c>
      <c r="AF87" s="8" t="s">
        <v>364</v>
      </c>
    </row>
    <row r="88" spans="3:32" ht="15" hidden="1" customHeight="1" outlineLevel="1" x14ac:dyDescent="0.25">
      <c r="C88" s="23" t="s">
        <v>362</v>
      </c>
      <c r="D88" s="15">
        <v>0</v>
      </c>
      <c r="E88" s="57" t="s">
        <v>364</v>
      </c>
      <c r="F88" s="15">
        <v>0</v>
      </c>
      <c r="G88" s="15">
        <v>0</v>
      </c>
      <c r="H88" s="57" t="s">
        <v>364</v>
      </c>
      <c r="I88" s="15">
        <v>0</v>
      </c>
      <c r="J88" s="15">
        <v>0</v>
      </c>
      <c r="K88" s="57" t="s">
        <v>364</v>
      </c>
      <c r="L88" s="15">
        <v>0</v>
      </c>
      <c r="M88" s="15">
        <v>0</v>
      </c>
      <c r="N88" s="57" t="s">
        <v>364</v>
      </c>
      <c r="O88" s="15">
        <v>0</v>
      </c>
      <c r="P88" s="15">
        <v>0</v>
      </c>
      <c r="Q88" s="29" t="s">
        <v>364</v>
      </c>
      <c r="R88" s="15">
        <v>0</v>
      </c>
      <c r="S88" s="15">
        <v>0</v>
      </c>
      <c r="T88" s="15" t="s">
        <v>364</v>
      </c>
      <c r="U88" s="15">
        <v>0</v>
      </c>
      <c r="V88" s="15">
        <v>0</v>
      </c>
      <c r="W88" s="15">
        <v>0</v>
      </c>
      <c r="X88" s="15">
        <v>0</v>
      </c>
      <c r="Y88" s="15">
        <v>0</v>
      </c>
      <c r="Z88" s="15">
        <v>0</v>
      </c>
      <c r="AA88" s="17" t="s">
        <v>364</v>
      </c>
      <c r="AB88" s="17" t="s">
        <v>364</v>
      </c>
      <c r="AC88" s="17" t="s">
        <v>364</v>
      </c>
      <c r="AD88" s="17" t="s">
        <v>364</v>
      </c>
      <c r="AE88" s="17" t="s">
        <v>364</v>
      </c>
      <c r="AF88" s="17" t="s">
        <v>364</v>
      </c>
    </row>
    <row r="89" spans="3:32" ht="15" hidden="1" customHeight="1" outlineLevel="1" x14ac:dyDescent="0.25">
      <c r="C89" s="23" t="s">
        <v>363</v>
      </c>
      <c r="D89" s="15">
        <v>0</v>
      </c>
      <c r="E89" s="57" t="s">
        <v>364</v>
      </c>
      <c r="F89" s="15">
        <v>0</v>
      </c>
      <c r="G89" s="15">
        <v>0</v>
      </c>
      <c r="H89" s="57" t="s">
        <v>364</v>
      </c>
      <c r="I89" s="15">
        <v>0</v>
      </c>
      <c r="J89" s="15">
        <v>0</v>
      </c>
      <c r="K89" s="57" t="s">
        <v>364</v>
      </c>
      <c r="L89" s="15">
        <v>0</v>
      </c>
      <c r="M89" s="15">
        <v>0</v>
      </c>
      <c r="N89" s="57" t="s">
        <v>364</v>
      </c>
      <c r="O89" s="15">
        <v>0</v>
      </c>
      <c r="P89" s="15">
        <v>0</v>
      </c>
      <c r="Q89" s="29" t="s">
        <v>364</v>
      </c>
      <c r="R89" s="15">
        <v>0</v>
      </c>
      <c r="S89" s="15">
        <v>0</v>
      </c>
      <c r="T89" s="15" t="s">
        <v>364</v>
      </c>
      <c r="U89" s="15">
        <v>0</v>
      </c>
      <c r="V89" s="15">
        <v>0</v>
      </c>
      <c r="W89" s="15">
        <v>0</v>
      </c>
      <c r="X89" s="15">
        <v>0</v>
      </c>
      <c r="Y89" s="15">
        <v>0</v>
      </c>
      <c r="Z89" s="15">
        <v>0</v>
      </c>
      <c r="AA89" s="17" t="s">
        <v>364</v>
      </c>
      <c r="AB89" s="17" t="s">
        <v>364</v>
      </c>
      <c r="AC89" s="17" t="s">
        <v>364</v>
      </c>
      <c r="AD89" s="17" t="s">
        <v>364</v>
      </c>
      <c r="AE89" s="17" t="s">
        <v>364</v>
      </c>
      <c r="AF89" s="17" t="s">
        <v>364</v>
      </c>
    </row>
    <row r="90" spans="3:32" ht="15" customHeight="1" collapsed="1" x14ac:dyDescent="0.25">
      <c r="C90" s="23" t="s">
        <v>221</v>
      </c>
      <c r="D90" s="6">
        <v>0</v>
      </c>
      <c r="E90" s="53" t="s">
        <v>364</v>
      </c>
      <c r="F90" s="6">
        <v>0</v>
      </c>
      <c r="G90" s="6">
        <v>0</v>
      </c>
      <c r="H90" s="53" t="s">
        <v>364</v>
      </c>
      <c r="I90" s="6">
        <v>0</v>
      </c>
      <c r="J90" s="6">
        <v>6</v>
      </c>
      <c r="K90" s="53">
        <v>147.08333333333334</v>
      </c>
      <c r="L90" s="6">
        <v>882.5</v>
      </c>
      <c r="M90" s="6">
        <v>0</v>
      </c>
      <c r="N90" s="53" t="s">
        <v>364</v>
      </c>
      <c r="O90" s="6">
        <v>0</v>
      </c>
      <c r="P90" s="6">
        <v>12.545454545454545</v>
      </c>
      <c r="Q90" s="10">
        <v>147.08333333333334</v>
      </c>
      <c r="R90" s="6">
        <v>1845.2272727272727</v>
      </c>
      <c r="S90" s="6">
        <v>0</v>
      </c>
      <c r="T90" s="6" t="s">
        <v>364</v>
      </c>
      <c r="U90" s="6">
        <v>0</v>
      </c>
      <c r="V90" s="6">
        <v>6</v>
      </c>
      <c r="W90" s="6">
        <v>0</v>
      </c>
      <c r="X90" s="6">
        <v>882.5</v>
      </c>
      <c r="Y90" s="6">
        <v>0</v>
      </c>
      <c r="Z90" s="6">
        <v>0</v>
      </c>
      <c r="AA90" s="8" t="s">
        <v>364</v>
      </c>
      <c r="AB90" s="8" t="s">
        <v>364</v>
      </c>
      <c r="AC90" s="8" t="s">
        <v>364</v>
      </c>
      <c r="AD90" s="8" t="s">
        <v>364</v>
      </c>
      <c r="AE90" s="8" t="s">
        <v>364</v>
      </c>
      <c r="AF90" s="8" t="s">
        <v>364</v>
      </c>
    </row>
    <row r="91" spans="3:32" ht="15" hidden="1" customHeight="1" outlineLevel="1" x14ac:dyDescent="0.25">
      <c r="C91" s="23" t="s">
        <v>362</v>
      </c>
      <c r="D91" s="15">
        <v>0</v>
      </c>
      <c r="E91" s="57" t="s">
        <v>364</v>
      </c>
      <c r="F91" s="15">
        <v>0</v>
      </c>
      <c r="G91" s="15">
        <v>0</v>
      </c>
      <c r="H91" s="57" t="s">
        <v>364</v>
      </c>
      <c r="I91" s="15">
        <v>0</v>
      </c>
      <c r="J91" s="15">
        <v>0</v>
      </c>
      <c r="K91" s="57" t="s">
        <v>364</v>
      </c>
      <c r="L91" s="15">
        <v>0</v>
      </c>
      <c r="M91" s="15">
        <v>0</v>
      </c>
      <c r="N91" s="57" t="s">
        <v>364</v>
      </c>
      <c r="O91" s="15">
        <v>0</v>
      </c>
      <c r="P91" s="15">
        <v>0</v>
      </c>
      <c r="Q91" s="29" t="s">
        <v>364</v>
      </c>
      <c r="R91" s="15">
        <v>0</v>
      </c>
      <c r="S91" s="15">
        <v>0</v>
      </c>
      <c r="T91" s="15" t="s">
        <v>364</v>
      </c>
      <c r="U91" s="15">
        <v>0</v>
      </c>
      <c r="V91" s="15">
        <v>0</v>
      </c>
      <c r="W91" s="15">
        <v>0</v>
      </c>
      <c r="X91" s="15">
        <v>0</v>
      </c>
      <c r="Y91" s="15">
        <v>0</v>
      </c>
      <c r="Z91" s="15">
        <v>0</v>
      </c>
      <c r="AA91" s="17" t="s">
        <v>364</v>
      </c>
      <c r="AB91" s="17" t="s">
        <v>364</v>
      </c>
      <c r="AC91" s="17" t="s">
        <v>364</v>
      </c>
      <c r="AD91" s="17" t="s">
        <v>364</v>
      </c>
      <c r="AE91" s="17" t="s">
        <v>364</v>
      </c>
      <c r="AF91" s="17" t="s">
        <v>364</v>
      </c>
    </row>
    <row r="92" spans="3:32" ht="15" hidden="1" customHeight="1" outlineLevel="1" x14ac:dyDescent="0.25">
      <c r="C92" s="23" t="s">
        <v>363</v>
      </c>
      <c r="D92" s="15">
        <v>0</v>
      </c>
      <c r="E92" s="57" t="s">
        <v>364</v>
      </c>
      <c r="F92" s="15">
        <v>0</v>
      </c>
      <c r="G92" s="15">
        <v>0</v>
      </c>
      <c r="H92" s="57" t="s">
        <v>364</v>
      </c>
      <c r="I92" s="15">
        <v>0</v>
      </c>
      <c r="J92" s="15">
        <v>0</v>
      </c>
      <c r="K92" s="57" t="s">
        <v>364</v>
      </c>
      <c r="L92" s="15">
        <v>0</v>
      </c>
      <c r="M92" s="15">
        <v>0</v>
      </c>
      <c r="N92" s="57" t="s">
        <v>364</v>
      </c>
      <c r="O92" s="15">
        <v>0</v>
      </c>
      <c r="P92" s="15">
        <v>0</v>
      </c>
      <c r="Q92" s="29" t="s">
        <v>364</v>
      </c>
      <c r="R92" s="15">
        <v>0</v>
      </c>
      <c r="S92" s="15">
        <v>0</v>
      </c>
      <c r="T92" s="15" t="s">
        <v>364</v>
      </c>
      <c r="U92" s="15">
        <v>0</v>
      </c>
      <c r="V92" s="15">
        <v>0</v>
      </c>
      <c r="W92" s="15">
        <v>0</v>
      </c>
      <c r="X92" s="15">
        <v>0</v>
      </c>
      <c r="Y92" s="15">
        <v>0</v>
      </c>
      <c r="Z92" s="15">
        <v>0</v>
      </c>
      <c r="AA92" s="17" t="s">
        <v>364</v>
      </c>
      <c r="AB92" s="17" t="s">
        <v>364</v>
      </c>
      <c r="AC92" s="17" t="s">
        <v>364</v>
      </c>
      <c r="AD92" s="17" t="s">
        <v>364</v>
      </c>
      <c r="AE92" s="17" t="s">
        <v>364</v>
      </c>
      <c r="AF92" s="17" t="s">
        <v>364</v>
      </c>
    </row>
    <row r="93" spans="3:32" ht="15" customHeight="1" collapsed="1" x14ac:dyDescent="0.25">
      <c r="C93" s="23" t="s">
        <v>153</v>
      </c>
      <c r="D93" s="6">
        <v>0</v>
      </c>
      <c r="E93" s="53" t="s">
        <v>364</v>
      </c>
      <c r="F93" s="6">
        <v>0</v>
      </c>
      <c r="G93" s="6">
        <v>0</v>
      </c>
      <c r="H93" s="53" t="s">
        <v>364</v>
      </c>
      <c r="I93" s="6">
        <v>0</v>
      </c>
      <c r="J93" s="6">
        <v>0</v>
      </c>
      <c r="K93" s="53" t="s">
        <v>364</v>
      </c>
      <c r="L93" s="6">
        <v>0</v>
      </c>
      <c r="M93" s="6">
        <v>0</v>
      </c>
      <c r="N93" s="53" t="s">
        <v>364</v>
      </c>
      <c r="O93" s="6">
        <v>0</v>
      </c>
      <c r="P93" s="6">
        <v>0</v>
      </c>
      <c r="Q93" s="10" t="s">
        <v>364</v>
      </c>
      <c r="R93" s="6">
        <v>0</v>
      </c>
      <c r="S93" s="6">
        <v>0</v>
      </c>
      <c r="T93" s="6" t="s">
        <v>364</v>
      </c>
      <c r="U93" s="6">
        <v>0</v>
      </c>
      <c r="V93" s="6">
        <v>0</v>
      </c>
      <c r="W93" s="6">
        <v>0</v>
      </c>
      <c r="X93" s="6">
        <v>0</v>
      </c>
      <c r="Y93" s="6">
        <v>0</v>
      </c>
      <c r="Z93" s="6">
        <v>0</v>
      </c>
      <c r="AA93" s="8" t="s">
        <v>364</v>
      </c>
      <c r="AB93" s="8" t="s">
        <v>364</v>
      </c>
      <c r="AC93" s="8" t="s">
        <v>364</v>
      </c>
      <c r="AD93" s="8" t="s">
        <v>364</v>
      </c>
      <c r="AE93" s="8" t="s">
        <v>364</v>
      </c>
      <c r="AF93" s="8" t="s">
        <v>364</v>
      </c>
    </row>
    <row r="94" spans="3:32" ht="15" hidden="1" customHeight="1" outlineLevel="1" x14ac:dyDescent="0.25">
      <c r="C94" s="23" t="s">
        <v>362</v>
      </c>
      <c r="D94" s="15">
        <v>0</v>
      </c>
      <c r="E94" s="57" t="s">
        <v>364</v>
      </c>
      <c r="F94" s="15">
        <v>0</v>
      </c>
      <c r="G94" s="15">
        <v>0</v>
      </c>
      <c r="H94" s="57" t="s">
        <v>364</v>
      </c>
      <c r="I94" s="15">
        <v>0</v>
      </c>
      <c r="J94" s="15">
        <v>0</v>
      </c>
      <c r="K94" s="57" t="s">
        <v>364</v>
      </c>
      <c r="L94" s="15">
        <v>0</v>
      </c>
      <c r="M94" s="15">
        <v>0</v>
      </c>
      <c r="N94" s="57" t="s">
        <v>364</v>
      </c>
      <c r="O94" s="15">
        <v>0</v>
      </c>
      <c r="P94" s="15">
        <v>0</v>
      </c>
      <c r="Q94" s="29" t="s">
        <v>364</v>
      </c>
      <c r="R94" s="15">
        <v>0</v>
      </c>
      <c r="S94" s="15">
        <v>0</v>
      </c>
      <c r="T94" s="15" t="s">
        <v>364</v>
      </c>
      <c r="U94" s="15">
        <v>0</v>
      </c>
      <c r="V94" s="15">
        <v>0</v>
      </c>
      <c r="W94" s="15">
        <v>0</v>
      </c>
      <c r="X94" s="15">
        <v>0</v>
      </c>
      <c r="Y94" s="15">
        <v>0</v>
      </c>
      <c r="Z94" s="15">
        <v>0</v>
      </c>
      <c r="AA94" s="17" t="s">
        <v>364</v>
      </c>
      <c r="AB94" s="17" t="s">
        <v>364</v>
      </c>
      <c r="AC94" s="17" t="s">
        <v>364</v>
      </c>
      <c r="AD94" s="17" t="s">
        <v>364</v>
      </c>
      <c r="AE94" s="17" t="s">
        <v>364</v>
      </c>
      <c r="AF94" s="17" t="s">
        <v>364</v>
      </c>
    </row>
    <row r="95" spans="3:32" ht="15" hidden="1" customHeight="1" outlineLevel="1" x14ac:dyDescent="0.25">
      <c r="C95" s="23" t="s">
        <v>363</v>
      </c>
      <c r="D95" s="15">
        <v>0</v>
      </c>
      <c r="E95" s="57" t="s">
        <v>364</v>
      </c>
      <c r="F95" s="15">
        <v>0</v>
      </c>
      <c r="G95" s="15">
        <v>0</v>
      </c>
      <c r="H95" s="57" t="s">
        <v>364</v>
      </c>
      <c r="I95" s="15">
        <v>0</v>
      </c>
      <c r="J95" s="15">
        <v>0</v>
      </c>
      <c r="K95" s="57" t="s">
        <v>364</v>
      </c>
      <c r="L95" s="15">
        <v>0</v>
      </c>
      <c r="M95" s="15">
        <v>0</v>
      </c>
      <c r="N95" s="57" t="s">
        <v>364</v>
      </c>
      <c r="O95" s="15">
        <v>0</v>
      </c>
      <c r="P95" s="15">
        <v>0</v>
      </c>
      <c r="Q95" s="29" t="s">
        <v>364</v>
      </c>
      <c r="R95" s="15">
        <v>0</v>
      </c>
      <c r="S95" s="15">
        <v>0</v>
      </c>
      <c r="T95" s="15" t="s">
        <v>364</v>
      </c>
      <c r="U95" s="15">
        <v>0</v>
      </c>
      <c r="V95" s="15">
        <v>0</v>
      </c>
      <c r="W95" s="15">
        <v>0</v>
      </c>
      <c r="X95" s="15">
        <v>0</v>
      </c>
      <c r="Y95" s="15">
        <v>0</v>
      </c>
      <c r="Z95" s="15">
        <v>0</v>
      </c>
      <c r="AA95" s="17" t="s">
        <v>364</v>
      </c>
      <c r="AB95" s="17" t="s">
        <v>364</v>
      </c>
      <c r="AC95" s="17" t="s">
        <v>364</v>
      </c>
      <c r="AD95" s="17" t="s">
        <v>364</v>
      </c>
      <c r="AE95" s="17" t="s">
        <v>364</v>
      </c>
      <c r="AF95" s="17" t="s">
        <v>364</v>
      </c>
    </row>
    <row r="96" spans="3:32" ht="15" customHeight="1" collapsed="1" x14ac:dyDescent="0.25">
      <c r="C96" s="23" t="s">
        <v>49</v>
      </c>
      <c r="D96" s="6">
        <v>0</v>
      </c>
      <c r="E96" s="53" t="s">
        <v>364</v>
      </c>
      <c r="F96" s="6">
        <v>11090.869565217392</v>
      </c>
      <c r="G96" s="6">
        <v>0</v>
      </c>
      <c r="H96" s="53" t="s">
        <v>364</v>
      </c>
      <c r="I96" s="6">
        <v>8949.6956521739139</v>
      </c>
      <c r="J96" s="6">
        <v>0</v>
      </c>
      <c r="K96" s="53" t="s">
        <v>364</v>
      </c>
      <c r="L96" s="6">
        <v>13007.669999999998</v>
      </c>
      <c r="M96" s="6">
        <v>0</v>
      </c>
      <c r="N96" s="53" t="s">
        <v>364</v>
      </c>
      <c r="O96" s="6">
        <v>0</v>
      </c>
      <c r="P96" s="6">
        <v>0</v>
      </c>
      <c r="Q96" s="10" t="s">
        <v>364</v>
      </c>
      <c r="R96" s="6">
        <v>27197.85545454545</v>
      </c>
      <c r="S96" s="6">
        <v>0</v>
      </c>
      <c r="T96" s="6" t="s">
        <v>364</v>
      </c>
      <c r="U96" s="6">
        <v>0</v>
      </c>
      <c r="V96" s="6">
        <v>0</v>
      </c>
      <c r="W96" s="6">
        <v>0</v>
      </c>
      <c r="X96" s="6">
        <v>13007.669999999998</v>
      </c>
      <c r="Y96" s="6">
        <v>0</v>
      </c>
      <c r="Z96" s="6">
        <v>0</v>
      </c>
      <c r="AA96" s="8" t="s">
        <v>364</v>
      </c>
      <c r="AB96" s="8" t="s">
        <v>364</v>
      </c>
      <c r="AC96" s="8" t="s">
        <v>364</v>
      </c>
      <c r="AD96" s="8">
        <v>0.17282688462895426</v>
      </c>
      <c r="AE96" s="8" t="s">
        <v>364</v>
      </c>
      <c r="AF96" s="8">
        <v>0.45342037378001648</v>
      </c>
    </row>
    <row r="97" spans="3:32" ht="15" hidden="1" customHeight="1" outlineLevel="1" x14ac:dyDescent="0.25">
      <c r="C97" s="23" t="s">
        <v>362</v>
      </c>
      <c r="D97" s="15">
        <v>0</v>
      </c>
      <c r="E97" s="57" t="s">
        <v>364</v>
      </c>
      <c r="F97" s="15">
        <v>0</v>
      </c>
      <c r="G97" s="15">
        <v>0</v>
      </c>
      <c r="H97" s="57" t="s">
        <v>364</v>
      </c>
      <c r="I97" s="15">
        <v>0</v>
      </c>
      <c r="J97" s="15">
        <v>0</v>
      </c>
      <c r="K97" s="57" t="s">
        <v>364</v>
      </c>
      <c r="L97" s="15">
        <v>0</v>
      </c>
      <c r="M97" s="15">
        <v>0</v>
      </c>
      <c r="N97" s="57" t="s">
        <v>364</v>
      </c>
      <c r="O97" s="15">
        <v>0</v>
      </c>
      <c r="P97" s="15">
        <v>0</v>
      </c>
      <c r="Q97" s="29" t="s">
        <v>364</v>
      </c>
      <c r="R97" s="15">
        <v>0</v>
      </c>
      <c r="S97" s="15">
        <v>0</v>
      </c>
      <c r="T97" s="15" t="s">
        <v>364</v>
      </c>
      <c r="U97" s="15">
        <v>0</v>
      </c>
      <c r="V97" s="15">
        <v>0</v>
      </c>
      <c r="W97" s="15">
        <v>0</v>
      </c>
      <c r="X97" s="15">
        <v>0</v>
      </c>
      <c r="Y97" s="15">
        <v>0</v>
      </c>
      <c r="Z97" s="15">
        <v>0</v>
      </c>
      <c r="AA97" s="17" t="s">
        <v>364</v>
      </c>
      <c r="AB97" s="17" t="s">
        <v>364</v>
      </c>
      <c r="AC97" s="17" t="s">
        <v>364</v>
      </c>
      <c r="AD97" s="17" t="s">
        <v>364</v>
      </c>
      <c r="AE97" s="17" t="s">
        <v>364</v>
      </c>
      <c r="AF97" s="17" t="s">
        <v>364</v>
      </c>
    </row>
    <row r="98" spans="3:32" ht="15" hidden="1" customHeight="1" outlineLevel="1" x14ac:dyDescent="0.25">
      <c r="C98" s="23" t="s">
        <v>363</v>
      </c>
      <c r="D98" s="15">
        <v>0</v>
      </c>
      <c r="E98" s="57" t="s">
        <v>364</v>
      </c>
      <c r="F98" s="15">
        <v>0</v>
      </c>
      <c r="G98" s="15">
        <v>0</v>
      </c>
      <c r="H98" s="57" t="s">
        <v>364</v>
      </c>
      <c r="I98" s="15">
        <v>0</v>
      </c>
      <c r="J98" s="15">
        <v>0</v>
      </c>
      <c r="K98" s="57" t="s">
        <v>364</v>
      </c>
      <c r="L98" s="15">
        <v>0</v>
      </c>
      <c r="M98" s="15">
        <v>0</v>
      </c>
      <c r="N98" s="57" t="s">
        <v>364</v>
      </c>
      <c r="O98" s="15">
        <v>0</v>
      </c>
      <c r="P98" s="15">
        <v>0</v>
      </c>
      <c r="Q98" s="29" t="s">
        <v>364</v>
      </c>
      <c r="R98" s="15">
        <v>0</v>
      </c>
      <c r="S98" s="15">
        <v>0</v>
      </c>
      <c r="T98" s="15" t="s">
        <v>364</v>
      </c>
      <c r="U98" s="15">
        <v>0</v>
      </c>
      <c r="V98" s="15">
        <v>0</v>
      </c>
      <c r="W98" s="15">
        <v>0</v>
      </c>
      <c r="X98" s="15">
        <v>0</v>
      </c>
      <c r="Y98" s="15">
        <v>0</v>
      </c>
      <c r="Z98" s="15">
        <v>0</v>
      </c>
      <c r="AA98" s="17" t="s">
        <v>364</v>
      </c>
      <c r="AB98" s="17" t="s">
        <v>364</v>
      </c>
      <c r="AC98" s="17" t="s">
        <v>364</v>
      </c>
      <c r="AD98" s="17" t="s">
        <v>364</v>
      </c>
      <c r="AE98" s="17" t="s">
        <v>364</v>
      </c>
      <c r="AF98" s="17" t="s">
        <v>364</v>
      </c>
    </row>
    <row r="99" spans="3:32" ht="15" customHeight="1" collapsed="1" x14ac:dyDescent="0.25">
      <c r="C99" s="23" t="s">
        <v>44</v>
      </c>
      <c r="D99" s="6">
        <v>0</v>
      </c>
      <c r="E99" s="53" t="s">
        <v>364</v>
      </c>
      <c r="F99" s="6">
        <v>0</v>
      </c>
      <c r="G99" s="6">
        <v>0</v>
      </c>
      <c r="H99" s="53" t="s">
        <v>364</v>
      </c>
      <c r="I99" s="6">
        <v>0</v>
      </c>
      <c r="J99" s="6">
        <v>8</v>
      </c>
      <c r="K99" s="53">
        <v>445.28750000000002</v>
      </c>
      <c r="L99" s="6">
        <v>3562.3</v>
      </c>
      <c r="M99" s="6">
        <v>0</v>
      </c>
      <c r="N99" s="53" t="s">
        <v>364</v>
      </c>
      <c r="O99" s="6">
        <v>0</v>
      </c>
      <c r="P99" s="6">
        <v>16.727272727272727</v>
      </c>
      <c r="Q99" s="10">
        <v>445.28750000000002</v>
      </c>
      <c r="R99" s="6">
        <v>7448.4454545454546</v>
      </c>
      <c r="S99" s="6">
        <v>0</v>
      </c>
      <c r="T99" s="6" t="s">
        <v>364</v>
      </c>
      <c r="U99" s="6">
        <v>0</v>
      </c>
      <c r="V99" s="6">
        <v>8</v>
      </c>
      <c r="W99" s="6">
        <v>0</v>
      </c>
      <c r="X99" s="6">
        <v>3562.3</v>
      </c>
      <c r="Y99" s="6">
        <v>0</v>
      </c>
      <c r="Z99" s="6">
        <v>0</v>
      </c>
      <c r="AA99" s="8" t="s">
        <v>364</v>
      </c>
      <c r="AB99" s="8" t="s">
        <v>364</v>
      </c>
      <c r="AC99" s="8" t="s">
        <v>364</v>
      </c>
      <c r="AD99" s="8" t="s">
        <v>364</v>
      </c>
      <c r="AE99" s="8" t="s">
        <v>364</v>
      </c>
      <c r="AF99" s="8" t="s">
        <v>364</v>
      </c>
    </row>
    <row r="100" spans="3:32" ht="15" hidden="1" customHeight="1" outlineLevel="1" x14ac:dyDescent="0.25">
      <c r="C100" s="23" t="s">
        <v>362</v>
      </c>
      <c r="D100" s="15">
        <v>0</v>
      </c>
      <c r="E100" s="57" t="s">
        <v>364</v>
      </c>
      <c r="F100" s="15">
        <v>0</v>
      </c>
      <c r="G100" s="15">
        <v>0</v>
      </c>
      <c r="H100" s="57" t="s">
        <v>364</v>
      </c>
      <c r="I100" s="15">
        <v>0</v>
      </c>
      <c r="J100" s="15">
        <v>0</v>
      </c>
      <c r="K100" s="57" t="s">
        <v>364</v>
      </c>
      <c r="L100" s="15">
        <v>0</v>
      </c>
      <c r="M100" s="15">
        <v>0</v>
      </c>
      <c r="N100" s="57" t="s">
        <v>364</v>
      </c>
      <c r="O100" s="15">
        <v>0</v>
      </c>
      <c r="P100" s="15">
        <v>0</v>
      </c>
      <c r="Q100" s="29" t="s">
        <v>364</v>
      </c>
      <c r="R100" s="15">
        <v>0</v>
      </c>
      <c r="S100" s="15">
        <v>0</v>
      </c>
      <c r="T100" s="15" t="s">
        <v>364</v>
      </c>
      <c r="U100" s="15">
        <v>0</v>
      </c>
      <c r="V100" s="15">
        <v>0</v>
      </c>
      <c r="W100" s="15">
        <v>0</v>
      </c>
      <c r="X100" s="15">
        <v>0</v>
      </c>
      <c r="Y100" s="15">
        <v>0</v>
      </c>
      <c r="Z100" s="15">
        <v>0</v>
      </c>
      <c r="AA100" s="17" t="s">
        <v>364</v>
      </c>
      <c r="AB100" s="17" t="s">
        <v>364</v>
      </c>
      <c r="AC100" s="17" t="s">
        <v>364</v>
      </c>
      <c r="AD100" s="17" t="s">
        <v>364</v>
      </c>
      <c r="AE100" s="17" t="s">
        <v>364</v>
      </c>
      <c r="AF100" s="17" t="s">
        <v>364</v>
      </c>
    </row>
    <row r="101" spans="3:32" ht="15" hidden="1" customHeight="1" outlineLevel="1" x14ac:dyDescent="0.25">
      <c r="C101" s="23" t="s">
        <v>363</v>
      </c>
      <c r="D101" s="15">
        <v>0</v>
      </c>
      <c r="E101" s="57" t="s">
        <v>364</v>
      </c>
      <c r="F101" s="15">
        <v>0</v>
      </c>
      <c r="G101" s="15">
        <v>0</v>
      </c>
      <c r="H101" s="57" t="s">
        <v>364</v>
      </c>
      <c r="I101" s="15">
        <v>0</v>
      </c>
      <c r="J101" s="15">
        <v>0</v>
      </c>
      <c r="K101" s="57" t="s">
        <v>364</v>
      </c>
      <c r="L101" s="15">
        <v>0</v>
      </c>
      <c r="M101" s="15">
        <v>0</v>
      </c>
      <c r="N101" s="57" t="s">
        <v>364</v>
      </c>
      <c r="O101" s="15">
        <v>0</v>
      </c>
      <c r="P101" s="15">
        <v>0</v>
      </c>
      <c r="Q101" s="29" t="s">
        <v>364</v>
      </c>
      <c r="R101" s="15">
        <v>0</v>
      </c>
      <c r="S101" s="15">
        <v>0</v>
      </c>
      <c r="T101" s="15" t="s">
        <v>364</v>
      </c>
      <c r="U101" s="15">
        <v>0</v>
      </c>
      <c r="V101" s="15">
        <v>0</v>
      </c>
      <c r="W101" s="15">
        <v>0</v>
      </c>
      <c r="X101" s="15">
        <v>0</v>
      </c>
      <c r="Y101" s="15">
        <v>0</v>
      </c>
      <c r="Z101" s="15">
        <v>0</v>
      </c>
      <c r="AA101" s="17" t="s">
        <v>364</v>
      </c>
      <c r="AB101" s="17" t="s">
        <v>364</v>
      </c>
      <c r="AC101" s="17" t="s">
        <v>364</v>
      </c>
      <c r="AD101" s="17" t="s">
        <v>364</v>
      </c>
      <c r="AE101" s="17" t="s">
        <v>364</v>
      </c>
      <c r="AF101" s="17" t="s">
        <v>364</v>
      </c>
    </row>
    <row r="102" spans="3:32" ht="15" customHeight="1" collapsed="1" x14ac:dyDescent="0.25">
      <c r="C102" s="23" t="s">
        <v>222</v>
      </c>
      <c r="D102" s="6">
        <v>0</v>
      </c>
      <c r="E102" s="53" t="s">
        <v>364</v>
      </c>
      <c r="F102" s="6">
        <v>0</v>
      </c>
      <c r="G102" s="6">
        <v>0</v>
      </c>
      <c r="H102" s="53" t="s">
        <v>364</v>
      </c>
      <c r="I102" s="6">
        <v>0</v>
      </c>
      <c r="J102" s="6">
        <v>29</v>
      </c>
      <c r="K102" s="53">
        <v>87.241379310344826</v>
      </c>
      <c r="L102" s="6">
        <v>2530</v>
      </c>
      <c r="M102" s="6">
        <v>0</v>
      </c>
      <c r="N102" s="53" t="s">
        <v>364</v>
      </c>
      <c r="O102" s="6">
        <v>0</v>
      </c>
      <c r="P102" s="6">
        <v>60.636363636363633</v>
      </c>
      <c r="Q102" s="10">
        <v>87.241379310344826</v>
      </c>
      <c r="R102" s="6">
        <v>5290</v>
      </c>
      <c r="S102" s="6">
        <v>0</v>
      </c>
      <c r="T102" s="6" t="s">
        <v>364</v>
      </c>
      <c r="U102" s="6">
        <v>0</v>
      </c>
      <c r="V102" s="6">
        <v>29</v>
      </c>
      <c r="W102" s="6">
        <v>0</v>
      </c>
      <c r="X102" s="6">
        <v>2530</v>
      </c>
      <c r="Y102" s="6">
        <v>0</v>
      </c>
      <c r="Z102" s="6">
        <v>0</v>
      </c>
      <c r="AA102" s="8" t="s">
        <v>364</v>
      </c>
      <c r="AB102" s="8" t="s">
        <v>364</v>
      </c>
      <c r="AC102" s="8" t="s">
        <v>364</v>
      </c>
      <c r="AD102" s="8" t="s">
        <v>364</v>
      </c>
      <c r="AE102" s="8" t="s">
        <v>364</v>
      </c>
      <c r="AF102" s="8" t="s">
        <v>364</v>
      </c>
    </row>
    <row r="103" spans="3:32" ht="15" hidden="1" customHeight="1" outlineLevel="1" x14ac:dyDescent="0.25">
      <c r="C103" s="23" t="s">
        <v>362</v>
      </c>
      <c r="D103" s="15">
        <v>0</v>
      </c>
      <c r="E103" s="57" t="s">
        <v>364</v>
      </c>
      <c r="F103" s="15">
        <v>0</v>
      </c>
      <c r="G103" s="15">
        <v>0</v>
      </c>
      <c r="H103" s="57" t="s">
        <v>364</v>
      </c>
      <c r="I103" s="15">
        <v>0</v>
      </c>
      <c r="J103" s="15">
        <v>0</v>
      </c>
      <c r="K103" s="57" t="s">
        <v>364</v>
      </c>
      <c r="L103" s="15">
        <v>0</v>
      </c>
      <c r="M103" s="15">
        <v>0</v>
      </c>
      <c r="N103" s="57" t="s">
        <v>364</v>
      </c>
      <c r="O103" s="15">
        <v>0</v>
      </c>
      <c r="P103" s="15">
        <v>0</v>
      </c>
      <c r="Q103" s="29" t="s">
        <v>364</v>
      </c>
      <c r="R103" s="15">
        <v>0</v>
      </c>
      <c r="S103" s="15">
        <v>0</v>
      </c>
      <c r="T103" s="15" t="s">
        <v>364</v>
      </c>
      <c r="U103" s="15">
        <v>0</v>
      </c>
      <c r="V103" s="15">
        <v>0</v>
      </c>
      <c r="W103" s="15">
        <v>0</v>
      </c>
      <c r="X103" s="15">
        <v>0</v>
      </c>
      <c r="Y103" s="15">
        <v>0</v>
      </c>
      <c r="Z103" s="15">
        <v>0</v>
      </c>
      <c r="AA103" s="17" t="s">
        <v>364</v>
      </c>
      <c r="AB103" s="17" t="s">
        <v>364</v>
      </c>
      <c r="AC103" s="17" t="s">
        <v>364</v>
      </c>
      <c r="AD103" s="17" t="s">
        <v>364</v>
      </c>
      <c r="AE103" s="17" t="s">
        <v>364</v>
      </c>
      <c r="AF103" s="17" t="s">
        <v>364</v>
      </c>
    </row>
    <row r="104" spans="3:32" ht="15" hidden="1" customHeight="1" outlineLevel="1" x14ac:dyDescent="0.25">
      <c r="C104" s="23" t="s">
        <v>363</v>
      </c>
      <c r="D104" s="15">
        <v>0</v>
      </c>
      <c r="E104" s="57" t="s">
        <v>364</v>
      </c>
      <c r="F104" s="15">
        <v>0</v>
      </c>
      <c r="G104" s="15">
        <v>0</v>
      </c>
      <c r="H104" s="57" t="s">
        <v>364</v>
      </c>
      <c r="I104" s="15">
        <v>0</v>
      </c>
      <c r="J104" s="15">
        <v>0</v>
      </c>
      <c r="K104" s="57" t="s">
        <v>364</v>
      </c>
      <c r="L104" s="15">
        <v>0</v>
      </c>
      <c r="M104" s="15">
        <v>0</v>
      </c>
      <c r="N104" s="57" t="s">
        <v>364</v>
      </c>
      <c r="O104" s="15">
        <v>0</v>
      </c>
      <c r="P104" s="15">
        <v>0</v>
      </c>
      <c r="Q104" s="29" t="s">
        <v>364</v>
      </c>
      <c r="R104" s="15">
        <v>0</v>
      </c>
      <c r="S104" s="15">
        <v>0</v>
      </c>
      <c r="T104" s="15" t="s">
        <v>364</v>
      </c>
      <c r="U104" s="15">
        <v>0</v>
      </c>
      <c r="V104" s="15">
        <v>0</v>
      </c>
      <c r="W104" s="15">
        <v>0</v>
      </c>
      <c r="X104" s="15">
        <v>0</v>
      </c>
      <c r="Y104" s="15">
        <v>0</v>
      </c>
      <c r="Z104" s="15">
        <v>0</v>
      </c>
      <c r="AA104" s="17" t="s">
        <v>364</v>
      </c>
      <c r="AB104" s="17" t="s">
        <v>364</v>
      </c>
      <c r="AC104" s="17" t="s">
        <v>364</v>
      </c>
      <c r="AD104" s="17" t="s">
        <v>364</v>
      </c>
      <c r="AE104" s="17" t="s">
        <v>364</v>
      </c>
      <c r="AF104" s="17" t="s">
        <v>364</v>
      </c>
    </row>
    <row r="105" spans="3:32" ht="15" customHeight="1" collapsed="1" x14ac:dyDescent="0.25">
      <c r="C105" s="23" t="s">
        <v>223</v>
      </c>
      <c r="D105" s="6">
        <v>0</v>
      </c>
      <c r="E105" s="53" t="s">
        <v>364</v>
      </c>
      <c r="F105" s="6">
        <v>0</v>
      </c>
      <c r="G105" s="6">
        <v>0</v>
      </c>
      <c r="H105" s="53" t="s">
        <v>364</v>
      </c>
      <c r="I105" s="6">
        <v>0</v>
      </c>
      <c r="J105" s="6">
        <v>0</v>
      </c>
      <c r="K105" s="53" t="s">
        <v>364</v>
      </c>
      <c r="L105" s="6">
        <v>0</v>
      </c>
      <c r="M105" s="6">
        <v>0</v>
      </c>
      <c r="N105" s="53" t="s">
        <v>364</v>
      </c>
      <c r="O105" s="6">
        <v>0</v>
      </c>
      <c r="P105" s="6">
        <v>0</v>
      </c>
      <c r="Q105" s="10" t="s">
        <v>364</v>
      </c>
      <c r="R105" s="6">
        <v>0</v>
      </c>
      <c r="S105" s="6">
        <v>0</v>
      </c>
      <c r="T105" s="6" t="s">
        <v>364</v>
      </c>
      <c r="U105" s="6">
        <v>0</v>
      </c>
      <c r="V105" s="6">
        <v>0</v>
      </c>
      <c r="W105" s="6">
        <v>0</v>
      </c>
      <c r="X105" s="6">
        <v>0</v>
      </c>
      <c r="Y105" s="6">
        <v>0</v>
      </c>
      <c r="Z105" s="6">
        <v>0</v>
      </c>
      <c r="AA105" s="8" t="s">
        <v>364</v>
      </c>
      <c r="AB105" s="8" t="s">
        <v>364</v>
      </c>
      <c r="AC105" s="8" t="s">
        <v>364</v>
      </c>
      <c r="AD105" s="8" t="s">
        <v>364</v>
      </c>
      <c r="AE105" s="8" t="s">
        <v>364</v>
      </c>
      <c r="AF105" s="8" t="s">
        <v>364</v>
      </c>
    </row>
    <row r="106" spans="3:32" ht="15" hidden="1" customHeight="1" outlineLevel="1" x14ac:dyDescent="0.25">
      <c r="C106" s="23" t="s">
        <v>362</v>
      </c>
      <c r="D106" s="15">
        <v>0</v>
      </c>
      <c r="E106" s="57" t="s">
        <v>364</v>
      </c>
      <c r="F106" s="15">
        <v>0</v>
      </c>
      <c r="G106" s="15">
        <v>0</v>
      </c>
      <c r="H106" s="57" t="s">
        <v>364</v>
      </c>
      <c r="I106" s="15">
        <v>0</v>
      </c>
      <c r="J106" s="15">
        <v>0</v>
      </c>
      <c r="K106" s="57" t="s">
        <v>364</v>
      </c>
      <c r="L106" s="15">
        <v>0</v>
      </c>
      <c r="M106" s="15">
        <v>0</v>
      </c>
      <c r="N106" s="57" t="s">
        <v>364</v>
      </c>
      <c r="O106" s="15">
        <v>0</v>
      </c>
      <c r="P106" s="15">
        <v>0</v>
      </c>
      <c r="Q106" s="29" t="s">
        <v>364</v>
      </c>
      <c r="R106" s="15">
        <v>0</v>
      </c>
      <c r="S106" s="15">
        <v>0</v>
      </c>
      <c r="T106" s="15" t="s">
        <v>364</v>
      </c>
      <c r="U106" s="15">
        <v>0</v>
      </c>
      <c r="V106" s="15">
        <v>0</v>
      </c>
      <c r="W106" s="15">
        <v>0</v>
      </c>
      <c r="X106" s="15">
        <v>0</v>
      </c>
      <c r="Y106" s="15">
        <v>0</v>
      </c>
      <c r="Z106" s="15">
        <v>0</v>
      </c>
      <c r="AA106" s="17" t="s">
        <v>364</v>
      </c>
      <c r="AB106" s="17" t="s">
        <v>364</v>
      </c>
      <c r="AC106" s="17" t="s">
        <v>364</v>
      </c>
      <c r="AD106" s="17" t="s">
        <v>364</v>
      </c>
      <c r="AE106" s="17" t="s">
        <v>364</v>
      </c>
      <c r="AF106" s="17" t="s">
        <v>364</v>
      </c>
    </row>
    <row r="107" spans="3:32" ht="15" hidden="1" customHeight="1" outlineLevel="1" x14ac:dyDescent="0.25">
      <c r="C107" s="23" t="s">
        <v>363</v>
      </c>
      <c r="D107" s="15">
        <v>0</v>
      </c>
      <c r="E107" s="57" t="s">
        <v>364</v>
      </c>
      <c r="F107" s="15">
        <v>0</v>
      </c>
      <c r="G107" s="15">
        <v>0</v>
      </c>
      <c r="H107" s="57" t="s">
        <v>364</v>
      </c>
      <c r="I107" s="15">
        <v>0</v>
      </c>
      <c r="J107" s="15">
        <v>0</v>
      </c>
      <c r="K107" s="57" t="s">
        <v>364</v>
      </c>
      <c r="L107" s="15">
        <v>0</v>
      </c>
      <c r="M107" s="15">
        <v>0</v>
      </c>
      <c r="N107" s="57" t="s">
        <v>364</v>
      </c>
      <c r="O107" s="15">
        <v>0</v>
      </c>
      <c r="P107" s="15">
        <v>0</v>
      </c>
      <c r="Q107" s="29" t="s">
        <v>364</v>
      </c>
      <c r="R107" s="15">
        <v>0</v>
      </c>
      <c r="S107" s="15">
        <v>0</v>
      </c>
      <c r="T107" s="15" t="s">
        <v>364</v>
      </c>
      <c r="U107" s="15">
        <v>0</v>
      </c>
      <c r="V107" s="15">
        <v>0</v>
      </c>
      <c r="W107" s="15">
        <v>0</v>
      </c>
      <c r="X107" s="15">
        <v>0</v>
      </c>
      <c r="Y107" s="15">
        <v>0</v>
      </c>
      <c r="Z107" s="15">
        <v>0</v>
      </c>
      <c r="AA107" s="17" t="s">
        <v>364</v>
      </c>
      <c r="AB107" s="17" t="s">
        <v>364</v>
      </c>
      <c r="AC107" s="17" t="s">
        <v>364</v>
      </c>
      <c r="AD107" s="17" t="s">
        <v>364</v>
      </c>
      <c r="AE107" s="17" t="s">
        <v>364</v>
      </c>
      <c r="AF107" s="17" t="s">
        <v>364</v>
      </c>
    </row>
    <row r="108" spans="3:32" ht="15" customHeight="1" collapsed="1" x14ac:dyDescent="0.25">
      <c r="C108" s="23" t="s">
        <v>47</v>
      </c>
      <c r="D108" s="6">
        <v>0</v>
      </c>
      <c r="E108" s="53" t="s">
        <v>364</v>
      </c>
      <c r="F108" s="6">
        <v>0</v>
      </c>
      <c r="G108" s="6">
        <v>0</v>
      </c>
      <c r="H108" s="53" t="s">
        <v>364</v>
      </c>
      <c r="I108" s="6">
        <v>0</v>
      </c>
      <c r="J108" s="6">
        <v>84</v>
      </c>
      <c r="K108" s="53">
        <v>141.39952380952383</v>
      </c>
      <c r="L108" s="6">
        <v>11877.560000000001</v>
      </c>
      <c r="M108" s="6">
        <v>0</v>
      </c>
      <c r="N108" s="53" t="s">
        <v>364</v>
      </c>
      <c r="O108" s="6">
        <v>0</v>
      </c>
      <c r="P108" s="6">
        <v>175.63636363636363</v>
      </c>
      <c r="Q108" s="10">
        <v>141.39952380952383</v>
      </c>
      <c r="R108" s="6">
        <v>24834.898181818186</v>
      </c>
      <c r="S108" s="6">
        <v>0</v>
      </c>
      <c r="T108" s="6" t="s">
        <v>364</v>
      </c>
      <c r="U108" s="6">
        <v>0</v>
      </c>
      <c r="V108" s="6">
        <v>84</v>
      </c>
      <c r="W108" s="6">
        <v>0</v>
      </c>
      <c r="X108" s="6">
        <v>11877.560000000001</v>
      </c>
      <c r="Y108" s="6">
        <v>0</v>
      </c>
      <c r="Z108" s="6">
        <v>0</v>
      </c>
      <c r="AA108" s="8" t="s">
        <v>364</v>
      </c>
      <c r="AB108" s="8" t="s">
        <v>364</v>
      </c>
      <c r="AC108" s="8" t="s">
        <v>364</v>
      </c>
      <c r="AD108" s="8" t="s">
        <v>364</v>
      </c>
      <c r="AE108" s="8" t="s">
        <v>364</v>
      </c>
      <c r="AF108" s="8" t="s">
        <v>364</v>
      </c>
    </row>
    <row r="109" spans="3:32" ht="15" hidden="1" customHeight="1" outlineLevel="1" x14ac:dyDescent="0.25">
      <c r="C109" s="23" t="s">
        <v>362</v>
      </c>
      <c r="D109" s="15">
        <v>0</v>
      </c>
      <c r="E109" s="57" t="s">
        <v>364</v>
      </c>
      <c r="F109" s="15">
        <v>0</v>
      </c>
      <c r="G109" s="15">
        <v>0</v>
      </c>
      <c r="H109" s="57" t="s">
        <v>364</v>
      </c>
      <c r="I109" s="15">
        <v>0</v>
      </c>
      <c r="J109" s="15">
        <v>0</v>
      </c>
      <c r="K109" s="57" t="s">
        <v>364</v>
      </c>
      <c r="L109" s="15">
        <v>0</v>
      </c>
      <c r="M109" s="15">
        <v>0</v>
      </c>
      <c r="N109" s="57" t="s">
        <v>364</v>
      </c>
      <c r="O109" s="15">
        <v>0</v>
      </c>
      <c r="P109" s="15">
        <v>0</v>
      </c>
      <c r="Q109" s="29" t="s">
        <v>364</v>
      </c>
      <c r="R109" s="15">
        <v>0</v>
      </c>
      <c r="S109" s="15">
        <v>0</v>
      </c>
      <c r="T109" s="15" t="s">
        <v>364</v>
      </c>
      <c r="U109" s="15">
        <v>0</v>
      </c>
      <c r="V109" s="15">
        <v>0</v>
      </c>
      <c r="W109" s="15">
        <v>0</v>
      </c>
      <c r="X109" s="15">
        <v>0</v>
      </c>
      <c r="Y109" s="15">
        <v>0</v>
      </c>
      <c r="Z109" s="15">
        <v>0</v>
      </c>
      <c r="AA109" s="17" t="s">
        <v>364</v>
      </c>
      <c r="AB109" s="17" t="s">
        <v>364</v>
      </c>
      <c r="AC109" s="17" t="s">
        <v>364</v>
      </c>
      <c r="AD109" s="17" t="s">
        <v>364</v>
      </c>
      <c r="AE109" s="17" t="s">
        <v>364</v>
      </c>
      <c r="AF109" s="17" t="s">
        <v>364</v>
      </c>
    </row>
    <row r="110" spans="3:32" ht="15" hidden="1" customHeight="1" outlineLevel="1" x14ac:dyDescent="0.25">
      <c r="C110" s="23" t="s">
        <v>363</v>
      </c>
      <c r="D110" s="15">
        <v>0</v>
      </c>
      <c r="E110" s="57" t="s">
        <v>364</v>
      </c>
      <c r="F110" s="15">
        <v>0</v>
      </c>
      <c r="G110" s="15">
        <v>0</v>
      </c>
      <c r="H110" s="57" t="s">
        <v>364</v>
      </c>
      <c r="I110" s="15">
        <v>0</v>
      </c>
      <c r="J110" s="15">
        <v>0</v>
      </c>
      <c r="K110" s="57" t="s">
        <v>364</v>
      </c>
      <c r="L110" s="15">
        <v>0</v>
      </c>
      <c r="M110" s="15">
        <v>0</v>
      </c>
      <c r="N110" s="57" t="s">
        <v>364</v>
      </c>
      <c r="O110" s="15">
        <v>0</v>
      </c>
      <c r="P110" s="15">
        <v>0</v>
      </c>
      <c r="Q110" s="29" t="s">
        <v>364</v>
      </c>
      <c r="R110" s="15">
        <v>0</v>
      </c>
      <c r="S110" s="15">
        <v>0</v>
      </c>
      <c r="T110" s="15" t="s">
        <v>364</v>
      </c>
      <c r="U110" s="15">
        <v>0</v>
      </c>
      <c r="V110" s="15">
        <v>0</v>
      </c>
      <c r="W110" s="15">
        <v>0</v>
      </c>
      <c r="X110" s="15">
        <v>0</v>
      </c>
      <c r="Y110" s="15">
        <v>0</v>
      </c>
      <c r="Z110" s="15">
        <v>0</v>
      </c>
      <c r="AA110" s="17" t="s">
        <v>364</v>
      </c>
      <c r="AB110" s="17" t="s">
        <v>364</v>
      </c>
      <c r="AC110" s="17" t="s">
        <v>364</v>
      </c>
      <c r="AD110" s="17" t="s">
        <v>364</v>
      </c>
      <c r="AE110" s="17" t="s">
        <v>364</v>
      </c>
      <c r="AF110" s="17" t="s">
        <v>364</v>
      </c>
    </row>
    <row r="111" spans="3:32" ht="15" customHeight="1" collapsed="1" x14ac:dyDescent="0.25">
      <c r="C111" s="23" t="s">
        <v>154</v>
      </c>
      <c r="D111" s="6">
        <v>0</v>
      </c>
      <c r="E111" s="53" t="s">
        <v>364</v>
      </c>
      <c r="F111" s="6">
        <v>0</v>
      </c>
      <c r="G111" s="6">
        <v>0</v>
      </c>
      <c r="H111" s="53" t="s">
        <v>364</v>
      </c>
      <c r="I111" s="6">
        <v>0</v>
      </c>
      <c r="J111" s="6">
        <v>2</v>
      </c>
      <c r="K111" s="53">
        <v>43.225000000000001</v>
      </c>
      <c r="L111" s="6">
        <v>86.45</v>
      </c>
      <c r="M111" s="6">
        <v>0</v>
      </c>
      <c r="N111" s="53" t="s">
        <v>364</v>
      </c>
      <c r="O111" s="6">
        <v>0</v>
      </c>
      <c r="P111" s="6">
        <v>4.1818181818181817</v>
      </c>
      <c r="Q111" s="10">
        <v>43.225000000000001</v>
      </c>
      <c r="R111" s="6">
        <v>180.7590909090909</v>
      </c>
      <c r="S111" s="6">
        <v>0</v>
      </c>
      <c r="T111" s="6" t="s">
        <v>364</v>
      </c>
      <c r="U111" s="6">
        <v>0</v>
      </c>
      <c r="V111" s="6">
        <v>2</v>
      </c>
      <c r="W111" s="6">
        <v>0</v>
      </c>
      <c r="X111" s="6">
        <v>86.45</v>
      </c>
      <c r="Y111" s="6">
        <v>0</v>
      </c>
      <c r="Z111" s="6">
        <v>0</v>
      </c>
      <c r="AA111" s="8" t="s">
        <v>364</v>
      </c>
      <c r="AB111" s="8" t="s">
        <v>364</v>
      </c>
      <c r="AC111" s="8" t="s">
        <v>364</v>
      </c>
      <c r="AD111" s="8" t="s">
        <v>364</v>
      </c>
      <c r="AE111" s="8" t="s">
        <v>364</v>
      </c>
      <c r="AF111" s="8" t="s">
        <v>364</v>
      </c>
    </row>
    <row r="112" spans="3:32" hidden="1" outlineLevel="1" x14ac:dyDescent="0.25">
      <c r="C112" s="23" t="s">
        <v>362</v>
      </c>
      <c r="D112" s="15">
        <v>0</v>
      </c>
      <c r="E112" s="57" t="s">
        <v>364</v>
      </c>
      <c r="F112" s="15">
        <v>0</v>
      </c>
      <c r="G112" s="15">
        <v>0</v>
      </c>
      <c r="H112" s="57" t="s">
        <v>364</v>
      </c>
      <c r="I112" s="15">
        <v>0</v>
      </c>
      <c r="J112" s="15">
        <v>0</v>
      </c>
      <c r="K112" s="57" t="s">
        <v>364</v>
      </c>
      <c r="L112" s="15">
        <v>0</v>
      </c>
      <c r="M112" s="15">
        <v>0</v>
      </c>
      <c r="N112" s="57" t="s">
        <v>364</v>
      </c>
      <c r="O112" s="15">
        <v>0</v>
      </c>
      <c r="P112" s="15">
        <v>0</v>
      </c>
      <c r="Q112" s="15" t="s">
        <v>364</v>
      </c>
      <c r="R112" s="15">
        <v>0</v>
      </c>
      <c r="S112" s="15">
        <v>0</v>
      </c>
      <c r="T112" s="15" t="s">
        <v>364</v>
      </c>
      <c r="U112" s="15">
        <v>0</v>
      </c>
      <c r="V112" s="15">
        <v>0</v>
      </c>
      <c r="W112" s="15">
        <v>0</v>
      </c>
      <c r="X112" s="15">
        <v>0</v>
      </c>
      <c r="Y112" s="15">
        <v>0</v>
      </c>
      <c r="Z112" s="15">
        <v>0</v>
      </c>
      <c r="AA112" s="17" t="s">
        <v>364</v>
      </c>
      <c r="AB112" s="17" t="s">
        <v>364</v>
      </c>
      <c r="AC112" s="17" t="s">
        <v>364</v>
      </c>
      <c r="AD112" s="17" t="s">
        <v>364</v>
      </c>
      <c r="AE112" s="17" t="s">
        <v>364</v>
      </c>
      <c r="AF112" s="17" t="s">
        <v>364</v>
      </c>
    </row>
    <row r="113" spans="1:32" hidden="1" outlineLevel="1" x14ac:dyDescent="0.25">
      <c r="C113" s="23" t="s">
        <v>363</v>
      </c>
      <c r="D113" s="15">
        <v>0</v>
      </c>
      <c r="E113" s="57" t="s">
        <v>364</v>
      </c>
      <c r="F113" s="15">
        <v>0</v>
      </c>
      <c r="G113" s="15">
        <v>0</v>
      </c>
      <c r="H113" s="57" t="s">
        <v>364</v>
      </c>
      <c r="I113" s="15">
        <v>0</v>
      </c>
      <c r="J113" s="15">
        <v>0</v>
      </c>
      <c r="K113" s="57" t="s">
        <v>364</v>
      </c>
      <c r="L113" s="15">
        <v>0</v>
      </c>
      <c r="M113" s="15">
        <v>0</v>
      </c>
      <c r="N113" s="57" t="s">
        <v>364</v>
      </c>
      <c r="O113" s="15">
        <v>0</v>
      </c>
      <c r="P113" s="15">
        <v>0</v>
      </c>
      <c r="Q113" s="15" t="s">
        <v>364</v>
      </c>
      <c r="R113" s="15">
        <v>0</v>
      </c>
      <c r="S113" s="15">
        <v>0</v>
      </c>
      <c r="T113" s="15" t="s">
        <v>364</v>
      </c>
      <c r="U113" s="15">
        <v>0</v>
      </c>
      <c r="V113" s="15">
        <v>0</v>
      </c>
      <c r="W113" s="15">
        <v>0</v>
      </c>
      <c r="X113" s="15">
        <v>0</v>
      </c>
      <c r="Y113" s="15">
        <v>0</v>
      </c>
      <c r="Z113" s="15">
        <v>0</v>
      </c>
      <c r="AA113" s="17" t="s">
        <v>364</v>
      </c>
      <c r="AB113" s="17" t="s">
        <v>364</v>
      </c>
      <c r="AC113" s="17" t="s">
        <v>364</v>
      </c>
      <c r="AD113" s="17" t="s">
        <v>364</v>
      </c>
      <c r="AE113" s="17" t="s">
        <v>364</v>
      </c>
      <c r="AF113" s="17" t="s">
        <v>364</v>
      </c>
    </row>
    <row r="114" spans="1:32" x14ac:dyDescent="0.25">
      <c r="C114"/>
      <c r="D114"/>
      <c r="E114"/>
      <c r="F114"/>
      <c r="G114"/>
      <c r="H114"/>
      <c r="I114"/>
      <c r="J114"/>
      <c r="K114"/>
      <c r="L114"/>
      <c r="M114"/>
      <c r="N114"/>
      <c r="O114"/>
      <c r="P114"/>
      <c r="Q114"/>
      <c r="R114"/>
      <c r="S114"/>
      <c r="T114"/>
      <c r="U114"/>
      <c r="V114"/>
      <c r="W114"/>
      <c r="X114"/>
      <c r="Y114"/>
      <c r="Z114"/>
      <c r="AA114"/>
      <c r="AB114"/>
    </row>
    <row r="115" spans="1:32" x14ac:dyDescent="0.25">
      <c r="A115" s="71"/>
      <c r="B115" s="71"/>
      <c r="C115" s="90">
        <v>0.47826086956521741</v>
      </c>
      <c r="D115" s="136" t="s">
        <v>30</v>
      </c>
      <c r="E115" s="137"/>
      <c r="F115" s="138"/>
      <c r="G115" s="136" t="s">
        <v>31</v>
      </c>
      <c r="H115" s="137"/>
      <c r="I115" s="138"/>
      <c r="J115" s="136" t="s">
        <v>357</v>
      </c>
      <c r="K115" s="137"/>
      <c r="L115" s="138"/>
      <c r="M115" s="136" t="s">
        <v>358</v>
      </c>
      <c r="N115" s="137"/>
      <c r="O115" s="138"/>
      <c r="P115" s="136" t="s">
        <v>3</v>
      </c>
      <c r="Q115" s="137"/>
      <c r="R115" s="137"/>
      <c r="S115" s="137"/>
      <c r="T115" s="137"/>
      <c r="AA115" s="61"/>
      <c r="AB115" s="61"/>
    </row>
    <row r="116" spans="1:32" x14ac:dyDescent="0.25">
      <c r="A116" s="71"/>
      <c r="B116" s="71"/>
      <c r="C116" s="71"/>
      <c r="D116" s="142" t="s">
        <v>20</v>
      </c>
      <c r="E116" s="143"/>
      <c r="F116" s="150"/>
      <c r="G116" s="142" t="s">
        <v>5</v>
      </c>
      <c r="H116" s="143"/>
      <c r="I116" s="150"/>
      <c r="J116" s="142" t="s">
        <v>17</v>
      </c>
      <c r="K116" s="143"/>
      <c r="L116" s="150"/>
      <c r="M116" s="142" t="s">
        <v>17</v>
      </c>
      <c r="N116" s="143"/>
      <c r="O116" s="150"/>
      <c r="P116" s="142" t="s">
        <v>17</v>
      </c>
      <c r="Q116" s="143"/>
      <c r="R116" s="143"/>
      <c r="S116" s="143"/>
      <c r="T116" s="150"/>
      <c r="U116" s="139" t="s">
        <v>6</v>
      </c>
      <c r="V116" s="140"/>
      <c r="W116" s="139" t="s">
        <v>7</v>
      </c>
      <c r="X116" s="140"/>
      <c r="Y116" s="139" t="s">
        <v>8</v>
      </c>
      <c r="Z116" s="140"/>
    </row>
    <row r="117" spans="1:32" x14ac:dyDescent="0.25">
      <c r="A117" s="18" t="s">
        <v>4</v>
      </c>
      <c r="B117" s="19" t="s">
        <v>33</v>
      </c>
      <c r="C117" s="19" t="s">
        <v>34</v>
      </c>
      <c r="D117" s="20" t="s">
        <v>9</v>
      </c>
      <c r="E117" s="20" t="s">
        <v>10</v>
      </c>
      <c r="F117" s="20" t="s">
        <v>11</v>
      </c>
      <c r="G117" s="20" t="s">
        <v>9</v>
      </c>
      <c r="H117" s="20" t="s">
        <v>10</v>
      </c>
      <c r="I117" s="20" t="s">
        <v>11</v>
      </c>
      <c r="J117" s="20" t="s">
        <v>9</v>
      </c>
      <c r="K117" s="20" t="s">
        <v>10</v>
      </c>
      <c r="L117" s="20" t="s">
        <v>11</v>
      </c>
      <c r="M117" s="20" t="s">
        <v>9</v>
      </c>
      <c r="N117" s="20" t="s">
        <v>10</v>
      </c>
      <c r="O117" s="20" t="s">
        <v>11</v>
      </c>
      <c r="P117" s="20" t="s">
        <v>9</v>
      </c>
      <c r="Q117" s="20" t="s">
        <v>10</v>
      </c>
      <c r="R117" s="20" t="s">
        <v>11</v>
      </c>
      <c r="S117" s="20" t="s">
        <v>14</v>
      </c>
      <c r="T117" s="20" t="s">
        <v>15</v>
      </c>
      <c r="U117" s="20" t="s">
        <v>16</v>
      </c>
      <c r="V117" s="20" t="s">
        <v>11</v>
      </c>
      <c r="W117" s="20" t="s">
        <v>16</v>
      </c>
      <c r="X117" s="20" t="s">
        <v>11</v>
      </c>
      <c r="Y117" s="20" t="s">
        <v>16</v>
      </c>
      <c r="Z117" s="20" t="s">
        <v>11</v>
      </c>
      <c r="AA117" s="62"/>
      <c r="AB117"/>
    </row>
    <row r="118" spans="1:32" collapsed="1" x14ac:dyDescent="0.25">
      <c r="A118" s="5" t="s">
        <v>208</v>
      </c>
      <c r="B118" s="5" t="s">
        <v>209</v>
      </c>
      <c r="C118" s="5" t="s">
        <v>224</v>
      </c>
      <c r="D118" s="6">
        <v>0</v>
      </c>
      <c r="E118" s="53" t="s">
        <v>364</v>
      </c>
      <c r="F118" s="6">
        <v>0</v>
      </c>
      <c r="G118" s="6">
        <v>0</v>
      </c>
      <c r="H118" s="53" t="s">
        <v>364</v>
      </c>
      <c r="I118" s="6">
        <v>0</v>
      </c>
      <c r="J118" s="6">
        <v>139</v>
      </c>
      <c r="K118" s="53">
        <v>347.26438848920867</v>
      </c>
      <c r="L118" s="6">
        <v>48269.750000000007</v>
      </c>
      <c r="M118" s="6">
        <v>103.01260869565218</v>
      </c>
      <c r="N118" s="6">
        <v>424.21010000000001</v>
      </c>
      <c r="O118" s="6">
        <v>43698.98903604348</v>
      </c>
      <c r="P118" s="6">
        <v>35.987391304347824</v>
      </c>
      <c r="Q118" s="6">
        <v>-76.945711510791341</v>
      </c>
      <c r="R118" s="6">
        <v>4570.7609639565271</v>
      </c>
      <c r="S118" s="6">
        <v>-10695.453899999997</v>
      </c>
      <c r="T118" s="6">
        <v>15266.214863956522</v>
      </c>
      <c r="U118" s="8">
        <v>1.3493493831485381</v>
      </c>
      <c r="V118" s="8">
        <v>1.1045964921565234</v>
      </c>
      <c r="W118" s="8" t="s">
        <v>364</v>
      </c>
      <c r="X118" s="8" t="s">
        <v>364</v>
      </c>
      <c r="Y118" s="8" t="s">
        <v>364</v>
      </c>
      <c r="Z118" s="8" t="s">
        <v>364</v>
      </c>
      <c r="AA118" s="86"/>
      <c r="AB118" s="86"/>
    </row>
    <row r="119" spans="1:32" hidden="1" outlineLevel="1" x14ac:dyDescent="0.25">
      <c r="A119" s="21" t="s">
        <v>367</v>
      </c>
      <c r="B119" s="21" t="s">
        <v>599</v>
      </c>
      <c r="C119" s="21" t="s">
        <v>362</v>
      </c>
      <c r="D119" s="15">
        <v>0</v>
      </c>
      <c r="E119" s="57" t="s">
        <v>364</v>
      </c>
      <c r="F119" s="15">
        <v>0</v>
      </c>
      <c r="G119" s="15">
        <v>0</v>
      </c>
      <c r="H119" s="57" t="s">
        <v>364</v>
      </c>
      <c r="I119" s="15">
        <v>0</v>
      </c>
      <c r="J119" s="15">
        <v>125</v>
      </c>
      <c r="K119" s="57">
        <v>337.11960000000005</v>
      </c>
      <c r="L119" s="15">
        <v>42139.950000000004</v>
      </c>
      <c r="M119" s="15" t="s">
        <v>364</v>
      </c>
      <c r="N119" s="15" t="s">
        <v>364</v>
      </c>
      <c r="O119" s="15" t="s">
        <v>364</v>
      </c>
      <c r="P119" s="15" t="s">
        <v>364</v>
      </c>
      <c r="Q119" s="15" t="s">
        <v>364</v>
      </c>
      <c r="R119" s="15" t="s">
        <v>364</v>
      </c>
      <c r="S119" s="15" t="s">
        <v>364</v>
      </c>
      <c r="T119" s="15" t="s">
        <v>364</v>
      </c>
      <c r="U119" s="17" t="s">
        <v>364</v>
      </c>
      <c r="V119" s="17" t="s">
        <v>364</v>
      </c>
      <c r="W119" s="17" t="s">
        <v>364</v>
      </c>
      <c r="X119" s="17" t="s">
        <v>364</v>
      </c>
      <c r="Y119" s="17" t="s">
        <v>364</v>
      </c>
      <c r="Z119" s="17" t="s">
        <v>364</v>
      </c>
      <c r="AA119" s="86"/>
      <c r="AB119" s="86"/>
    </row>
    <row r="120" spans="1:32" hidden="1" outlineLevel="1" x14ac:dyDescent="0.25">
      <c r="A120" s="21" t="s">
        <v>367</v>
      </c>
      <c r="B120" s="21" t="s">
        <v>600</v>
      </c>
      <c r="C120" s="21" t="s">
        <v>363</v>
      </c>
      <c r="D120" s="15">
        <v>0</v>
      </c>
      <c r="E120" s="57" t="s">
        <v>364</v>
      </c>
      <c r="F120" s="15">
        <v>0</v>
      </c>
      <c r="G120" s="15">
        <v>0</v>
      </c>
      <c r="H120" s="57" t="s">
        <v>364</v>
      </c>
      <c r="I120" s="15">
        <v>0</v>
      </c>
      <c r="J120" s="15">
        <v>14</v>
      </c>
      <c r="K120" s="57">
        <v>437.8428571428571</v>
      </c>
      <c r="L120" s="15">
        <v>6129.7999999999993</v>
      </c>
      <c r="M120" s="15" t="s">
        <v>364</v>
      </c>
      <c r="N120" s="15" t="s">
        <v>364</v>
      </c>
      <c r="O120" s="15" t="s">
        <v>364</v>
      </c>
      <c r="P120" s="15" t="s">
        <v>364</v>
      </c>
      <c r="Q120" s="15" t="s">
        <v>364</v>
      </c>
      <c r="R120" s="15" t="s">
        <v>364</v>
      </c>
      <c r="S120" s="15" t="s">
        <v>364</v>
      </c>
      <c r="T120" s="15" t="s">
        <v>364</v>
      </c>
      <c r="U120" s="17" t="s">
        <v>364</v>
      </c>
      <c r="V120" s="17" t="s">
        <v>364</v>
      </c>
      <c r="W120" s="17" t="s">
        <v>364</v>
      </c>
      <c r="X120" s="17" t="s">
        <v>364</v>
      </c>
      <c r="Y120" s="17" t="s">
        <v>364</v>
      </c>
      <c r="Z120" s="17" t="s">
        <v>364</v>
      </c>
      <c r="AA120" s="86"/>
      <c r="AB120" s="86"/>
    </row>
    <row r="121" spans="1:32" collapsed="1" x14ac:dyDescent="0.25">
      <c r="A121" s="5" t="s">
        <v>208</v>
      </c>
      <c r="B121" s="5" t="s">
        <v>210</v>
      </c>
      <c r="C121" s="5" t="s">
        <v>226</v>
      </c>
      <c r="D121" s="6">
        <v>108</v>
      </c>
      <c r="E121" s="53">
        <v>225.75</v>
      </c>
      <c r="F121" s="6">
        <v>24381</v>
      </c>
      <c r="G121" s="6">
        <v>84</v>
      </c>
      <c r="H121" s="53">
        <v>268.36904761904759</v>
      </c>
      <c r="I121" s="6">
        <v>22543</v>
      </c>
      <c r="J121" s="6">
        <v>127</v>
      </c>
      <c r="K121" s="53">
        <v>248.34645669291339</v>
      </c>
      <c r="L121" s="6">
        <v>31540</v>
      </c>
      <c r="M121" s="6">
        <v>88.784347826086943</v>
      </c>
      <c r="N121" s="6">
        <v>276.27540000000005</v>
      </c>
      <c r="O121" s="6">
        <v>24528.931209391303</v>
      </c>
      <c r="P121" s="6">
        <v>38.215652173913057</v>
      </c>
      <c r="Q121" s="6">
        <v>-27.928943307086655</v>
      </c>
      <c r="R121" s="6">
        <v>7011.0687906086969</v>
      </c>
      <c r="S121" s="6">
        <v>-3546.9758000000052</v>
      </c>
      <c r="T121" s="6">
        <v>10558.044590608701</v>
      </c>
      <c r="U121" s="8">
        <v>1.4304323127852541</v>
      </c>
      <c r="V121" s="8">
        <v>1.2858285479607197</v>
      </c>
      <c r="W121" s="8">
        <v>0.17592592592592593</v>
      </c>
      <c r="X121" s="8">
        <v>0.29363028587834789</v>
      </c>
      <c r="Y121" s="8">
        <v>0.51190476190476186</v>
      </c>
      <c r="Z121" s="8">
        <v>0.39910393470256844</v>
      </c>
      <c r="AA121" s="86"/>
      <c r="AB121" s="86"/>
    </row>
    <row r="122" spans="1:32" hidden="1" outlineLevel="1" x14ac:dyDescent="0.25">
      <c r="A122" s="21" t="s">
        <v>367</v>
      </c>
      <c r="B122" s="21" t="s">
        <v>603</v>
      </c>
      <c r="C122" s="21" t="s">
        <v>362</v>
      </c>
      <c r="D122" s="15">
        <v>101</v>
      </c>
      <c r="E122" s="57">
        <v>215.24752475247524</v>
      </c>
      <c r="F122" s="15">
        <v>21740</v>
      </c>
      <c r="G122" s="15">
        <v>76</v>
      </c>
      <c r="H122" s="57">
        <v>251.75</v>
      </c>
      <c r="I122" s="15">
        <v>19133</v>
      </c>
      <c r="J122" s="15">
        <v>109</v>
      </c>
      <c r="K122" s="57">
        <v>227.73394495412845</v>
      </c>
      <c r="L122" s="15">
        <v>24823</v>
      </c>
      <c r="M122" s="15" t="s">
        <v>364</v>
      </c>
      <c r="N122" s="15" t="s">
        <v>364</v>
      </c>
      <c r="O122" s="15" t="s">
        <v>364</v>
      </c>
      <c r="P122" s="15" t="s">
        <v>364</v>
      </c>
      <c r="Q122" s="15" t="s">
        <v>364</v>
      </c>
      <c r="R122" s="15" t="s">
        <v>364</v>
      </c>
      <c r="S122" s="15" t="s">
        <v>364</v>
      </c>
      <c r="T122" s="15" t="s">
        <v>364</v>
      </c>
      <c r="U122" s="17" t="s">
        <v>364</v>
      </c>
      <c r="V122" s="17" t="s">
        <v>364</v>
      </c>
      <c r="W122" s="17">
        <v>7.9207920792079209E-2</v>
      </c>
      <c r="X122" s="17">
        <v>0.14181232750689973</v>
      </c>
      <c r="Y122" s="17">
        <v>0.43421052631578949</v>
      </c>
      <c r="Z122" s="17">
        <v>0.29739194062614333</v>
      </c>
      <c r="AA122" s="86"/>
      <c r="AB122" s="86"/>
    </row>
    <row r="123" spans="1:32" hidden="1" outlineLevel="1" x14ac:dyDescent="0.25">
      <c r="A123" s="21" t="s">
        <v>367</v>
      </c>
      <c r="B123" s="21" t="s">
        <v>604</v>
      </c>
      <c r="C123" s="21" t="s">
        <v>363</v>
      </c>
      <c r="D123" s="15">
        <v>7</v>
      </c>
      <c r="E123" s="57">
        <v>377.28571428571428</v>
      </c>
      <c r="F123" s="15">
        <v>2641</v>
      </c>
      <c r="G123" s="15">
        <v>8</v>
      </c>
      <c r="H123" s="57">
        <v>426.25</v>
      </c>
      <c r="I123" s="15">
        <v>3410</v>
      </c>
      <c r="J123" s="15">
        <v>18</v>
      </c>
      <c r="K123" s="57">
        <v>373.16666666666669</v>
      </c>
      <c r="L123" s="15">
        <v>6717</v>
      </c>
      <c r="M123" s="15" t="s">
        <v>364</v>
      </c>
      <c r="N123" s="15" t="s">
        <v>364</v>
      </c>
      <c r="O123" s="15" t="s">
        <v>364</v>
      </c>
      <c r="P123" s="15" t="s">
        <v>364</v>
      </c>
      <c r="Q123" s="15" t="s">
        <v>364</v>
      </c>
      <c r="R123" s="15" t="s">
        <v>364</v>
      </c>
      <c r="S123" s="15" t="s">
        <v>364</v>
      </c>
      <c r="T123" s="15" t="s">
        <v>364</v>
      </c>
      <c r="U123" s="17" t="s">
        <v>364</v>
      </c>
      <c r="V123" s="17" t="s">
        <v>364</v>
      </c>
      <c r="W123" s="17">
        <v>1.5714285714285714</v>
      </c>
      <c r="X123" s="17">
        <v>1.5433547898523288</v>
      </c>
      <c r="Y123" s="17">
        <v>1.25</v>
      </c>
      <c r="Z123" s="17">
        <v>0.96979472140762468</v>
      </c>
      <c r="AA123" s="86"/>
      <c r="AB123" s="86"/>
    </row>
    <row r="124" spans="1:32" collapsed="1" x14ac:dyDescent="0.25">
      <c r="A124" s="5" t="s">
        <v>208</v>
      </c>
      <c r="B124" s="5" t="s">
        <v>211</v>
      </c>
      <c r="C124" s="5" t="s">
        <v>227</v>
      </c>
      <c r="D124" s="6">
        <v>34</v>
      </c>
      <c r="E124" s="53">
        <v>229.20588235294119</v>
      </c>
      <c r="F124" s="6">
        <v>7793</v>
      </c>
      <c r="G124" s="6">
        <v>0</v>
      </c>
      <c r="H124" s="53" t="s">
        <v>364</v>
      </c>
      <c r="I124" s="6">
        <v>0</v>
      </c>
      <c r="J124" s="6">
        <v>26</v>
      </c>
      <c r="K124" s="53">
        <v>342.4173076923077</v>
      </c>
      <c r="L124" s="6">
        <v>8902.85</v>
      </c>
      <c r="M124" s="6">
        <v>41.65</v>
      </c>
      <c r="N124" s="6">
        <v>255.70170000000002</v>
      </c>
      <c r="O124" s="6">
        <v>10649.975805</v>
      </c>
      <c r="P124" s="6">
        <v>-15.649999999999999</v>
      </c>
      <c r="Q124" s="6">
        <v>86.715607692307685</v>
      </c>
      <c r="R124" s="6">
        <v>-1747.1258049999997</v>
      </c>
      <c r="S124" s="6">
        <v>2254.6057999999998</v>
      </c>
      <c r="T124" s="6">
        <v>-4001.7316049999999</v>
      </c>
      <c r="U124" s="8">
        <v>0.62424969987995205</v>
      </c>
      <c r="V124" s="8">
        <v>0.83595025594520589</v>
      </c>
      <c r="W124" s="8">
        <v>-0.23529411764705882</v>
      </c>
      <c r="X124" s="8">
        <v>0.14241627101244711</v>
      </c>
      <c r="Y124" s="8" t="s">
        <v>364</v>
      </c>
      <c r="Z124" s="8" t="s">
        <v>364</v>
      </c>
      <c r="AA124" s="86"/>
      <c r="AB124" s="86"/>
    </row>
    <row r="125" spans="1:32" hidden="1" outlineLevel="1" x14ac:dyDescent="0.25">
      <c r="A125" s="21" t="s">
        <v>367</v>
      </c>
      <c r="B125" s="21" t="s">
        <v>605</v>
      </c>
      <c r="C125" s="21" t="s">
        <v>362</v>
      </c>
      <c r="D125" s="15">
        <v>33</v>
      </c>
      <c r="E125" s="57">
        <v>231.78787878787878</v>
      </c>
      <c r="F125" s="15">
        <v>7649</v>
      </c>
      <c r="G125" s="15">
        <v>0</v>
      </c>
      <c r="H125" s="57" t="s">
        <v>364</v>
      </c>
      <c r="I125" s="15">
        <v>0</v>
      </c>
      <c r="J125" s="15">
        <v>26</v>
      </c>
      <c r="K125" s="57">
        <v>342.4173076923077</v>
      </c>
      <c r="L125" s="15">
        <v>8902.85</v>
      </c>
      <c r="M125" s="15" t="s">
        <v>364</v>
      </c>
      <c r="N125" s="15" t="s">
        <v>364</v>
      </c>
      <c r="O125" s="15" t="s">
        <v>364</v>
      </c>
      <c r="P125" s="15" t="s">
        <v>364</v>
      </c>
      <c r="Q125" s="15" t="s">
        <v>364</v>
      </c>
      <c r="R125" s="15" t="s">
        <v>364</v>
      </c>
      <c r="S125" s="15" t="s">
        <v>364</v>
      </c>
      <c r="T125" s="15" t="s">
        <v>364</v>
      </c>
      <c r="U125" s="17" t="s">
        <v>364</v>
      </c>
      <c r="V125" s="17" t="s">
        <v>364</v>
      </c>
      <c r="W125" s="17">
        <v>-0.21212121212121213</v>
      </c>
      <c r="X125" s="17">
        <v>0.16392338867825865</v>
      </c>
      <c r="Y125" s="17" t="s">
        <v>364</v>
      </c>
      <c r="Z125" s="17" t="s">
        <v>364</v>
      </c>
      <c r="AA125" s="86"/>
      <c r="AB125" s="86"/>
    </row>
    <row r="126" spans="1:32" hidden="1" outlineLevel="1" x14ac:dyDescent="0.25">
      <c r="A126" s="21" t="s">
        <v>367</v>
      </c>
      <c r="B126" s="21" t="s">
        <v>606</v>
      </c>
      <c r="C126" s="21" t="s">
        <v>363</v>
      </c>
      <c r="D126" s="15">
        <v>1</v>
      </c>
      <c r="E126" s="57">
        <v>143</v>
      </c>
      <c r="F126" s="15">
        <v>143</v>
      </c>
      <c r="G126" s="15">
        <v>0</v>
      </c>
      <c r="H126" s="57" t="s">
        <v>364</v>
      </c>
      <c r="I126" s="15">
        <v>0</v>
      </c>
      <c r="J126" s="15">
        <v>0</v>
      </c>
      <c r="K126" s="57" t="s">
        <v>364</v>
      </c>
      <c r="L126" s="15">
        <v>0</v>
      </c>
      <c r="M126" s="15" t="s">
        <v>364</v>
      </c>
      <c r="N126" s="15" t="s">
        <v>364</v>
      </c>
      <c r="O126" s="15" t="s">
        <v>364</v>
      </c>
      <c r="P126" s="15" t="s">
        <v>364</v>
      </c>
      <c r="Q126" s="15" t="s">
        <v>364</v>
      </c>
      <c r="R126" s="15" t="s">
        <v>364</v>
      </c>
      <c r="S126" s="15" t="s">
        <v>364</v>
      </c>
      <c r="T126" s="15" t="s">
        <v>364</v>
      </c>
      <c r="U126" s="17" t="s">
        <v>364</v>
      </c>
      <c r="V126" s="17" t="s">
        <v>364</v>
      </c>
      <c r="W126" s="17">
        <v>-1</v>
      </c>
      <c r="X126" s="17">
        <v>-1</v>
      </c>
      <c r="Y126" s="17" t="s">
        <v>364</v>
      </c>
      <c r="Z126" s="17" t="s">
        <v>364</v>
      </c>
      <c r="AA126" s="86"/>
      <c r="AB126" s="86"/>
    </row>
    <row r="127" spans="1:32" collapsed="1" x14ac:dyDescent="0.25">
      <c r="A127" s="5" t="s">
        <v>208</v>
      </c>
      <c r="B127" s="5" t="s">
        <v>212</v>
      </c>
      <c r="C127" s="5" t="s">
        <v>228</v>
      </c>
      <c r="D127" s="6">
        <v>0</v>
      </c>
      <c r="E127" s="53" t="s">
        <v>364</v>
      </c>
      <c r="F127" s="6">
        <v>216</v>
      </c>
      <c r="G127" s="6">
        <v>0</v>
      </c>
      <c r="H127" s="53" t="s">
        <v>364</v>
      </c>
      <c r="I127" s="6">
        <v>0</v>
      </c>
      <c r="J127" s="6">
        <v>48</v>
      </c>
      <c r="K127" s="53">
        <v>690.11458333333337</v>
      </c>
      <c r="L127" s="6">
        <v>33125.5</v>
      </c>
      <c r="M127" s="6">
        <v>72.877152173913046</v>
      </c>
      <c r="N127" s="6">
        <v>794.5367</v>
      </c>
      <c r="O127" s="6">
        <v>57903.571993658697</v>
      </c>
      <c r="P127" s="6">
        <v>-24.877152173913046</v>
      </c>
      <c r="Q127" s="6">
        <v>-104.42211666666662</v>
      </c>
      <c r="R127" s="6">
        <v>-24778.071993658697</v>
      </c>
      <c r="S127" s="6">
        <v>-5012.261599999998</v>
      </c>
      <c r="T127" s="6">
        <v>-19765.810393658699</v>
      </c>
      <c r="U127" s="8">
        <v>0.65864264132403871</v>
      </c>
      <c r="V127" s="8">
        <v>0.57208042370214629</v>
      </c>
      <c r="W127" s="8" t="s">
        <v>364</v>
      </c>
      <c r="X127" s="8">
        <v>152.3587962962963</v>
      </c>
      <c r="Y127" s="8" t="s">
        <v>364</v>
      </c>
      <c r="Z127" s="8" t="s">
        <v>364</v>
      </c>
      <c r="AA127" s="86"/>
      <c r="AB127" s="86"/>
    </row>
    <row r="128" spans="1:32" hidden="1" outlineLevel="1" x14ac:dyDescent="0.25">
      <c r="A128" s="21" t="s">
        <v>367</v>
      </c>
      <c r="B128" s="21" t="s">
        <v>607</v>
      </c>
      <c r="C128" s="21" t="s">
        <v>362</v>
      </c>
      <c r="D128" s="15">
        <v>0</v>
      </c>
      <c r="E128" s="57" t="s">
        <v>364</v>
      </c>
      <c r="F128" s="15">
        <v>216</v>
      </c>
      <c r="G128" s="15">
        <v>0</v>
      </c>
      <c r="H128" s="57" t="s">
        <v>364</v>
      </c>
      <c r="I128" s="15">
        <v>0</v>
      </c>
      <c r="J128" s="15">
        <v>42</v>
      </c>
      <c r="K128" s="57">
        <v>520.96428571428567</v>
      </c>
      <c r="L128" s="15">
        <v>21880.5</v>
      </c>
      <c r="M128" s="15" t="s">
        <v>364</v>
      </c>
      <c r="N128" s="15" t="s">
        <v>364</v>
      </c>
      <c r="O128" s="15" t="s">
        <v>364</v>
      </c>
      <c r="P128" s="15" t="s">
        <v>364</v>
      </c>
      <c r="Q128" s="15" t="s">
        <v>364</v>
      </c>
      <c r="R128" s="15" t="s">
        <v>364</v>
      </c>
      <c r="S128" s="15" t="s">
        <v>364</v>
      </c>
      <c r="T128" s="15" t="s">
        <v>364</v>
      </c>
      <c r="U128" s="17" t="s">
        <v>364</v>
      </c>
      <c r="V128" s="17" t="s">
        <v>364</v>
      </c>
      <c r="W128" s="17" t="s">
        <v>364</v>
      </c>
      <c r="X128" s="17">
        <v>100.29861111111111</v>
      </c>
      <c r="Y128" s="17" t="s">
        <v>364</v>
      </c>
      <c r="Z128" s="17" t="s">
        <v>364</v>
      </c>
      <c r="AA128" s="86"/>
      <c r="AB128" s="86"/>
    </row>
    <row r="129" spans="1:28" hidden="1" outlineLevel="1" x14ac:dyDescent="0.25">
      <c r="A129" s="21" t="s">
        <v>367</v>
      </c>
      <c r="B129" s="21" t="s">
        <v>608</v>
      </c>
      <c r="C129" s="21" t="s">
        <v>363</v>
      </c>
      <c r="D129" s="15">
        <v>0</v>
      </c>
      <c r="E129" s="57" t="s">
        <v>364</v>
      </c>
      <c r="F129" s="15">
        <v>0</v>
      </c>
      <c r="G129" s="15">
        <v>0</v>
      </c>
      <c r="H129" s="57" t="s">
        <v>364</v>
      </c>
      <c r="I129" s="15">
        <v>0</v>
      </c>
      <c r="J129" s="15">
        <v>6</v>
      </c>
      <c r="K129" s="57">
        <v>1874.1666666666667</v>
      </c>
      <c r="L129" s="15">
        <v>11245</v>
      </c>
      <c r="M129" s="15" t="s">
        <v>364</v>
      </c>
      <c r="N129" s="15" t="s">
        <v>364</v>
      </c>
      <c r="O129" s="15" t="s">
        <v>364</v>
      </c>
      <c r="P129" s="15" t="s">
        <v>364</v>
      </c>
      <c r="Q129" s="15" t="s">
        <v>364</v>
      </c>
      <c r="R129" s="15" t="s">
        <v>364</v>
      </c>
      <c r="S129" s="15" t="s">
        <v>364</v>
      </c>
      <c r="T129" s="15" t="s">
        <v>364</v>
      </c>
      <c r="U129" s="17" t="s">
        <v>364</v>
      </c>
      <c r="V129" s="17" t="s">
        <v>364</v>
      </c>
      <c r="W129" s="17" t="s">
        <v>364</v>
      </c>
      <c r="X129" s="17" t="s">
        <v>364</v>
      </c>
      <c r="Y129" s="17" t="s">
        <v>364</v>
      </c>
      <c r="Z129" s="17" t="s">
        <v>364</v>
      </c>
      <c r="AA129" s="86"/>
      <c r="AB129" s="86"/>
    </row>
    <row r="130" spans="1:28" collapsed="1" x14ac:dyDescent="0.25">
      <c r="A130" s="5" t="s">
        <v>207</v>
      </c>
      <c r="B130" s="5" t="s">
        <v>46</v>
      </c>
      <c r="C130" s="5" t="s">
        <v>229</v>
      </c>
      <c r="D130" s="6">
        <v>131</v>
      </c>
      <c r="E130" s="53">
        <v>387.3435114503817</v>
      </c>
      <c r="F130" s="6">
        <v>50742</v>
      </c>
      <c r="G130" s="6">
        <v>143</v>
      </c>
      <c r="H130" s="53">
        <v>350.53146853146853</v>
      </c>
      <c r="I130" s="6">
        <v>50126</v>
      </c>
      <c r="J130" s="6">
        <v>184</v>
      </c>
      <c r="K130" s="53">
        <v>375.62777173913048</v>
      </c>
      <c r="L130" s="6">
        <v>69115.510000000009</v>
      </c>
      <c r="M130" s="6">
        <v>166.18608695652171</v>
      </c>
      <c r="N130" s="6">
        <v>410</v>
      </c>
      <c r="O130" s="6">
        <v>68136.295652173896</v>
      </c>
      <c r="P130" s="6">
        <v>17.813913043478294</v>
      </c>
      <c r="Q130" s="6">
        <v>-34.37222826086952</v>
      </c>
      <c r="R130" s="6">
        <v>979.21434782611323</v>
      </c>
      <c r="S130" s="6">
        <v>-6324.4899999999916</v>
      </c>
      <c r="T130" s="6">
        <v>7303.7043478261003</v>
      </c>
      <c r="U130" s="8">
        <v>1.1071925656937747</v>
      </c>
      <c r="V130" s="8">
        <v>1.0143714057016668</v>
      </c>
      <c r="W130" s="8">
        <v>0.40458015267175573</v>
      </c>
      <c r="X130" s="8">
        <v>0.36209668519175453</v>
      </c>
      <c r="Y130" s="8">
        <v>0.28671328671328672</v>
      </c>
      <c r="Z130" s="8">
        <v>0.37883553445317819</v>
      </c>
      <c r="AA130" s="86"/>
      <c r="AB130" s="86"/>
    </row>
    <row r="131" spans="1:28" hidden="1" outlineLevel="1" x14ac:dyDescent="0.25">
      <c r="A131" s="21" t="s">
        <v>367</v>
      </c>
      <c r="B131" s="21" t="s">
        <v>609</v>
      </c>
      <c r="C131" s="21" t="s">
        <v>362</v>
      </c>
      <c r="D131" s="15">
        <v>123</v>
      </c>
      <c r="E131" s="57">
        <v>395.130081300813</v>
      </c>
      <c r="F131" s="15">
        <v>48601</v>
      </c>
      <c r="G131" s="15">
        <v>135</v>
      </c>
      <c r="H131" s="57">
        <v>353.23703703703706</v>
      </c>
      <c r="I131" s="15">
        <v>47687</v>
      </c>
      <c r="J131" s="15">
        <v>154</v>
      </c>
      <c r="K131" s="57">
        <v>387.17811688311696</v>
      </c>
      <c r="L131" s="15">
        <v>59625.430000000008</v>
      </c>
      <c r="M131" s="15" t="s">
        <v>364</v>
      </c>
      <c r="N131" s="15" t="s">
        <v>364</v>
      </c>
      <c r="O131" s="15" t="s">
        <v>364</v>
      </c>
      <c r="P131" s="15" t="s">
        <v>364</v>
      </c>
      <c r="Q131" s="15" t="s">
        <v>364</v>
      </c>
      <c r="R131" s="15" t="s">
        <v>364</v>
      </c>
      <c r="S131" s="15" t="s">
        <v>364</v>
      </c>
      <c r="T131" s="15" t="s">
        <v>364</v>
      </c>
      <c r="U131" s="17" t="s">
        <v>364</v>
      </c>
      <c r="V131" s="17" t="s">
        <v>364</v>
      </c>
      <c r="W131" s="17">
        <v>0.25203252032520324</v>
      </c>
      <c r="X131" s="17">
        <v>0.22683545606057504</v>
      </c>
      <c r="Y131" s="17">
        <v>0.14074074074074075</v>
      </c>
      <c r="Z131" s="17">
        <v>0.25034978086270909</v>
      </c>
      <c r="AA131" s="86"/>
      <c r="AB131" s="86"/>
    </row>
    <row r="132" spans="1:28" hidden="1" outlineLevel="1" x14ac:dyDescent="0.25">
      <c r="A132" s="21" t="s">
        <v>367</v>
      </c>
      <c r="B132" s="21" t="s">
        <v>610</v>
      </c>
      <c r="C132" s="21" t="s">
        <v>363</v>
      </c>
      <c r="D132" s="15">
        <v>8</v>
      </c>
      <c r="E132" s="57">
        <v>267.625</v>
      </c>
      <c r="F132" s="15">
        <v>2141</v>
      </c>
      <c r="G132" s="15">
        <v>9</v>
      </c>
      <c r="H132" s="57">
        <v>270.88888888888891</v>
      </c>
      <c r="I132" s="15">
        <v>2438</v>
      </c>
      <c r="J132" s="15">
        <v>30</v>
      </c>
      <c r="K132" s="57">
        <v>316.33599999999996</v>
      </c>
      <c r="L132" s="15">
        <v>9490.0799999999981</v>
      </c>
      <c r="M132" s="15" t="s">
        <v>364</v>
      </c>
      <c r="N132" s="15" t="s">
        <v>364</v>
      </c>
      <c r="O132" s="15" t="s">
        <v>364</v>
      </c>
      <c r="P132" s="15" t="s">
        <v>364</v>
      </c>
      <c r="Q132" s="15" t="s">
        <v>364</v>
      </c>
      <c r="R132" s="15" t="s">
        <v>364</v>
      </c>
      <c r="S132" s="15" t="s">
        <v>364</v>
      </c>
      <c r="T132" s="15" t="s">
        <v>364</v>
      </c>
      <c r="U132" s="17" t="s">
        <v>364</v>
      </c>
      <c r="V132" s="17" t="s">
        <v>364</v>
      </c>
      <c r="W132" s="17">
        <v>2.75</v>
      </c>
      <c r="X132" s="17">
        <v>3.4325455394675375</v>
      </c>
      <c r="Y132" s="17">
        <v>2.3333333333333335</v>
      </c>
      <c r="Z132" s="17">
        <v>2.8925676784249377</v>
      </c>
      <c r="AA132" s="86"/>
      <c r="AB132" s="86"/>
    </row>
    <row r="133" spans="1:28" collapsed="1" x14ac:dyDescent="0.25">
      <c r="A133" s="5" t="s">
        <v>207</v>
      </c>
      <c r="B133" s="5" t="s">
        <v>42</v>
      </c>
      <c r="C133" s="5" t="s">
        <v>230</v>
      </c>
      <c r="D133" s="6">
        <v>139</v>
      </c>
      <c r="E133" s="53">
        <v>449.38129496402877</v>
      </c>
      <c r="F133" s="6">
        <v>62464</v>
      </c>
      <c r="G133" s="6">
        <v>170</v>
      </c>
      <c r="H133" s="53">
        <v>394.42352941176472</v>
      </c>
      <c r="I133" s="6">
        <v>67052</v>
      </c>
      <c r="J133" s="6">
        <v>149</v>
      </c>
      <c r="K133" s="53">
        <v>420.28516778523488</v>
      </c>
      <c r="L133" s="6">
        <v>62622.49</v>
      </c>
      <c r="M133" s="6">
        <v>153.66521739130434</v>
      </c>
      <c r="N133" s="6">
        <v>489.85000000000008</v>
      </c>
      <c r="O133" s="6">
        <v>75272.906739130442</v>
      </c>
      <c r="P133" s="6">
        <v>-4.6652173913043384</v>
      </c>
      <c r="Q133" s="6">
        <v>-69.564832214765204</v>
      </c>
      <c r="R133" s="6">
        <v>-12650.416739130444</v>
      </c>
      <c r="S133" s="6">
        <v>-10365.160000000016</v>
      </c>
      <c r="T133" s="6">
        <v>-2285.2567391304306</v>
      </c>
      <c r="U133" s="8">
        <v>0.96964038140508735</v>
      </c>
      <c r="V133" s="8">
        <v>0.83193930874793554</v>
      </c>
      <c r="W133" s="8">
        <v>7.1942446043165464E-2</v>
      </c>
      <c r="X133" s="8">
        <v>2.5373014856557049E-3</v>
      </c>
      <c r="Y133" s="8">
        <v>-0.12352941176470589</v>
      </c>
      <c r="Z133" s="8">
        <v>-6.6060818469247773E-2</v>
      </c>
      <c r="AA133" s="86"/>
      <c r="AB133" s="86"/>
    </row>
    <row r="134" spans="1:28" hidden="1" outlineLevel="1" x14ac:dyDescent="0.25">
      <c r="A134" s="21" t="s">
        <v>367</v>
      </c>
      <c r="B134" s="21" t="s">
        <v>611</v>
      </c>
      <c r="C134" s="21" t="s">
        <v>362</v>
      </c>
      <c r="D134" s="15">
        <v>132</v>
      </c>
      <c r="E134" s="57">
        <v>445.99242424242425</v>
      </c>
      <c r="F134" s="15">
        <v>58871</v>
      </c>
      <c r="G134" s="15">
        <v>162</v>
      </c>
      <c r="H134" s="57">
        <v>391.77777777777777</v>
      </c>
      <c r="I134" s="15">
        <v>63468</v>
      </c>
      <c r="J134" s="15">
        <v>127</v>
      </c>
      <c r="K134" s="57">
        <v>378.99110236220474</v>
      </c>
      <c r="L134" s="15">
        <v>48131.87</v>
      </c>
      <c r="M134" s="15" t="s">
        <v>364</v>
      </c>
      <c r="N134" s="15" t="s">
        <v>364</v>
      </c>
      <c r="O134" s="15" t="s">
        <v>364</v>
      </c>
      <c r="P134" s="15" t="s">
        <v>364</v>
      </c>
      <c r="Q134" s="15" t="s">
        <v>364</v>
      </c>
      <c r="R134" s="15" t="s">
        <v>364</v>
      </c>
      <c r="S134" s="15" t="s">
        <v>364</v>
      </c>
      <c r="T134" s="15" t="s">
        <v>364</v>
      </c>
      <c r="U134" s="17" t="s">
        <v>364</v>
      </c>
      <c r="V134" s="17" t="s">
        <v>364</v>
      </c>
      <c r="W134" s="17">
        <v>-3.787878787878788E-2</v>
      </c>
      <c r="X134" s="17">
        <v>-0.18241799867506917</v>
      </c>
      <c r="Y134" s="17">
        <v>-0.21604938271604937</v>
      </c>
      <c r="Z134" s="17">
        <v>-0.2416356274027856</v>
      </c>
      <c r="AA134" s="86"/>
      <c r="AB134" s="86"/>
    </row>
    <row r="135" spans="1:28" hidden="1" outlineLevel="1" x14ac:dyDescent="0.25">
      <c r="A135" s="21" t="s">
        <v>367</v>
      </c>
      <c r="B135" s="21" t="s">
        <v>612</v>
      </c>
      <c r="C135" s="21" t="s">
        <v>363</v>
      </c>
      <c r="D135" s="15">
        <v>7</v>
      </c>
      <c r="E135" s="57">
        <v>513.28571428571433</v>
      </c>
      <c r="F135" s="15">
        <v>3593</v>
      </c>
      <c r="G135" s="15">
        <v>8</v>
      </c>
      <c r="H135" s="57">
        <v>448</v>
      </c>
      <c r="I135" s="15">
        <v>3584</v>
      </c>
      <c r="J135" s="15">
        <v>22</v>
      </c>
      <c r="K135" s="57">
        <v>658.66454545454565</v>
      </c>
      <c r="L135" s="15">
        <v>14490.620000000004</v>
      </c>
      <c r="M135" s="15" t="s">
        <v>364</v>
      </c>
      <c r="N135" s="15" t="s">
        <v>364</v>
      </c>
      <c r="O135" s="15" t="s">
        <v>364</v>
      </c>
      <c r="P135" s="15" t="s">
        <v>364</v>
      </c>
      <c r="Q135" s="15" t="s">
        <v>364</v>
      </c>
      <c r="R135" s="15" t="s">
        <v>364</v>
      </c>
      <c r="S135" s="15" t="s">
        <v>364</v>
      </c>
      <c r="T135" s="15" t="s">
        <v>364</v>
      </c>
      <c r="U135" s="17" t="s">
        <v>364</v>
      </c>
      <c r="V135" s="17" t="s">
        <v>364</v>
      </c>
      <c r="W135" s="17">
        <v>2.1428571428571428</v>
      </c>
      <c r="X135" s="17">
        <v>3.0330141942666309</v>
      </c>
      <c r="Y135" s="17">
        <v>1.75</v>
      </c>
      <c r="Z135" s="17">
        <v>3.0431417410714299</v>
      </c>
      <c r="AA135" s="86"/>
      <c r="AB135" s="86"/>
    </row>
    <row r="136" spans="1:28" collapsed="1" x14ac:dyDescent="0.25">
      <c r="A136" s="5" t="s">
        <v>208</v>
      </c>
      <c r="B136" s="5" t="s">
        <v>48</v>
      </c>
      <c r="C136" s="5" t="s">
        <v>236</v>
      </c>
      <c r="D136" s="6">
        <v>66</v>
      </c>
      <c r="E136" s="53">
        <v>446.63636363636363</v>
      </c>
      <c r="F136" s="6">
        <v>29478</v>
      </c>
      <c r="G136" s="6">
        <v>85</v>
      </c>
      <c r="H136" s="53">
        <v>437.76470588235293</v>
      </c>
      <c r="I136" s="6">
        <v>37210</v>
      </c>
      <c r="J136" s="6">
        <v>80</v>
      </c>
      <c r="K136" s="53">
        <v>572.63250000000005</v>
      </c>
      <c r="L136" s="6">
        <v>45810.600000000006</v>
      </c>
      <c r="M136" s="6">
        <v>110.4782608695652</v>
      </c>
      <c r="N136" s="6">
        <v>514.34249999999997</v>
      </c>
      <c r="O136" s="6">
        <v>56823.664891304339</v>
      </c>
      <c r="P136" s="6">
        <v>-30.478260869565204</v>
      </c>
      <c r="Q136" s="6">
        <v>58.290000000000077</v>
      </c>
      <c r="R136" s="6">
        <v>-11013.064891304333</v>
      </c>
      <c r="S136" s="6">
        <v>4663.2000000000062</v>
      </c>
      <c r="T136" s="6">
        <v>-15676.264891304339</v>
      </c>
      <c r="U136" s="8">
        <v>0.72412436048799689</v>
      </c>
      <c r="V136" s="8">
        <v>0.80618876110207294</v>
      </c>
      <c r="W136" s="8">
        <v>0.21212121212121213</v>
      </c>
      <c r="X136" s="8">
        <v>0.55406065540403027</v>
      </c>
      <c r="Y136" s="8">
        <v>-5.8823529411764705E-2</v>
      </c>
      <c r="Z136" s="8">
        <v>0.23113679118516545</v>
      </c>
      <c r="AA136" s="86"/>
      <c r="AB136" s="86"/>
    </row>
    <row r="137" spans="1:28" hidden="1" outlineLevel="1" x14ac:dyDescent="0.25">
      <c r="A137" s="21" t="s">
        <v>367</v>
      </c>
      <c r="B137" s="21" t="s">
        <v>623</v>
      </c>
      <c r="C137" s="21" t="s">
        <v>362</v>
      </c>
      <c r="D137" s="15">
        <v>60</v>
      </c>
      <c r="E137" s="57">
        <v>405.11666666666667</v>
      </c>
      <c r="F137" s="15">
        <v>24307</v>
      </c>
      <c r="G137" s="15">
        <v>70</v>
      </c>
      <c r="H137" s="57">
        <v>358.15714285714284</v>
      </c>
      <c r="I137" s="15">
        <v>25071</v>
      </c>
      <c r="J137" s="15">
        <v>70</v>
      </c>
      <c r="K137" s="57">
        <v>568.60857142857151</v>
      </c>
      <c r="L137" s="15">
        <v>39802.600000000006</v>
      </c>
      <c r="M137" s="15" t="s">
        <v>364</v>
      </c>
      <c r="N137" s="15" t="s">
        <v>364</v>
      </c>
      <c r="O137" s="15" t="s">
        <v>364</v>
      </c>
      <c r="P137" s="15" t="s">
        <v>364</v>
      </c>
      <c r="Q137" s="15" t="s">
        <v>364</v>
      </c>
      <c r="R137" s="15" t="s">
        <v>364</v>
      </c>
      <c r="S137" s="15" t="s">
        <v>364</v>
      </c>
      <c r="T137" s="15" t="s">
        <v>364</v>
      </c>
      <c r="U137" s="17" t="s">
        <v>364</v>
      </c>
      <c r="V137" s="17" t="s">
        <v>364</v>
      </c>
      <c r="W137" s="17">
        <v>0.16666666666666666</v>
      </c>
      <c r="X137" s="17">
        <v>0.63749537170362469</v>
      </c>
      <c r="Y137" s="17">
        <v>0</v>
      </c>
      <c r="Z137" s="17">
        <v>0.58759522954808363</v>
      </c>
      <c r="AA137" s="86"/>
      <c r="AB137" s="86"/>
    </row>
    <row r="138" spans="1:28" hidden="1" outlineLevel="1" x14ac:dyDescent="0.25">
      <c r="A138" s="21" t="s">
        <v>367</v>
      </c>
      <c r="B138" s="21" t="s">
        <v>624</v>
      </c>
      <c r="C138" s="21" t="s">
        <v>363</v>
      </c>
      <c r="D138" s="15">
        <v>7</v>
      </c>
      <c r="E138" s="57">
        <v>738.71428571428567</v>
      </c>
      <c r="F138" s="15">
        <v>5171</v>
      </c>
      <c r="G138" s="15">
        <v>15</v>
      </c>
      <c r="H138" s="57">
        <v>809.26666666666665</v>
      </c>
      <c r="I138" s="15">
        <v>12139</v>
      </c>
      <c r="J138" s="15">
        <v>10</v>
      </c>
      <c r="K138" s="57">
        <v>600.79999999999995</v>
      </c>
      <c r="L138" s="15">
        <v>6007.9999999999991</v>
      </c>
      <c r="M138" s="15" t="s">
        <v>364</v>
      </c>
      <c r="N138" s="15" t="s">
        <v>364</v>
      </c>
      <c r="O138" s="15" t="s">
        <v>364</v>
      </c>
      <c r="P138" s="15" t="s">
        <v>364</v>
      </c>
      <c r="Q138" s="15" t="s">
        <v>364</v>
      </c>
      <c r="R138" s="15" t="s">
        <v>364</v>
      </c>
      <c r="S138" s="15" t="s">
        <v>364</v>
      </c>
      <c r="T138" s="15" t="s">
        <v>364</v>
      </c>
      <c r="U138" s="17" t="s">
        <v>364</v>
      </c>
      <c r="V138" s="17" t="s">
        <v>364</v>
      </c>
      <c r="W138" s="17">
        <v>0.42857142857142855</v>
      </c>
      <c r="X138" s="17">
        <v>0.16186424289305726</v>
      </c>
      <c r="Y138" s="17">
        <v>-0.33333333333333331</v>
      </c>
      <c r="Z138" s="17">
        <v>-0.5050663151824698</v>
      </c>
      <c r="AA138" s="86"/>
      <c r="AB138" s="86"/>
    </row>
    <row r="139" spans="1:28" collapsed="1" x14ac:dyDescent="0.25">
      <c r="A139" s="5" t="s">
        <v>207</v>
      </c>
      <c r="B139" s="5" t="s">
        <v>147</v>
      </c>
      <c r="C139" s="5" t="s">
        <v>237</v>
      </c>
      <c r="D139" s="6">
        <v>62</v>
      </c>
      <c r="E139" s="53">
        <v>642.56451612903231</v>
      </c>
      <c r="F139" s="6">
        <v>39839</v>
      </c>
      <c r="G139" s="6">
        <v>79</v>
      </c>
      <c r="H139" s="53">
        <v>808.43037974683546</v>
      </c>
      <c r="I139" s="6">
        <v>63866</v>
      </c>
      <c r="J139" s="6">
        <v>14</v>
      </c>
      <c r="K139" s="53">
        <v>1871.0285714285717</v>
      </c>
      <c r="L139" s="6">
        <v>26194.400000000005</v>
      </c>
      <c r="M139" s="6">
        <v>95.795000000000002</v>
      </c>
      <c r="N139" s="6">
        <v>973.82179999999994</v>
      </c>
      <c r="O139" s="6">
        <v>93287.259330999994</v>
      </c>
      <c r="P139" s="6">
        <v>-81.795000000000002</v>
      </c>
      <c r="Q139" s="6">
        <v>897.20677142857176</v>
      </c>
      <c r="R139" s="6">
        <v>-67092.859330999985</v>
      </c>
      <c r="S139" s="6">
        <v>12560.894800000005</v>
      </c>
      <c r="T139" s="6">
        <v>-79653.754130999994</v>
      </c>
      <c r="U139" s="8">
        <v>0.14614541468761416</v>
      </c>
      <c r="V139" s="8">
        <v>0.28079289913596406</v>
      </c>
      <c r="W139" s="8">
        <v>-0.77419354838709675</v>
      </c>
      <c r="X139" s="8">
        <v>-0.34249353648434938</v>
      </c>
      <c r="Y139" s="8">
        <v>-0.82278481012658233</v>
      </c>
      <c r="Z139" s="8">
        <v>-0.58985375630225767</v>
      </c>
      <c r="AA139" s="86"/>
      <c r="AB139" s="86"/>
    </row>
    <row r="140" spans="1:28" hidden="1" outlineLevel="1" x14ac:dyDescent="0.25">
      <c r="A140" s="21" t="s">
        <v>367</v>
      </c>
      <c r="B140" s="21" t="s">
        <v>625</v>
      </c>
      <c r="C140" s="21" t="s">
        <v>362</v>
      </c>
      <c r="D140" s="15">
        <v>56</v>
      </c>
      <c r="E140" s="57">
        <v>688.55357142857144</v>
      </c>
      <c r="F140" s="15">
        <v>38559</v>
      </c>
      <c r="G140" s="15">
        <v>68</v>
      </c>
      <c r="H140" s="57">
        <v>861.44117647058829</v>
      </c>
      <c r="I140" s="15">
        <v>58578</v>
      </c>
      <c r="J140" s="15">
        <v>12</v>
      </c>
      <c r="K140" s="57">
        <v>2098.6875000000005</v>
      </c>
      <c r="L140" s="15">
        <v>25184.250000000004</v>
      </c>
      <c r="M140" s="15" t="s">
        <v>364</v>
      </c>
      <c r="N140" s="15" t="s">
        <v>364</v>
      </c>
      <c r="O140" s="15" t="s">
        <v>364</v>
      </c>
      <c r="P140" s="15" t="s">
        <v>364</v>
      </c>
      <c r="Q140" s="15" t="s">
        <v>364</v>
      </c>
      <c r="R140" s="15" t="s">
        <v>364</v>
      </c>
      <c r="S140" s="15" t="s">
        <v>364</v>
      </c>
      <c r="T140" s="15" t="s">
        <v>364</v>
      </c>
      <c r="U140" s="17" t="s">
        <v>364</v>
      </c>
      <c r="V140" s="17" t="s">
        <v>364</v>
      </c>
      <c r="W140" s="17">
        <v>-0.7857142857142857</v>
      </c>
      <c r="X140" s="17">
        <v>-0.34686454524235577</v>
      </c>
      <c r="Y140" s="17">
        <v>-0.82352941176470584</v>
      </c>
      <c r="Z140" s="17">
        <v>-0.5700732356857523</v>
      </c>
      <c r="AA140" s="86"/>
      <c r="AB140" s="86"/>
    </row>
    <row r="141" spans="1:28" hidden="1" outlineLevel="1" x14ac:dyDescent="0.25">
      <c r="A141" s="21" t="s">
        <v>367</v>
      </c>
      <c r="B141" s="21" t="s">
        <v>626</v>
      </c>
      <c r="C141" s="21" t="s">
        <v>363</v>
      </c>
      <c r="D141" s="15">
        <v>6</v>
      </c>
      <c r="E141" s="57">
        <v>213.33333333333334</v>
      </c>
      <c r="F141" s="15">
        <v>1280</v>
      </c>
      <c r="G141" s="15">
        <v>11</v>
      </c>
      <c r="H141" s="57">
        <v>480.72727272727275</v>
      </c>
      <c r="I141" s="15">
        <v>5288</v>
      </c>
      <c r="J141" s="15">
        <v>2</v>
      </c>
      <c r="K141" s="57">
        <v>505.07499999999999</v>
      </c>
      <c r="L141" s="15">
        <v>1010.15</v>
      </c>
      <c r="M141" s="15" t="s">
        <v>364</v>
      </c>
      <c r="N141" s="15" t="s">
        <v>364</v>
      </c>
      <c r="O141" s="15" t="s">
        <v>364</v>
      </c>
      <c r="P141" s="15" t="s">
        <v>364</v>
      </c>
      <c r="Q141" s="15" t="s">
        <v>364</v>
      </c>
      <c r="R141" s="15" t="s">
        <v>364</v>
      </c>
      <c r="S141" s="15" t="s">
        <v>364</v>
      </c>
      <c r="T141" s="15" t="s">
        <v>364</v>
      </c>
      <c r="U141" s="17" t="s">
        <v>364</v>
      </c>
      <c r="V141" s="17" t="s">
        <v>364</v>
      </c>
      <c r="W141" s="17">
        <v>-0.66666666666666663</v>
      </c>
      <c r="X141" s="17">
        <v>-0.21082031250000002</v>
      </c>
      <c r="Y141" s="17">
        <v>-0.81818181818181823</v>
      </c>
      <c r="Z141" s="17">
        <v>-0.80897314674735255</v>
      </c>
      <c r="AA141" s="86"/>
      <c r="AB141" s="86"/>
    </row>
    <row r="142" spans="1:28" collapsed="1" x14ac:dyDescent="0.25">
      <c r="A142" s="5" t="s">
        <v>207</v>
      </c>
      <c r="B142" s="5" t="s">
        <v>210</v>
      </c>
      <c r="C142" s="5" t="s">
        <v>242</v>
      </c>
      <c r="D142" s="6">
        <v>0</v>
      </c>
      <c r="E142" s="53" t="s">
        <v>364</v>
      </c>
      <c r="F142" s="6">
        <v>0</v>
      </c>
      <c r="G142" s="6">
        <v>0</v>
      </c>
      <c r="H142" s="53" t="s">
        <v>364</v>
      </c>
      <c r="I142" s="6">
        <v>0</v>
      </c>
      <c r="J142" s="6">
        <v>51</v>
      </c>
      <c r="K142" s="53">
        <v>214.19666666666669</v>
      </c>
      <c r="L142" s="6">
        <v>10924.03</v>
      </c>
      <c r="M142" s="6">
        <v>70.003043478260878</v>
      </c>
      <c r="N142" s="6">
        <v>166.54900000000001</v>
      </c>
      <c r="O142" s="6">
        <v>11658.936888260871</v>
      </c>
      <c r="P142" s="6">
        <v>-19.003043478260878</v>
      </c>
      <c r="Q142" s="6">
        <v>47.64766666666668</v>
      </c>
      <c r="R142" s="6">
        <v>-734.90688826086989</v>
      </c>
      <c r="S142" s="6">
        <v>2430.0310000000009</v>
      </c>
      <c r="T142" s="6">
        <v>-3164.9378882608712</v>
      </c>
      <c r="U142" s="8">
        <v>0.72853975292999673</v>
      </c>
      <c r="V142" s="8">
        <v>0.9369662178203545</v>
      </c>
      <c r="W142" s="8" t="s">
        <v>364</v>
      </c>
      <c r="X142" s="8" t="s">
        <v>364</v>
      </c>
      <c r="Y142" s="8" t="s">
        <v>364</v>
      </c>
      <c r="Z142" s="8" t="s">
        <v>364</v>
      </c>
      <c r="AA142" s="86"/>
      <c r="AB142" s="86"/>
    </row>
    <row r="143" spans="1:28" hidden="1" outlineLevel="1" x14ac:dyDescent="0.25">
      <c r="A143" s="21" t="s">
        <v>367</v>
      </c>
      <c r="B143" s="21" t="s">
        <v>635</v>
      </c>
      <c r="C143" s="21" t="s">
        <v>362</v>
      </c>
      <c r="D143" s="15">
        <v>0</v>
      </c>
      <c r="E143" s="57" t="s">
        <v>364</v>
      </c>
      <c r="F143" s="15">
        <v>0</v>
      </c>
      <c r="G143" s="15">
        <v>0</v>
      </c>
      <c r="H143" s="57" t="s">
        <v>364</v>
      </c>
      <c r="I143" s="15">
        <v>0</v>
      </c>
      <c r="J143" s="15">
        <v>37</v>
      </c>
      <c r="K143" s="57">
        <v>162.10162162162163</v>
      </c>
      <c r="L143" s="15">
        <v>5997.76</v>
      </c>
      <c r="M143" s="15" t="s">
        <v>364</v>
      </c>
      <c r="N143" s="15" t="s">
        <v>364</v>
      </c>
      <c r="O143" s="15" t="s">
        <v>364</v>
      </c>
      <c r="P143" s="15" t="s">
        <v>364</v>
      </c>
      <c r="Q143" s="15" t="s">
        <v>364</v>
      </c>
      <c r="R143" s="15" t="s">
        <v>364</v>
      </c>
      <c r="S143" s="15" t="s">
        <v>364</v>
      </c>
      <c r="T143" s="15" t="s">
        <v>364</v>
      </c>
      <c r="U143" s="17" t="s">
        <v>364</v>
      </c>
      <c r="V143" s="17" t="s">
        <v>364</v>
      </c>
      <c r="W143" s="17" t="s">
        <v>364</v>
      </c>
      <c r="X143" s="17" t="s">
        <v>364</v>
      </c>
      <c r="Y143" s="17" t="s">
        <v>364</v>
      </c>
      <c r="Z143" s="17" t="s">
        <v>364</v>
      </c>
      <c r="AA143" s="86"/>
      <c r="AB143" s="86"/>
    </row>
    <row r="144" spans="1:28" hidden="1" outlineLevel="1" x14ac:dyDescent="0.25">
      <c r="A144" s="21" t="s">
        <v>367</v>
      </c>
      <c r="B144" s="21" t="s">
        <v>636</v>
      </c>
      <c r="C144" s="21" t="s">
        <v>363</v>
      </c>
      <c r="D144" s="15">
        <v>0</v>
      </c>
      <c r="E144" s="57" t="s">
        <v>364</v>
      </c>
      <c r="F144" s="15">
        <v>0</v>
      </c>
      <c r="G144" s="15">
        <v>0</v>
      </c>
      <c r="H144" s="57" t="s">
        <v>364</v>
      </c>
      <c r="I144" s="15">
        <v>0</v>
      </c>
      <c r="J144" s="15">
        <v>14</v>
      </c>
      <c r="K144" s="57">
        <v>351.87642857142862</v>
      </c>
      <c r="L144" s="15">
        <v>4926.2700000000004</v>
      </c>
      <c r="M144" s="15" t="s">
        <v>364</v>
      </c>
      <c r="N144" s="15" t="s">
        <v>364</v>
      </c>
      <c r="O144" s="15" t="s">
        <v>364</v>
      </c>
      <c r="P144" s="15" t="s">
        <v>364</v>
      </c>
      <c r="Q144" s="15" t="s">
        <v>364</v>
      </c>
      <c r="R144" s="15" t="s">
        <v>364</v>
      </c>
      <c r="S144" s="15" t="s">
        <v>364</v>
      </c>
      <c r="T144" s="15" t="s">
        <v>364</v>
      </c>
      <c r="U144" s="17" t="s">
        <v>364</v>
      </c>
      <c r="V144" s="17" t="s">
        <v>364</v>
      </c>
      <c r="W144" s="17" t="s">
        <v>364</v>
      </c>
      <c r="X144" s="17" t="s">
        <v>364</v>
      </c>
      <c r="Y144" s="17" t="s">
        <v>364</v>
      </c>
      <c r="Z144" s="17" t="s">
        <v>364</v>
      </c>
      <c r="AA144" s="86"/>
      <c r="AB144" s="86"/>
    </row>
    <row r="145" spans="1:28" collapsed="1" x14ac:dyDescent="0.25">
      <c r="A145" s="5" t="s">
        <v>207</v>
      </c>
      <c r="B145" s="5" t="s">
        <v>39</v>
      </c>
      <c r="C145" s="5" t="s">
        <v>244</v>
      </c>
      <c r="D145" s="6">
        <v>293</v>
      </c>
      <c r="E145" s="53">
        <v>489.6348122866894</v>
      </c>
      <c r="F145" s="6">
        <v>143463</v>
      </c>
      <c r="G145" s="6">
        <v>295</v>
      </c>
      <c r="H145" s="53">
        <v>465.39661016949151</v>
      </c>
      <c r="I145" s="6">
        <v>137292</v>
      </c>
      <c r="J145" s="6">
        <v>67</v>
      </c>
      <c r="K145" s="53">
        <v>404.94641791044768</v>
      </c>
      <c r="L145" s="6">
        <v>27131.409999999996</v>
      </c>
      <c r="M145" s="6">
        <v>200</v>
      </c>
      <c r="N145" s="6">
        <v>510</v>
      </c>
      <c r="O145" s="6">
        <v>102000</v>
      </c>
      <c r="P145" s="6">
        <v>-133</v>
      </c>
      <c r="Q145" s="6">
        <v>-105.05358208955232</v>
      </c>
      <c r="R145" s="6">
        <v>-74868.59</v>
      </c>
      <c r="S145" s="6">
        <v>-7038.5900000000056</v>
      </c>
      <c r="T145" s="6">
        <v>-67830</v>
      </c>
      <c r="U145" s="8">
        <v>0.33500000000000002</v>
      </c>
      <c r="V145" s="8">
        <v>0.26599421568627446</v>
      </c>
      <c r="W145" s="8">
        <v>-0.77133105802047786</v>
      </c>
      <c r="X145" s="8">
        <v>-0.81088217868021717</v>
      </c>
      <c r="Y145" s="8">
        <v>-0.77288135593220342</v>
      </c>
      <c r="Z145" s="8">
        <v>-0.80238171197156427</v>
      </c>
      <c r="AA145" s="86"/>
      <c r="AB145" s="86"/>
    </row>
    <row r="146" spans="1:28" hidden="1" outlineLevel="1" x14ac:dyDescent="0.25">
      <c r="A146" s="21" t="s">
        <v>367</v>
      </c>
      <c r="B146" s="21" t="s">
        <v>639</v>
      </c>
      <c r="C146" s="21" t="s">
        <v>362</v>
      </c>
      <c r="D146" s="15">
        <v>282</v>
      </c>
      <c r="E146" s="57">
        <v>503.16666666666669</v>
      </c>
      <c r="F146" s="15">
        <v>141893</v>
      </c>
      <c r="G146" s="15">
        <v>284</v>
      </c>
      <c r="H146" s="57">
        <v>477.15845070422534</v>
      </c>
      <c r="I146" s="15">
        <v>135513</v>
      </c>
      <c r="J146" s="15">
        <v>63</v>
      </c>
      <c r="K146" s="57">
        <v>411.76968253968249</v>
      </c>
      <c r="L146" s="15">
        <v>25941.489999999998</v>
      </c>
      <c r="M146" s="15" t="s">
        <v>364</v>
      </c>
      <c r="N146" s="15" t="s">
        <v>364</v>
      </c>
      <c r="O146" s="15" t="s">
        <v>364</v>
      </c>
      <c r="P146" s="15" t="s">
        <v>364</v>
      </c>
      <c r="Q146" s="15" t="s">
        <v>364</v>
      </c>
      <c r="R146" s="15" t="s">
        <v>364</v>
      </c>
      <c r="S146" s="15" t="s">
        <v>364</v>
      </c>
      <c r="T146" s="15" t="s">
        <v>364</v>
      </c>
      <c r="U146" s="17" t="s">
        <v>364</v>
      </c>
      <c r="V146" s="17" t="s">
        <v>364</v>
      </c>
      <c r="W146" s="17">
        <v>-0.77659574468085102</v>
      </c>
      <c r="X146" s="17">
        <v>-0.81717568872319291</v>
      </c>
      <c r="Y146" s="17">
        <v>-0.778169014084507</v>
      </c>
      <c r="Z146" s="17">
        <v>-0.80856825544412725</v>
      </c>
      <c r="AA146" s="86"/>
      <c r="AB146" s="86"/>
    </row>
    <row r="147" spans="1:28" hidden="1" outlineLevel="1" x14ac:dyDescent="0.25">
      <c r="A147" s="21" t="s">
        <v>367</v>
      </c>
      <c r="B147" s="21" t="s">
        <v>640</v>
      </c>
      <c r="C147" s="21" t="s">
        <v>363</v>
      </c>
      <c r="D147" s="15">
        <v>11</v>
      </c>
      <c r="E147" s="57">
        <v>142.72727272727272</v>
      </c>
      <c r="F147" s="15">
        <v>1570</v>
      </c>
      <c r="G147" s="15">
        <v>11</v>
      </c>
      <c r="H147" s="57">
        <v>161.72727272727272</v>
      </c>
      <c r="I147" s="15">
        <v>1779</v>
      </c>
      <c r="J147" s="15">
        <v>4</v>
      </c>
      <c r="K147" s="57">
        <v>297.48</v>
      </c>
      <c r="L147" s="15">
        <v>1189.92</v>
      </c>
      <c r="M147" s="15" t="s">
        <v>364</v>
      </c>
      <c r="N147" s="15" t="s">
        <v>364</v>
      </c>
      <c r="O147" s="15" t="s">
        <v>364</v>
      </c>
      <c r="P147" s="15" t="s">
        <v>364</v>
      </c>
      <c r="Q147" s="15" t="s">
        <v>364</v>
      </c>
      <c r="R147" s="15" t="s">
        <v>364</v>
      </c>
      <c r="S147" s="15" t="s">
        <v>364</v>
      </c>
      <c r="T147" s="15" t="s">
        <v>364</v>
      </c>
      <c r="U147" s="17" t="s">
        <v>364</v>
      </c>
      <c r="V147" s="17" t="s">
        <v>364</v>
      </c>
      <c r="W147" s="17">
        <v>-0.63636363636363635</v>
      </c>
      <c r="X147" s="17">
        <v>-0.24208917197452226</v>
      </c>
      <c r="Y147" s="17">
        <v>-0.63636363636363635</v>
      </c>
      <c r="Z147" s="17">
        <v>-0.33112984822934227</v>
      </c>
      <c r="AA147" s="86"/>
      <c r="AB147" s="86"/>
    </row>
    <row r="148" spans="1:28" collapsed="1" x14ac:dyDescent="0.25">
      <c r="A148" s="5" t="s">
        <v>207</v>
      </c>
      <c r="B148" s="5" t="s">
        <v>214</v>
      </c>
      <c r="C148" s="5" t="s">
        <v>245</v>
      </c>
      <c r="D148" s="6">
        <v>22</v>
      </c>
      <c r="E148" s="53">
        <v>369.45454545454544</v>
      </c>
      <c r="F148" s="6">
        <v>8128</v>
      </c>
      <c r="G148" s="6">
        <v>31</v>
      </c>
      <c r="H148" s="53">
        <v>352.03225806451616</v>
      </c>
      <c r="I148" s="6">
        <v>10913</v>
      </c>
      <c r="J148" s="6">
        <v>17</v>
      </c>
      <c r="K148" s="53">
        <v>503.64235294117645</v>
      </c>
      <c r="L148" s="6">
        <v>8561.92</v>
      </c>
      <c r="M148" s="6">
        <v>44.392173913043472</v>
      </c>
      <c r="N148" s="6">
        <v>452.62139999999999</v>
      </c>
      <c r="O148" s="6">
        <v>20092.847905565213</v>
      </c>
      <c r="P148" s="6">
        <v>-27.392173913043472</v>
      </c>
      <c r="Q148" s="6">
        <v>51.020952941176461</v>
      </c>
      <c r="R148" s="6">
        <v>-11530.927905565213</v>
      </c>
      <c r="S148" s="6">
        <v>867.35619999999983</v>
      </c>
      <c r="T148" s="6">
        <v>-12398.284105565213</v>
      </c>
      <c r="U148" s="8">
        <v>0.38295038295038303</v>
      </c>
      <c r="V148" s="8">
        <v>0.42611779277085771</v>
      </c>
      <c r="W148" s="8">
        <v>-0.22727272727272727</v>
      </c>
      <c r="X148" s="8">
        <v>5.3385826771653551E-2</v>
      </c>
      <c r="Y148" s="8">
        <v>-0.45161290322580644</v>
      </c>
      <c r="Z148" s="8">
        <v>-0.21543846788234217</v>
      </c>
      <c r="AA148" s="86"/>
      <c r="AB148" s="86"/>
    </row>
    <row r="149" spans="1:28" hidden="1" outlineLevel="1" x14ac:dyDescent="0.25">
      <c r="A149" s="21" t="s">
        <v>367</v>
      </c>
      <c r="B149" s="21" t="s">
        <v>641</v>
      </c>
      <c r="C149" s="21" t="s">
        <v>362</v>
      </c>
      <c r="D149" s="15">
        <v>19</v>
      </c>
      <c r="E149" s="57">
        <v>421.73684210526318</v>
      </c>
      <c r="F149" s="15">
        <v>8013</v>
      </c>
      <c r="G149" s="15">
        <v>29</v>
      </c>
      <c r="H149" s="57">
        <v>371.51724137931035</v>
      </c>
      <c r="I149" s="15">
        <v>10774</v>
      </c>
      <c r="J149" s="15">
        <v>16</v>
      </c>
      <c r="K149" s="57">
        <v>529.44500000000005</v>
      </c>
      <c r="L149" s="15">
        <v>8471.1200000000008</v>
      </c>
      <c r="M149" s="15" t="s">
        <v>364</v>
      </c>
      <c r="N149" s="15" t="s">
        <v>364</v>
      </c>
      <c r="O149" s="15" t="s">
        <v>364</v>
      </c>
      <c r="P149" s="15" t="s">
        <v>364</v>
      </c>
      <c r="Q149" s="15" t="s">
        <v>364</v>
      </c>
      <c r="R149" s="15" t="s">
        <v>364</v>
      </c>
      <c r="S149" s="15" t="s">
        <v>364</v>
      </c>
      <c r="T149" s="15" t="s">
        <v>364</v>
      </c>
      <c r="U149" s="17" t="s">
        <v>364</v>
      </c>
      <c r="V149" s="17" t="s">
        <v>364</v>
      </c>
      <c r="W149" s="17">
        <v>-0.15789473684210525</v>
      </c>
      <c r="X149" s="17">
        <v>5.7172095345064372E-2</v>
      </c>
      <c r="Y149" s="17">
        <v>-0.44827586206896552</v>
      </c>
      <c r="Z149" s="17">
        <v>-0.2137441989975867</v>
      </c>
      <c r="AA149" s="86"/>
      <c r="AB149" s="86"/>
    </row>
    <row r="150" spans="1:28" hidden="1" outlineLevel="1" x14ac:dyDescent="0.25">
      <c r="A150" s="21" t="s">
        <v>367</v>
      </c>
      <c r="B150" s="21" t="s">
        <v>642</v>
      </c>
      <c r="C150" s="21" t="s">
        <v>363</v>
      </c>
      <c r="D150" s="15">
        <v>3</v>
      </c>
      <c r="E150" s="57">
        <v>38.333333333333336</v>
      </c>
      <c r="F150" s="15">
        <v>115</v>
      </c>
      <c r="G150" s="15">
        <v>2</v>
      </c>
      <c r="H150" s="57">
        <v>69.5</v>
      </c>
      <c r="I150" s="15">
        <v>139</v>
      </c>
      <c r="J150" s="15">
        <v>1</v>
      </c>
      <c r="K150" s="57">
        <v>90.8</v>
      </c>
      <c r="L150" s="15">
        <v>90.8</v>
      </c>
      <c r="M150" s="15" t="s">
        <v>364</v>
      </c>
      <c r="N150" s="15" t="s">
        <v>364</v>
      </c>
      <c r="O150" s="15" t="s">
        <v>364</v>
      </c>
      <c r="P150" s="15" t="s">
        <v>364</v>
      </c>
      <c r="Q150" s="15" t="s">
        <v>364</v>
      </c>
      <c r="R150" s="15" t="s">
        <v>364</v>
      </c>
      <c r="S150" s="15" t="s">
        <v>364</v>
      </c>
      <c r="T150" s="15" t="s">
        <v>364</v>
      </c>
      <c r="U150" s="17" t="s">
        <v>364</v>
      </c>
      <c r="V150" s="17" t="s">
        <v>364</v>
      </c>
      <c r="W150" s="17">
        <v>-0.66666666666666663</v>
      </c>
      <c r="X150" s="17">
        <v>-0.21043478260869566</v>
      </c>
      <c r="Y150" s="17">
        <v>-0.5</v>
      </c>
      <c r="Z150" s="17">
        <v>-0.34676258992805759</v>
      </c>
      <c r="AA150" s="86"/>
      <c r="AB150" s="86"/>
    </row>
    <row r="151" spans="1:28" collapsed="1" x14ac:dyDescent="0.25">
      <c r="A151" s="5" t="s">
        <v>208</v>
      </c>
      <c r="B151" s="5" t="s">
        <v>215</v>
      </c>
      <c r="C151" s="5" t="s">
        <v>246</v>
      </c>
      <c r="D151" s="6">
        <v>0</v>
      </c>
      <c r="E151" s="53" t="s">
        <v>364</v>
      </c>
      <c r="F151" s="6">
        <v>0</v>
      </c>
      <c r="G151" s="6">
        <v>0</v>
      </c>
      <c r="H151" s="53" t="s">
        <v>364</v>
      </c>
      <c r="I151" s="6">
        <v>0</v>
      </c>
      <c r="J151" s="6">
        <v>13</v>
      </c>
      <c r="K151" s="53">
        <v>4258.0769230769229</v>
      </c>
      <c r="L151" s="6">
        <v>55355</v>
      </c>
      <c r="M151" s="6">
        <v>30.731812311665959</v>
      </c>
      <c r="N151" s="6">
        <v>1212</v>
      </c>
      <c r="O151" s="6">
        <v>37246.956521739143</v>
      </c>
      <c r="P151" s="6">
        <v>-17.731812311665959</v>
      </c>
      <c r="Q151" s="6">
        <v>3046.0769230769229</v>
      </c>
      <c r="R151" s="6">
        <v>18108.043478260857</v>
      </c>
      <c r="S151" s="6">
        <v>39599</v>
      </c>
      <c r="T151" s="6">
        <v>-21490.956521739143</v>
      </c>
      <c r="U151" s="8">
        <v>0.42301442779100701</v>
      </c>
      <c r="V151" s="8">
        <v>1.4861616939814162</v>
      </c>
      <c r="W151" s="8" t="s">
        <v>364</v>
      </c>
      <c r="X151" s="8" t="s">
        <v>364</v>
      </c>
      <c r="Y151" s="8" t="s">
        <v>364</v>
      </c>
      <c r="Z151" s="8" t="s">
        <v>364</v>
      </c>
      <c r="AA151" s="86"/>
      <c r="AB151" s="86"/>
    </row>
    <row r="152" spans="1:28" hidden="1" outlineLevel="1" x14ac:dyDescent="0.25">
      <c r="A152" s="21" t="s">
        <v>367</v>
      </c>
      <c r="B152" s="21" t="s">
        <v>643</v>
      </c>
      <c r="C152" s="21" t="s">
        <v>362</v>
      </c>
      <c r="D152" s="15">
        <v>0</v>
      </c>
      <c r="E152" s="57" t="s">
        <v>364</v>
      </c>
      <c r="F152" s="15">
        <v>0</v>
      </c>
      <c r="G152" s="15">
        <v>0</v>
      </c>
      <c r="H152" s="57" t="s">
        <v>364</v>
      </c>
      <c r="I152" s="15">
        <v>0</v>
      </c>
      <c r="J152" s="15">
        <v>13</v>
      </c>
      <c r="K152" s="57">
        <v>4258.0769230769229</v>
      </c>
      <c r="L152" s="15">
        <v>55355</v>
      </c>
      <c r="M152" s="15" t="s">
        <v>364</v>
      </c>
      <c r="N152" s="15" t="s">
        <v>364</v>
      </c>
      <c r="O152" s="15" t="s">
        <v>364</v>
      </c>
      <c r="P152" s="15" t="s">
        <v>364</v>
      </c>
      <c r="Q152" s="15" t="s">
        <v>364</v>
      </c>
      <c r="R152" s="15" t="s">
        <v>364</v>
      </c>
      <c r="S152" s="15" t="s">
        <v>364</v>
      </c>
      <c r="T152" s="15" t="s">
        <v>364</v>
      </c>
      <c r="U152" s="17" t="s">
        <v>364</v>
      </c>
      <c r="V152" s="17" t="s">
        <v>364</v>
      </c>
      <c r="W152" s="17" t="s">
        <v>364</v>
      </c>
      <c r="X152" s="17" t="s">
        <v>364</v>
      </c>
      <c r="Y152" s="17" t="s">
        <v>364</v>
      </c>
      <c r="Z152" s="17" t="s">
        <v>364</v>
      </c>
      <c r="AA152" s="86"/>
      <c r="AB152" s="86"/>
    </row>
    <row r="153" spans="1:28" hidden="1" outlineLevel="1" x14ac:dyDescent="0.25">
      <c r="A153" s="21" t="s">
        <v>367</v>
      </c>
      <c r="B153" s="21" t="s">
        <v>644</v>
      </c>
      <c r="C153" s="21" t="s">
        <v>363</v>
      </c>
      <c r="D153" s="15">
        <v>0</v>
      </c>
      <c r="E153" s="57" t="s">
        <v>364</v>
      </c>
      <c r="F153" s="15">
        <v>0</v>
      </c>
      <c r="G153" s="15">
        <v>0</v>
      </c>
      <c r="H153" s="57" t="s">
        <v>364</v>
      </c>
      <c r="I153" s="15">
        <v>0</v>
      </c>
      <c r="J153" s="15">
        <v>0</v>
      </c>
      <c r="K153" s="57" t="s">
        <v>364</v>
      </c>
      <c r="L153" s="15">
        <v>0</v>
      </c>
      <c r="M153" s="15" t="s">
        <v>364</v>
      </c>
      <c r="N153" s="15" t="s">
        <v>364</v>
      </c>
      <c r="O153" s="15" t="s">
        <v>364</v>
      </c>
      <c r="P153" s="15" t="s">
        <v>364</v>
      </c>
      <c r="Q153" s="15" t="s">
        <v>364</v>
      </c>
      <c r="R153" s="15" t="s">
        <v>364</v>
      </c>
      <c r="S153" s="15" t="s">
        <v>364</v>
      </c>
      <c r="T153" s="15" t="s">
        <v>364</v>
      </c>
      <c r="U153" s="17" t="s">
        <v>364</v>
      </c>
      <c r="V153" s="17" t="s">
        <v>364</v>
      </c>
      <c r="W153" s="17" t="s">
        <v>364</v>
      </c>
      <c r="X153" s="17" t="s">
        <v>364</v>
      </c>
      <c r="Y153" s="17" t="s">
        <v>364</v>
      </c>
      <c r="Z153" s="17" t="s">
        <v>364</v>
      </c>
      <c r="AA153" s="86"/>
      <c r="AB153" s="86"/>
    </row>
    <row r="154" spans="1:28" collapsed="1" x14ac:dyDescent="0.25">
      <c r="A154" s="5" t="s">
        <v>208</v>
      </c>
      <c r="B154" s="5" t="s">
        <v>216</v>
      </c>
      <c r="C154" s="5" t="s">
        <v>248</v>
      </c>
      <c r="D154" s="6">
        <v>21</v>
      </c>
      <c r="E154" s="53">
        <v>360.71428571428572</v>
      </c>
      <c r="F154" s="6">
        <v>7575</v>
      </c>
      <c r="G154" s="6">
        <v>77</v>
      </c>
      <c r="H154" s="53">
        <v>686.37662337662334</v>
      </c>
      <c r="I154" s="6">
        <v>52851</v>
      </c>
      <c r="J154" s="6">
        <v>46</v>
      </c>
      <c r="K154" s="53">
        <v>589.54347826086962</v>
      </c>
      <c r="L154" s="6">
        <v>27119</v>
      </c>
      <c r="M154" s="6">
        <v>58.051304347826083</v>
      </c>
      <c r="N154" s="6">
        <v>773.96299999999997</v>
      </c>
      <c r="O154" s="6">
        <v>44929.561666956513</v>
      </c>
      <c r="P154" s="6">
        <v>-12.051304347826083</v>
      </c>
      <c r="Q154" s="6">
        <v>-184.41952173913035</v>
      </c>
      <c r="R154" s="6">
        <v>-17810.561666956513</v>
      </c>
      <c r="S154" s="6">
        <v>-8483.2979999999952</v>
      </c>
      <c r="T154" s="6">
        <v>-9327.2636669565181</v>
      </c>
      <c r="U154" s="8">
        <v>0.79240252250632881</v>
      </c>
      <c r="V154" s="8">
        <v>0.60358924044310658</v>
      </c>
      <c r="W154" s="8">
        <v>1.1904761904761905</v>
      </c>
      <c r="X154" s="8">
        <v>2.58006600660066</v>
      </c>
      <c r="Y154" s="8">
        <v>-0.40259740259740262</v>
      </c>
      <c r="Z154" s="8">
        <v>-0.48687820476433746</v>
      </c>
      <c r="AA154" s="86"/>
      <c r="AB154" s="86"/>
    </row>
    <row r="155" spans="1:28" hidden="1" outlineLevel="1" x14ac:dyDescent="0.25">
      <c r="A155" s="21" t="s">
        <v>367</v>
      </c>
      <c r="B155" s="21" t="s">
        <v>647</v>
      </c>
      <c r="C155" s="21" t="s">
        <v>362</v>
      </c>
      <c r="D155" s="15">
        <v>19</v>
      </c>
      <c r="E155" s="57">
        <v>375.10526315789474</v>
      </c>
      <c r="F155" s="15">
        <v>7127</v>
      </c>
      <c r="G155" s="15">
        <v>66</v>
      </c>
      <c r="H155" s="57">
        <v>720.74242424242425</v>
      </c>
      <c r="I155" s="15">
        <v>47569</v>
      </c>
      <c r="J155" s="15">
        <v>36</v>
      </c>
      <c r="K155" s="57">
        <v>529.16666666666663</v>
      </c>
      <c r="L155" s="15">
        <v>19050</v>
      </c>
      <c r="M155" s="15" t="s">
        <v>364</v>
      </c>
      <c r="N155" s="15" t="s">
        <v>364</v>
      </c>
      <c r="O155" s="15" t="s">
        <v>364</v>
      </c>
      <c r="P155" s="15" t="s">
        <v>364</v>
      </c>
      <c r="Q155" s="15" t="s">
        <v>364</v>
      </c>
      <c r="R155" s="15" t="s">
        <v>364</v>
      </c>
      <c r="S155" s="15" t="s">
        <v>364</v>
      </c>
      <c r="T155" s="15" t="s">
        <v>364</v>
      </c>
      <c r="U155" s="17" t="s">
        <v>364</v>
      </c>
      <c r="V155" s="17" t="s">
        <v>364</v>
      </c>
      <c r="W155" s="17">
        <v>0.89473684210526316</v>
      </c>
      <c r="X155" s="17">
        <v>1.6729339132874983</v>
      </c>
      <c r="Y155" s="17">
        <v>-0.45454545454545453</v>
      </c>
      <c r="Z155" s="17">
        <v>-0.59952910508944901</v>
      </c>
      <c r="AA155" s="86"/>
      <c r="AB155" s="86"/>
    </row>
    <row r="156" spans="1:28" hidden="1" outlineLevel="1" x14ac:dyDescent="0.25">
      <c r="A156" s="21" t="s">
        <v>367</v>
      </c>
      <c r="B156" s="21" t="s">
        <v>648</v>
      </c>
      <c r="C156" s="21" t="s">
        <v>363</v>
      </c>
      <c r="D156" s="15">
        <v>2</v>
      </c>
      <c r="E156" s="57">
        <v>224</v>
      </c>
      <c r="F156" s="15">
        <v>448</v>
      </c>
      <c r="G156" s="15">
        <v>11</v>
      </c>
      <c r="H156" s="57">
        <v>480.18181818181819</v>
      </c>
      <c r="I156" s="15">
        <v>5282</v>
      </c>
      <c r="J156" s="15">
        <v>10</v>
      </c>
      <c r="K156" s="57">
        <v>806.9</v>
      </c>
      <c r="L156" s="15">
        <v>8069</v>
      </c>
      <c r="M156" s="15" t="s">
        <v>364</v>
      </c>
      <c r="N156" s="15" t="s">
        <v>364</v>
      </c>
      <c r="O156" s="15" t="s">
        <v>364</v>
      </c>
      <c r="P156" s="15" t="s">
        <v>364</v>
      </c>
      <c r="Q156" s="15" t="s">
        <v>364</v>
      </c>
      <c r="R156" s="15" t="s">
        <v>364</v>
      </c>
      <c r="S156" s="15" t="s">
        <v>364</v>
      </c>
      <c r="T156" s="15" t="s">
        <v>364</v>
      </c>
      <c r="U156" s="17" t="s">
        <v>364</v>
      </c>
      <c r="V156" s="17" t="s">
        <v>364</v>
      </c>
      <c r="W156" s="17">
        <v>4</v>
      </c>
      <c r="X156" s="17">
        <v>17.011160714285715</v>
      </c>
      <c r="Y156" s="17">
        <v>-9.0909090909090912E-2</v>
      </c>
      <c r="Z156" s="17">
        <v>0.52764104505868992</v>
      </c>
      <c r="AA156" s="86"/>
      <c r="AB156" s="86"/>
    </row>
    <row r="157" spans="1:28" collapsed="1" x14ac:dyDescent="0.25">
      <c r="A157" s="5" t="s">
        <v>208</v>
      </c>
      <c r="B157" s="5" t="s">
        <v>42</v>
      </c>
      <c r="C157" s="5" t="s">
        <v>249</v>
      </c>
      <c r="D157" s="6">
        <v>121</v>
      </c>
      <c r="E157" s="53">
        <v>375.57851239669424</v>
      </c>
      <c r="F157" s="6">
        <v>45445</v>
      </c>
      <c r="G157" s="6">
        <v>139</v>
      </c>
      <c r="H157" s="53">
        <v>357.92805755395682</v>
      </c>
      <c r="I157" s="6">
        <v>49752</v>
      </c>
      <c r="J157" s="6">
        <v>142</v>
      </c>
      <c r="K157" s="53">
        <v>334.60218309859158</v>
      </c>
      <c r="L157" s="6">
        <v>47513.51</v>
      </c>
      <c r="M157" s="6">
        <v>180.98347826086953</v>
      </c>
      <c r="N157" s="6">
        <v>385.02209999999997</v>
      </c>
      <c r="O157" s="6">
        <v>69682.638865304325</v>
      </c>
      <c r="P157" s="6">
        <v>-38.983478260869532</v>
      </c>
      <c r="Q157" s="6">
        <v>-50.419916901408385</v>
      </c>
      <c r="R157" s="6">
        <v>-22169.128865304323</v>
      </c>
      <c r="S157" s="6">
        <v>-7159.628199999991</v>
      </c>
      <c r="T157" s="6">
        <v>-15009.500665304333</v>
      </c>
      <c r="U157" s="8">
        <v>0.78460200546771042</v>
      </c>
      <c r="V157" s="8">
        <v>0.68185577890990934</v>
      </c>
      <c r="W157" s="8">
        <v>0.17355371900826447</v>
      </c>
      <c r="X157" s="8">
        <v>4.5516778523489974E-2</v>
      </c>
      <c r="Y157" s="8">
        <v>2.1582733812949641E-2</v>
      </c>
      <c r="Z157" s="8">
        <v>-4.4992965106930335E-2</v>
      </c>
      <c r="AA157" s="86"/>
      <c r="AB157" s="86"/>
    </row>
    <row r="158" spans="1:28" hidden="1" outlineLevel="1" x14ac:dyDescent="0.25">
      <c r="A158" s="21" t="s">
        <v>367</v>
      </c>
      <c r="B158" s="21" t="s">
        <v>649</v>
      </c>
      <c r="C158" s="21" t="s">
        <v>362</v>
      </c>
      <c r="D158" s="15">
        <v>112</v>
      </c>
      <c r="E158" s="57">
        <v>374.24107142857144</v>
      </c>
      <c r="F158" s="15">
        <v>41915</v>
      </c>
      <c r="G158" s="15">
        <v>128</v>
      </c>
      <c r="H158" s="57">
        <v>354.421875</v>
      </c>
      <c r="I158" s="15">
        <v>45366</v>
      </c>
      <c r="J158" s="15">
        <v>126</v>
      </c>
      <c r="K158" s="57">
        <v>324.58650793650793</v>
      </c>
      <c r="L158" s="15">
        <v>40897.9</v>
      </c>
      <c r="M158" s="15" t="s">
        <v>364</v>
      </c>
      <c r="N158" s="15" t="s">
        <v>364</v>
      </c>
      <c r="O158" s="15" t="s">
        <v>364</v>
      </c>
      <c r="P158" s="15" t="s">
        <v>364</v>
      </c>
      <c r="Q158" s="15" t="s">
        <v>364</v>
      </c>
      <c r="R158" s="15" t="s">
        <v>364</v>
      </c>
      <c r="S158" s="15" t="s">
        <v>364</v>
      </c>
      <c r="T158" s="15" t="s">
        <v>364</v>
      </c>
      <c r="U158" s="17" t="s">
        <v>364</v>
      </c>
      <c r="V158" s="17" t="s">
        <v>364</v>
      </c>
      <c r="W158" s="17">
        <v>0.125</v>
      </c>
      <c r="X158" s="17">
        <v>-2.4265775975187847E-2</v>
      </c>
      <c r="Y158" s="17">
        <v>-1.5625E-2</v>
      </c>
      <c r="Z158" s="17">
        <v>-9.8490058634219432E-2</v>
      </c>
      <c r="AA158" s="86"/>
      <c r="AB158" s="86"/>
    </row>
    <row r="159" spans="1:28" hidden="1" outlineLevel="1" x14ac:dyDescent="0.25">
      <c r="A159" s="21" t="s">
        <v>367</v>
      </c>
      <c r="B159" s="21" t="s">
        <v>650</v>
      </c>
      <c r="C159" s="21" t="s">
        <v>363</v>
      </c>
      <c r="D159" s="15">
        <v>9</v>
      </c>
      <c r="E159" s="57">
        <v>392.22222222222223</v>
      </c>
      <c r="F159" s="15">
        <v>3530</v>
      </c>
      <c r="G159" s="15">
        <v>11</v>
      </c>
      <c r="H159" s="57">
        <v>398.72727272727275</v>
      </c>
      <c r="I159" s="15">
        <v>4386</v>
      </c>
      <c r="J159" s="15">
        <v>16</v>
      </c>
      <c r="K159" s="57">
        <v>413.47562499999992</v>
      </c>
      <c r="L159" s="15">
        <v>6615.6099999999988</v>
      </c>
      <c r="M159" s="15" t="s">
        <v>364</v>
      </c>
      <c r="N159" s="15" t="s">
        <v>364</v>
      </c>
      <c r="O159" s="15" t="s">
        <v>364</v>
      </c>
      <c r="P159" s="15" t="s">
        <v>364</v>
      </c>
      <c r="Q159" s="15" t="s">
        <v>364</v>
      </c>
      <c r="R159" s="15" t="s">
        <v>364</v>
      </c>
      <c r="S159" s="15" t="s">
        <v>364</v>
      </c>
      <c r="T159" s="15" t="s">
        <v>364</v>
      </c>
      <c r="U159" s="17" t="s">
        <v>364</v>
      </c>
      <c r="V159" s="17" t="s">
        <v>364</v>
      </c>
      <c r="W159" s="17">
        <v>0.77777777777777779</v>
      </c>
      <c r="X159" s="17">
        <v>0.87411048158640192</v>
      </c>
      <c r="Y159" s="17">
        <v>0.45454545454545453</v>
      </c>
      <c r="Z159" s="17">
        <v>0.50834701322389397</v>
      </c>
      <c r="AA159" s="86"/>
      <c r="AB159" s="86"/>
    </row>
    <row r="160" spans="1:28" collapsed="1" x14ac:dyDescent="0.25">
      <c r="A160" s="5" t="s">
        <v>208</v>
      </c>
      <c r="B160" s="5" t="s">
        <v>50</v>
      </c>
      <c r="C160" s="5" t="s">
        <v>251</v>
      </c>
      <c r="D160" s="6">
        <v>97</v>
      </c>
      <c r="E160" s="53">
        <v>266.8041237113402</v>
      </c>
      <c r="F160" s="6">
        <v>25880</v>
      </c>
      <c r="G160" s="6">
        <v>71</v>
      </c>
      <c r="H160" s="53">
        <v>295.77464788732397</v>
      </c>
      <c r="I160" s="6">
        <v>21000</v>
      </c>
      <c r="J160" s="6">
        <v>251</v>
      </c>
      <c r="K160" s="53">
        <v>297.48183266932278</v>
      </c>
      <c r="L160" s="6">
        <v>74667.940000000017</v>
      </c>
      <c r="M160" s="6">
        <v>149.68130434782609</v>
      </c>
      <c r="N160" s="6">
        <v>304.68670000000003</v>
      </c>
      <c r="O160" s="6">
        <v>45605.902673434786</v>
      </c>
      <c r="P160" s="6">
        <v>101.31869565217391</v>
      </c>
      <c r="Q160" s="6">
        <v>-7.2048673306772457</v>
      </c>
      <c r="R160" s="6">
        <v>29062.037326565231</v>
      </c>
      <c r="S160" s="6">
        <v>-1808.4216999999887</v>
      </c>
      <c r="T160" s="6">
        <v>30870.459026565222</v>
      </c>
      <c r="U160" s="8">
        <v>1.6768961300386038</v>
      </c>
      <c r="V160" s="8">
        <v>1.637242892321781</v>
      </c>
      <c r="W160" s="8">
        <v>1.5876288659793814</v>
      </c>
      <c r="X160" s="8">
        <v>1.8851599690880996</v>
      </c>
      <c r="Y160" s="8">
        <v>2.535211267605634</v>
      </c>
      <c r="Z160" s="8">
        <v>2.5556161904761914</v>
      </c>
      <c r="AA160" s="86"/>
      <c r="AB160" s="86"/>
    </row>
    <row r="161" spans="1:28" hidden="1" outlineLevel="1" x14ac:dyDescent="0.25">
      <c r="A161" s="21" t="s">
        <v>367</v>
      </c>
      <c r="B161" s="21" t="s">
        <v>653</v>
      </c>
      <c r="C161" s="21" t="s">
        <v>362</v>
      </c>
      <c r="D161" s="15">
        <v>93</v>
      </c>
      <c r="E161" s="57">
        <v>268.80645161290323</v>
      </c>
      <c r="F161" s="15">
        <v>24999</v>
      </c>
      <c r="G161" s="15">
        <v>67</v>
      </c>
      <c r="H161" s="57">
        <v>296.65671641791045</v>
      </c>
      <c r="I161" s="15">
        <v>19876</v>
      </c>
      <c r="J161" s="15">
        <v>221</v>
      </c>
      <c r="K161" s="57">
        <v>302.2873303167421</v>
      </c>
      <c r="L161" s="15">
        <v>66805.5</v>
      </c>
      <c r="M161" s="15" t="s">
        <v>364</v>
      </c>
      <c r="N161" s="15" t="s">
        <v>364</v>
      </c>
      <c r="O161" s="15" t="s">
        <v>364</v>
      </c>
      <c r="P161" s="15" t="s">
        <v>364</v>
      </c>
      <c r="Q161" s="15" t="s">
        <v>364</v>
      </c>
      <c r="R161" s="15" t="s">
        <v>364</v>
      </c>
      <c r="S161" s="15" t="s">
        <v>364</v>
      </c>
      <c r="T161" s="15" t="s">
        <v>364</v>
      </c>
      <c r="U161" s="17" t="s">
        <v>364</v>
      </c>
      <c r="V161" s="17" t="s">
        <v>364</v>
      </c>
      <c r="W161" s="17">
        <v>1.3763440860215055</v>
      </c>
      <c r="X161" s="17">
        <v>1.6723268930757231</v>
      </c>
      <c r="Y161" s="17">
        <v>2.2985074626865671</v>
      </c>
      <c r="Z161" s="17">
        <v>2.3611139062185549</v>
      </c>
      <c r="AA161" s="86"/>
      <c r="AB161" s="86"/>
    </row>
    <row r="162" spans="1:28" hidden="1" outlineLevel="1" x14ac:dyDescent="0.25">
      <c r="A162" s="21" t="s">
        <v>367</v>
      </c>
      <c r="B162" s="21" t="s">
        <v>654</v>
      </c>
      <c r="C162" s="21" t="s">
        <v>363</v>
      </c>
      <c r="D162" s="15">
        <v>4</v>
      </c>
      <c r="E162" s="57">
        <v>220</v>
      </c>
      <c r="F162" s="15">
        <v>880</v>
      </c>
      <c r="G162" s="15">
        <v>4</v>
      </c>
      <c r="H162" s="57">
        <v>281</v>
      </c>
      <c r="I162" s="15">
        <v>1124</v>
      </c>
      <c r="J162" s="15">
        <v>30</v>
      </c>
      <c r="K162" s="57">
        <v>262.0813333333333</v>
      </c>
      <c r="L162" s="15">
        <v>7862.44</v>
      </c>
      <c r="M162" s="15" t="s">
        <v>364</v>
      </c>
      <c r="N162" s="15" t="s">
        <v>364</v>
      </c>
      <c r="O162" s="15" t="s">
        <v>364</v>
      </c>
      <c r="P162" s="15" t="s">
        <v>364</v>
      </c>
      <c r="Q162" s="15" t="s">
        <v>364</v>
      </c>
      <c r="R162" s="15" t="s">
        <v>364</v>
      </c>
      <c r="S162" s="15" t="s">
        <v>364</v>
      </c>
      <c r="T162" s="15" t="s">
        <v>364</v>
      </c>
      <c r="U162" s="17" t="s">
        <v>364</v>
      </c>
      <c r="V162" s="17" t="s">
        <v>364</v>
      </c>
      <c r="W162" s="17">
        <v>6.5</v>
      </c>
      <c r="X162" s="17">
        <v>7.9345909090909084</v>
      </c>
      <c r="Y162" s="17">
        <v>6.5</v>
      </c>
      <c r="Z162" s="17">
        <v>5.9950533807829176</v>
      </c>
      <c r="AA162" s="86"/>
      <c r="AB162" s="86"/>
    </row>
    <row r="163" spans="1:28" collapsed="1" x14ac:dyDescent="0.25">
      <c r="A163" s="5" t="s">
        <v>207</v>
      </c>
      <c r="B163" s="5" t="s">
        <v>48</v>
      </c>
      <c r="C163" s="5" t="s">
        <v>252</v>
      </c>
      <c r="D163" s="6">
        <v>6</v>
      </c>
      <c r="E163" s="53">
        <v>314.16666666666669</v>
      </c>
      <c r="F163" s="6">
        <v>1885</v>
      </c>
      <c r="G163" s="6">
        <v>0</v>
      </c>
      <c r="H163" s="53" t="s">
        <v>364</v>
      </c>
      <c r="I163" s="6">
        <v>0</v>
      </c>
      <c r="J163" s="6">
        <v>47</v>
      </c>
      <c r="K163" s="53">
        <v>322.18617021276606</v>
      </c>
      <c r="L163" s="6">
        <v>15142.750000000004</v>
      </c>
      <c r="M163" s="6">
        <v>107.1304347826087</v>
      </c>
      <c r="N163" s="6">
        <v>404.61610000000007</v>
      </c>
      <c r="O163" s="6">
        <v>43346.698713043486</v>
      </c>
      <c r="P163" s="6">
        <v>-60.130434782608702</v>
      </c>
      <c r="Q163" s="6">
        <v>-82.429929787234016</v>
      </c>
      <c r="R163" s="6">
        <v>-28203.948713043483</v>
      </c>
      <c r="S163" s="6">
        <v>-3874.2066999999988</v>
      </c>
      <c r="T163" s="6">
        <v>-24329.742013043484</v>
      </c>
      <c r="U163" s="8">
        <v>0.43871753246753242</v>
      </c>
      <c r="V163" s="8">
        <v>0.34934032924272934</v>
      </c>
      <c r="W163" s="8">
        <v>6.833333333333333</v>
      </c>
      <c r="X163" s="8">
        <v>7.0332891246684373</v>
      </c>
      <c r="Y163" s="8" t="s">
        <v>364</v>
      </c>
      <c r="Z163" s="8" t="s">
        <v>364</v>
      </c>
      <c r="AA163" s="86"/>
      <c r="AB163" s="86"/>
    </row>
    <row r="164" spans="1:28" hidden="1" outlineLevel="1" x14ac:dyDescent="0.25">
      <c r="A164" s="21" t="s">
        <v>367</v>
      </c>
      <c r="B164" s="21" t="s">
        <v>655</v>
      </c>
      <c r="C164" s="21" t="s">
        <v>362</v>
      </c>
      <c r="D164" s="15">
        <v>6</v>
      </c>
      <c r="E164" s="57">
        <v>314.16666666666669</v>
      </c>
      <c r="F164" s="15">
        <v>1885</v>
      </c>
      <c r="G164" s="15">
        <v>0</v>
      </c>
      <c r="H164" s="57" t="s">
        <v>364</v>
      </c>
      <c r="I164" s="15">
        <v>0</v>
      </c>
      <c r="J164" s="15">
        <v>41</v>
      </c>
      <c r="K164" s="57">
        <v>275.22219512195124</v>
      </c>
      <c r="L164" s="15">
        <v>11284.11</v>
      </c>
      <c r="M164" s="15" t="s">
        <v>364</v>
      </c>
      <c r="N164" s="15" t="s">
        <v>364</v>
      </c>
      <c r="O164" s="15" t="s">
        <v>364</v>
      </c>
      <c r="P164" s="15" t="s">
        <v>364</v>
      </c>
      <c r="Q164" s="15" t="s">
        <v>364</v>
      </c>
      <c r="R164" s="15" t="s">
        <v>364</v>
      </c>
      <c r="S164" s="15" t="s">
        <v>364</v>
      </c>
      <c r="T164" s="15" t="s">
        <v>364</v>
      </c>
      <c r="U164" s="17" t="s">
        <v>364</v>
      </c>
      <c r="V164" s="17" t="s">
        <v>364</v>
      </c>
      <c r="W164" s="17">
        <v>5.833333333333333</v>
      </c>
      <c r="X164" s="17">
        <v>4.9862652519893906</v>
      </c>
      <c r="Y164" s="17" t="s">
        <v>364</v>
      </c>
      <c r="Z164" s="17" t="s">
        <v>364</v>
      </c>
      <c r="AA164" s="86"/>
      <c r="AB164" s="86"/>
    </row>
    <row r="165" spans="1:28" hidden="1" outlineLevel="1" x14ac:dyDescent="0.25">
      <c r="A165" s="21" t="s">
        <v>367</v>
      </c>
      <c r="B165" s="21" t="s">
        <v>656</v>
      </c>
      <c r="C165" s="21" t="s">
        <v>363</v>
      </c>
      <c r="D165" s="15">
        <v>0</v>
      </c>
      <c r="E165" s="57" t="s">
        <v>364</v>
      </c>
      <c r="F165" s="15">
        <v>0</v>
      </c>
      <c r="G165" s="15">
        <v>0</v>
      </c>
      <c r="H165" s="57" t="s">
        <v>364</v>
      </c>
      <c r="I165" s="15">
        <v>0</v>
      </c>
      <c r="J165" s="15">
        <v>6</v>
      </c>
      <c r="K165" s="57">
        <v>643.10666666666668</v>
      </c>
      <c r="L165" s="15">
        <v>3858.6400000000003</v>
      </c>
      <c r="M165" s="15" t="s">
        <v>364</v>
      </c>
      <c r="N165" s="15" t="s">
        <v>364</v>
      </c>
      <c r="O165" s="15" t="s">
        <v>364</v>
      </c>
      <c r="P165" s="15" t="s">
        <v>364</v>
      </c>
      <c r="Q165" s="15" t="s">
        <v>364</v>
      </c>
      <c r="R165" s="15" t="s">
        <v>364</v>
      </c>
      <c r="S165" s="15" t="s">
        <v>364</v>
      </c>
      <c r="T165" s="15" t="s">
        <v>364</v>
      </c>
      <c r="U165" s="17" t="s">
        <v>364</v>
      </c>
      <c r="V165" s="17" t="s">
        <v>364</v>
      </c>
      <c r="W165" s="17" t="s">
        <v>364</v>
      </c>
      <c r="X165" s="17" t="s">
        <v>364</v>
      </c>
      <c r="Y165" s="17" t="s">
        <v>364</v>
      </c>
      <c r="Z165" s="17" t="s">
        <v>364</v>
      </c>
      <c r="AA165" s="86"/>
      <c r="AB165" s="86"/>
    </row>
    <row r="166" spans="1:28" collapsed="1" x14ac:dyDescent="0.25">
      <c r="A166" s="5" t="s">
        <v>208</v>
      </c>
      <c r="B166" s="5" t="s">
        <v>147</v>
      </c>
      <c r="C166" s="5" t="s">
        <v>254</v>
      </c>
      <c r="D166" s="6">
        <v>72</v>
      </c>
      <c r="E166" s="53">
        <v>714.72222222222217</v>
      </c>
      <c r="F166" s="6">
        <v>51460</v>
      </c>
      <c r="G166" s="6">
        <v>71</v>
      </c>
      <c r="H166" s="53">
        <v>569.94366197183103</v>
      </c>
      <c r="I166" s="6">
        <v>40466</v>
      </c>
      <c r="J166" s="6">
        <v>85</v>
      </c>
      <c r="K166" s="53">
        <v>589.63717647058832</v>
      </c>
      <c r="L166" s="6">
        <v>50119.16</v>
      </c>
      <c r="M166" s="6">
        <v>113.82608695652173</v>
      </c>
      <c r="N166" s="6">
        <v>803.00000000000011</v>
      </c>
      <c r="O166" s="6">
        <v>91402.34782608696</v>
      </c>
      <c r="P166" s="6">
        <v>-28.826086956521735</v>
      </c>
      <c r="Q166" s="6">
        <v>-213.3628235294118</v>
      </c>
      <c r="R166" s="6">
        <v>-41283.187826086956</v>
      </c>
      <c r="S166" s="6">
        <v>-18135.840000000004</v>
      </c>
      <c r="T166" s="6">
        <v>-23147.347826086956</v>
      </c>
      <c r="U166" s="8">
        <v>0.74675324675324684</v>
      </c>
      <c r="V166" s="8">
        <v>0.54833558647052161</v>
      </c>
      <c r="W166" s="8">
        <v>0.18055555555555555</v>
      </c>
      <c r="X166" s="8">
        <v>-2.6055965798678516E-2</v>
      </c>
      <c r="Y166" s="8">
        <v>0.19718309859154928</v>
      </c>
      <c r="Z166" s="8">
        <v>0.23854989373795293</v>
      </c>
      <c r="AA166" s="86"/>
      <c r="AB166" s="86"/>
    </row>
    <row r="167" spans="1:28" hidden="1" outlineLevel="1" x14ac:dyDescent="0.25">
      <c r="A167" s="21" t="s">
        <v>367</v>
      </c>
      <c r="B167" s="21" t="s">
        <v>659</v>
      </c>
      <c r="C167" s="21" t="s">
        <v>362</v>
      </c>
      <c r="D167" s="15">
        <v>64</v>
      </c>
      <c r="E167" s="57">
        <v>768.6875</v>
      </c>
      <c r="F167" s="15">
        <v>49196</v>
      </c>
      <c r="G167" s="15">
        <v>62</v>
      </c>
      <c r="H167" s="57">
        <v>531.24193548387098</v>
      </c>
      <c r="I167" s="15">
        <v>32937</v>
      </c>
      <c r="J167" s="15">
        <v>76</v>
      </c>
      <c r="K167" s="57">
        <v>617.76526315789476</v>
      </c>
      <c r="L167" s="15">
        <v>46950.16</v>
      </c>
      <c r="M167" s="15" t="s">
        <v>364</v>
      </c>
      <c r="N167" s="15" t="s">
        <v>364</v>
      </c>
      <c r="O167" s="15" t="s">
        <v>364</v>
      </c>
      <c r="P167" s="15" t="s">
        <v>364</v>
      </c>
      <c r="Q167" s="15" t="s">
        <v>364</v>
      </c>
      <c r="R167" s="15" t="s">
        <v>364</v>
      </c>
      <c r="S167" s="15" t="s">
        <v>364</v>
      </c>
      <c r="T167" s="15" t="s">
        <v>364</v>
      </c>
      <c r="U167" s="17" t="s">
        <v>364</v>
      </c>
      <c r="V167" s="17" t="s">
        <v>364</v>
      </c>
      <c r="W167" s="17">
        <v>0.1875</v>
      </c>
      <c r="X167" s="17">
        <v>-4.5650865924058794E-2</v>
      </c>
      <c r="Y167" s="17">
        <v>0.22580645161290322</v>
      </c>
      <c r="Z167" s="17">
        <v>0.42545344141846564</v>
      </c>
      <c r="AA167" s="86"/>
      <c r="AB167" s="86"/>
    </row>
    <row r="168" spans="1:28" hidden="1" outlineLevel="1" x14ac:dyDescent="0.25">
      <c r="A168" s="21" t="s">
        <v>367</v>
      </c>
      <c r="B168" s="21" t="s">
        <v>660</v>
      </c>
      <c r="C168" s="21" t="s">
        <v>363</v>
      </c>
      <c r="D168" s="15">
        <v>8</v>
      </c>
      <c r="E168" s="57">
        <v>283</v>
      </c>
      <c r="F168" s="15">
        <v>2264</v>
      </c>
      <c r="G168" s="15">
        <v>9</v>
      </c>
      <c r="H168" s="57">
        <v>836.55555555555554</v>
      </c>
      <c r="I168" s="15">
        <v>7529</v>
      </c>
      <c r="J168" s="15">
        <v>9</v>
      </c>
      <c r="K168" s="57">
        <v>352.11111111111109</v>
      </c>
      <c r="L168" s="15">
        <v>3169</v>
      </c>
      <c r="M168" s="15" t="s">
        <v>364</v>
      </c>
      <c r="N168" s="15" t="s">
        <v>364</v>
      </c>
      <c r="O168" s="15" t="s">
        <v>364</v>
      </c>
      <c r="P168" s="15" t="s">
        <v>364</v>
      </c>
      <c r="Q168" s="15" t="s">
        <v>364</v>
      </c>
      <c r="R168" s="15" t="s">
        <v>364</v>
      </c>
      <c r="S168" s="15" t="s">
        <v>364</v>
      </c>
      <c r="T168" s="15" t="s">
        <v>364</v>
      </c>
      <c r="U168" s="17" t="s">
        <v>364</v>
      </c>
      <c r="V168" s="17" t="s">
        <v>364</v>
      </c>
      <c r="W168" s="17">
        <v>0.125</v>
      </c>
      <c r="X168" s="17">
        <v>0.39973498233215549</v>
      </c>
      <c r="Y168" s="17">
        <v>0</v>
      </c>
      <c r="Z168" s="17">
        <v>-0.57909416921237877</v>
      </c>
      <c r="AA168" s="86"/>
      <c r="AB168" s="86"/>
    </row>
    <row r="169" spans="1:28" collapsed="1" x14ac:dyDescent="0.25">
      <c r="A169" s="5" t="s">
        <v>207</v>
      </c>
      <c r="B169" s="5" t="s">
        <v>217</v>
      </c>
      <c r="C169" s="5" t="s">
        <v>255</v>
      </c>
      <c r="D169" s="6">
        <v>41</v>
      </c>
      <c r="E169" s="53">
        <v>521.1219512195122</v>
      </c>
      <c r="F169" s="6">
        <v>21366</v>
      </c>
      <c r="G169" s="6">
        <v>54</v>
      </c>
      <c r="H169" s="53">
        <v>464.59259259259261</v>
      </c>
      <c r="I169" s="6">
        <v>25088</v>
      </c>
      <c r="J169" s="6">
        <v>15</v>
      </c>
      <c r="K169" s="53">
        <v>396.34266666666662</v>
      </c>
      <c r="L169" s="6">
        <v>5945.1399999999994</v>
      </c>
      <c r="M169" s="6">
        <v>52.984750000000005</v>
      </c>
      <c r="N169" s="6">
        <v>678.93209999999999</v>
      </c>
      <c r="O169" s="6">
        <v>35973.047585475004</v>
      </c>
      <c r="P169" s="6">
        <v>-37.984750000000005</v>
      </c>
      <c r="Q169" s="6">
        <v>-282.58943333333337</v>
      </c>
      <c r="R169" s="6">
        <v>-30027.907585475004</v>
      </c>
      <c r="S169" s="6">
        <v>-4238.8415000000005</v>
      </c>
      <c r="T169" s="6">
        <v>-25789.066085475002</v>
      </c>
      <c r="U169" s="8">
        <v>0.2831003260372088</v>
      </c>
      <c r="V169" s="8">
        <v>0.16526650920731262</v>
      </c>
      <c r="W169" s="8">
        <v>-0.63414634146341464</v>
      </c>
      <c r="X169" s="8">
        <v>-0.72174763643171391</v>
      </c>
      <c r="Y169" s="8">
        <v>-0.72222222222222221</v>
      </c>
      <c r="Z169" s="8">
        <v>-0.7630285395408164</v>
      </c>
      <c r="AA169" s="86"/>
      <c r="AB169" s="86"/>
    </row>
    <row r="170" spans="1:28" hidden="1" outlineLevel="1" x14ac:dyDescent="0.25">
      <c r="A170" s="21" t="s">
        <v>367</v>
      </c>
      <c r="B170" s="21" t="s">
        <v>661</v>
      </c>
      <c r="C170" s="21" t="s">
        <v>362</v>
      </c>
      <c r="D170" s="15">
        <v>34</v>
      </c>
      <c r="E170" s="57">
        <v>478.41176470588238</v>
      </c>
      <c r="F170" s="15">
        <v>16266</v>
      </c>
      <c r="G170" s="15">
        <v>45</v>
      </c>
      <c r="H170" s="57">
        <v>467.64444444444445</v>
      </c>
      <c r="I170" s="15">
        <v>21044</v>
      </c>
      <c r="J170" s="15">
        <v>10</v>
      </c>
      <c r="K170" s="57">
        <v>255.42500000000001</v>
      </c>
      <c r="L170" s="15">
        <v>2554.25</v>
      </c>
      <c r="M170" s="15" t="s">
        <v>364</v>
      </c>
      <c r="N170" s="15" t="s">
        <v>364</v>
      </c>
      <c r="O170" s="15" t="s">
        <v>364</v>
      </c>
      <c r="P170" s="15" t="s">
        <v>364</v>
      </c>
      <c r="Q170" s="15" t="s">
        <v>364</v>
      </c>
      <c r="R170" s="15" t="s">
        <v>364</v>
      </c>
      <c r="S170" s="15" t="s">
        <v>364</v>
      </c>
      <c r="T170" s="15" t="s">
        <v>364</v>
      </c>
      <c r="U170" s="17" t="s">
        <v>364</v>
      </c>
      <c r="V170" s="17" t="s">
        <v>364</v>
      </c>
      <c r="W170" s="17">
        <v>-0.70588235294117652</v>
      </c>
      <c r="X170" s="17">
        <v>-0.84296999877044143</v>
      </c>
      <c r="Y170" s="17">
        <v>-0.77777777777777779</v>
      </c>
      <c r="Z170" s="17">
        <v>-0.87862336057783696</v>
      </c>
      <c r="AA170" s="86"/>
      <c r="AB170" s="86"/>
    </row>
    <row r="171" spans="1:28" hidden="1" outlineLevel="1" x14ac:dyDescent="0.25">
      <c r="A171" s="21" t="s">
        <v>367</v>
      </c>
      <c r="B171" s="21" t="s">
        <v>662</v>
      </c>
      <c r="C171" s="21" t="s">
        <v>363</v>
      </c>
      <c r="D171" s="15">
        <v>6</v>
      </c>
      <c r="E171" s="57">
        <v>850</v>
      </c>
      <c r="F171" s="15">
        <v>5100</v>
      </c>
      <c r="G171" s="15">
        <v>9</v>
      </c>
      <c r="H171" s="57">
        <v>449.33333333333331</v>
      </c>
      <c r="I171" s="15">
        <v>4044</v>
      </c>
      <c r="J171" s="15">
        <v>5</v>
      </c>
      <c r="K171" s="57">
        <v>678.178</v>
      </c>
      <c r="L171" s="15">
        <v>3390.89</v>
      </c>
      <c r="M171" s="15" t="s">
        <v>364</v>
      </c>
      <c r="N171" s="15" t="s">
        <v>364</v>
      </c>
      <c r="O171" s="15" t="s">
        <v>364</v>
      </c>
      <c r="P171" s="15" t="s">
        <v>364</v>
      </c>
      <c r="Q171" s="15" t="s">
        <v>364</v>
      </c>
      <c r="R171" s="15" t="s">
        <v>364</v>
      </c>
      <c r="S171" s="15" t="s">
        <v>364</v>
      </c>
      <c r="T171" s="15" t="s">
        <v>364</v>
      </c>
      <c r="U171" s="17" t="s">
        <v>364</v>
      </c>
      <c r="V171" s="17" t="s">
        <v>364</v>
      </c>
      <c r="W171" s="17">
        <v>-0.16666666666666666</v>
      </c>
      <c r="X171" s="17">
        <v>-0.33511960784313727</v>
      </c>
      <c r="Y171" s="17">
        <v>-0.44444444444444442</v>
      </c>
      <c r="Z171" s="17">
        <v>-0.16150098911968352</v>
      </c>
      <c r="AA171" s="86"/>
      <c r="AB171" s="86"/>
    </row>
    <row r="172" spans="1:28" collapsed="1" x14ac:dyDescent="0.25">
      <c r="A172" s="5" t="s">
        <v>207</v>
      </c>
      <c r="B172" s="5" t="s">
        <v>209</v>
      </c>
      <c r="C172" s="5" t="s">
        <v>256</v>
      </c>
      <c r="D172" s="6">
        <v>62</v>
      </c>
      <c r="E172" s="53">
        <v>405.38709677419354</v>
      </c>
      <c r="F172" s="6">
        <v>25134</v>
      </c>
      <c r="G172" s="6">
        <v>16</v>
      </c>
      <c r="H172" s="53">
        <v>399.6875</v>
      </c>
      <c r="I172" s="6">
        <v>6395</v>
      </c>
      <c r="J172" s="6">
        <v>153</v>
      </c>
      <c r="K172" s="53">
        <v>333.82973856209151</v>
      </c>
      <c r="L172" s="6">
        <v>51075.95</v>
      </c>
      <c r="M172" s="6">
        <v>89.353478260869551</v>
      </c>
      <c r="N172" s="6">
        <v>382.08300000000003</v>
      </c>
      <c r="O172" s="6">
        <v>34140.445034347824</v>
      </c>
      <c r="P172" s="6">
        <v>63.646521739130449</v>
      </c>
      <c r="Q172" s="6">
        <v>-48.25326143790852</v>
      </c>
      <c r="R172" s="6">
        <v>16935.504965652173</v>
      </c>
      <c r="S172" s="6">
        <v>-7382.7490000000034</v>
      </c>
      <c r="T172" s="6">
        <v>24318.25396565218</v>
      </c>
      <c r="U172" s="8">
        <v>1.7123004384150884</v>
      </c>
      <c r="V172" s="8">
        <v>1.4960540188803573</v>
      </c>
      <c r="W172" s="8">
        <v>1.467741935483871</v>
      </c>
      <c r="X172" s="8">
        <v>1.0321456990530753</v>
      </c>
      <c r="Y172" s="8">
        <v>8.5625</v>
      </c>
      <c r="Z172" s="8">
        <v>6.9868569194683339</v>
      </c>
      <c r="AA172" s="86"/>
      <c r="AB172" s="86"/>
    </row>
    <row r="173" spans="1:28" hidden="1" outlineLevel="1" x14ac:dyDescent="0.25">
      <c r="A173" s="21" t="s">
        <v>367</v>
      </c>
      <c r="B173" s="21" t="s">
        <v>663</v>
      </c>
      <c r="C173" s="21" t="s">
        <v>362</v>
      </c>
      <c r="D173" s="15">
        <v>55</v>
      </c>
      <c r="E173" s="57">
        <v>427.78181818181821</v>
      </c>
      <c r="F173" s="15">
        <v>23528</v>
      </c>
      <c r="G173" s="15">
        <v>14</v>
      </c>
      <c r="H173" s="57">
        <v>418.64285714285717</v>
      </c>
      <c r="I173" s="15">
        <v>5861</v>
      </c>
      <c r="J173" s="15">
        <v>137</v>
      </c>
      <c r="K173" s="57">
        <v>348.82007299270066</v>
      </c>
      <c r="L173" s="15">
        <v>47788.349999999991</v>
      </c>
      <c r="M173" s="15" t="s">
        <v>364</v>
      </c>
      <c r="N173" s="15" t="s">
        <v>364</v>
      </c>
      <c r="O173" s="15" t="s">
        <v>364</v>
      </c>
      <c r="P173" s="15" t="s">
        <v>364</v>
      </c>
      <c r="Q173" s="15" t="s">
        <v>364</v>
      </c>
      <c r="R173" s="15" t="s">
        <v>364</v>
      </c>
      <c r="S173" s="15" t="s">
        <v>364</v>
      </c>
      <c r="T173" s="15" t="s">
        <v>364</v>
      </c>
      <c r="U173" s="17" t="s">
        <v>364</v>
      </c>
      <c r="V173" s="17" t="s">
        <v>364</v>
      </c>
      <c r="W173" s="17">
        <v>1.490909090909091</v>
      </c>
      <c r="X173" s="17">
        <v>1.0311267426045558</v>
      </c>
      <c r="Y173" s="17">
        <v>8.7857142857142865</v>
      </c>
      <c r="Z173" s="17">
        <v>7.1536171301825613</v>
      </c>
      <c r="AA173" s="86"/>
      <c r="AB173" s="86"/>
    </row>
    <row r="174" spans="1:28" hidden="1" outlineLevel="1" x14ac:dyDescent="0.25">
      <c r="A174" s="21" t="s">
        <v>367</v>
      </c>
      <c r="B174" s="21" t="s">
        <v>664</v>
      </c>
      <c r="C174" s="21" t="s">
        <v>363</v>
      </c>
      <c r="D174" s="15">
        <v>7</v>
      </c>
      <c r="E174" s="57">
        <v>229.42857142857142</v>
      </c>
      <c r="F174" s="15">
        <v>1606</v>
      </c>
      <c r="G174" s="15">
        <v>2</v>
      </c>
      <c r="H174" s="57">
        <v>267</v>
      </c>
      <c r="I174" s="15">
        <v>534</v>
      </c>
      <c r="J174" s="15">
        <v>16</v>
      </c>
      <c r="K174" s="57">
        <v>205.47499999999999</v>
      </c>
      <c r="L174" s="15">
        <v>3287.6</v>
      </c>
      <c r="M174" s="15" t="s">
        <v>364</v>
      </c>
      <c r="N174" s="15" t="s">
        <v>364</v>
      </c>
      <c r="O174" s="15" t="s">
        <v>364</v>
      </c>
      <c r="P174" s="15" t="s">
        <v>364</v>
      </c>
      <c r="Q174" s="15" t="s">
        <v>364</v>
      </c>
      <c r="R174" s="15" t="s">
        <v>364</v>
      </c>
      <c r="S174" s="15" t="s">
        <v>364</v>
      </c>
      <c r="T174" s="15" t="s">
        <v>364</v>
      </c>
      <c r="U174" s="17" t="s">
        <v>364</v>
      </c>
      <c r="V174" s="17" t="s">
        <v>364</v>
      </c>
      <c r="W174" s="17">
        <v>1.2857142857142858</v>
      </c>
      <c r="X174" s="17">
        <v>1.0470734744707346</v>
      </c>
      <c r="Y174" s="17">
        <v>7</v>
      </c>
      <c r="Z174" s="17">
        <v>5.1565543071161049</v>
      </c>
      <c r="AA174" s="86"/>
      <c r="AB174" s="86"/>
    </row>
    <row r="175" spans="1:28" collapsed="1" x14ac:dyDescent="0.25">
      <c r="A175" s="5" t="s">
        <v>208</v>
      </c>
      <c r="B175" s="5" t="s">
        <v>40</v>
      </c>
      <c r="C175" s="5" t="s">
        <v>257</v>
      </c>
      <c r="D175" s="6">
        <v>112</v>
      </c>
      <c r="E175" s="53">
        <v>200.11607142857142</v>
      </c>
      <c r="F175" s="6">
        <v>22413</v>
      </c>
      <c r="G175" s="6">
        <v>105</v>
      </c>
      <c r="H175" s="53">
        <v>179.25714285714287</v>
      </c>
      <c r="I175" s="6">
        <v>18822</v>
      </c>
      <c r="J175" s="6">
        <v>235</v>
      </c>
      <c r="K175" s="53">
        <v>214.69063829787234</v>
      </c>
      <c r="L175" s="6">
        <v>50452.3</v>
      </c>
      <c r="M175" s="6">
        <v>160.49478260869563</v>
      </c>
      <c r="N175" s="6">
        <v>203.77759999999998</v>
      </c>
      <c r="O175" s="6">
        <v>32705.241612521731</v>
      </c>
      <c r="P175" s="6">
        <v>74.50521739130437</v>
      </c>
      <c r="Q175" s="6">
        <v>10.913038297872362</v>
      </c>
      <c r="R175" s="6">
        <v>17747.058387478271</v>
      </c>
      <c r="S175" s="6">
        <v>2564.5640000000049</v>
      </c>
      <c r="T175" s="6">
        <v>15182.494387478264</v>
      </c>
      <c r="U175" s="8">
        <v>1.4642220524573468</v>
      </c>
      <c r="V175" s="8">
        <v>1.5426365167314198</v>
      </c>
      <c r="W175" s="8">
        <v>1.0982142857142858</v>
      </c>
      <c r="X175" s="8">
        <v>1.2510284210056666</v>
      </c>
      <c r="Y175" s="8">
        <v>1.2380952380952381</v>
      </c>
      <c r="Z175" s="8">
        <v>1.6804962278185105</v>
      </c>
      <c r="AA175" s="86"/>
      <c r="AB175" s="86"/>
    </row>
    <row r="176" spans="1:28" hidden="1" outlineLevel="1" x14ac:dyDescent="0.25">
      <c r="A176" s="21" t="s">
        <v>367</v>
      </c>
      <c r="B176" s="21" t="s">
        <v>665</v>
      </c>
      <c r="C176" s="21" t="s">
        <v>362</v>
      </c>
      <c r="D176" s="15">
        <v>107</v>
      </c>
      <c r="E176" s="57">
        <v>199.55140186915887</v>
      </c>
      <c r="F176" s="15">
        <v>21352</v>
      </c>
      <c r="G176" s="15">
        <v>99</v>
      </c>
      <c r="H176" s="57">
        <v>183.47474747474749</v>
      </c>
      <c r="I176" s="15">
        <v>18164</v>
      </c>
      <c r="J176" s="15">
        <v>218</v>
      </c>
      <c r="K176" s="57">
        <v>213.37155963302752</v>
      </c>
      <c r="L176" s="15">
        <v>46515</v>
      </c>
      <c r="M176" s="15" t="s">
        <v>364</v>
      </c>
      <c r="N176" s="15" t="s">
        <v>364</v>
      </c>
      <c r="O176" s="15" t="s">
        <v>364</v>
      </c>
      <c r="P176" s="15" t="s">
        <v>364</v>
      </c>
      <c r="Q176" s="15" t="s">
        <v>364</v>
      </c>
      <c r="R176" s="15" t="s">
        <v>364</v>
      </c>
      <c r="S176" s="15" t="s">
        <v>364</v>
      </c>
      <c r="T176" s="15" t="s">
        <v>364</v>
      </c>
      <c r="U176" s="17" t="s">
        <v>364</v>
      </c>
      <c r="V176" s="17" t="s">
        <v>364</v>
      </c>
      <c r="W176" s="17">
        <v>1.0373831775700935</v>
      </c>
      <c r="X176" s="17">
        <v>1.1784844511052828</v>
      </c>
      <c r="Y176" s="17">
        <v>1.202020202020202</v>
      </c>
      <c r="Z176" s="17">
        <v>1.560834617925567</v>
      </c>
      <c r="AA176" s="86"/>
      <c r="AB176" s="86"/>
    </row>
    <row r="177" spans="1:28" hidden="1" outlineLevel="1" x14ac:dyDescent="0.25">
      <c r="A177" s="21" t="s">
        <v>367</v>
      </c>
      <c r="B177" s="21" t="s">
        <v>666</v>
      </c>
      <c r="C177" s="21" t="s">
        <v>363</v>
      </c>
      <c r="D177" s="15">
        <v>5</v>
      </c>
      <c r="E177" s="57">
        <v>212.2</v>
      </c>
      <c r="F177" s="15">
        <v>1061</v>
      </c>
      <c r="G177" s="15">
        <v>6</v>
      </c>
      <c r="H177" s="57">
        <v>109.66666666666667</v>
      </c>
      <c r="I177" s="15">
        <v>658</v>
      </c>
      <c r="J177" s="15">
        <v>17</v>
      </c>
      <c r="K177" s="57">
        <v>231.60588235294119</v>
      </c>
      <c r="L177" s="15">
        <v>3937.3</v>
      </c>
      <c r="M177" s="15" t="s">
        <v>364</v>
      </c>
      <c r="N177" s="15" t="s">
        <v>364</v>
      </c>
      <c r="O177" s="15" t="s">
        <v>364</v>
      </c>
      <c r="P177" s="15" t="s">
        <v>364</v>
      </c>
      <c r="Q177" s="15" t="s">
        <v>364</v>
      </c>
      <c r="R177" s="15" t="s">
        <v>364</v>
      </c>
      <c r="S177" s="15" t="s">
        <v>364</v>
      </c>
      <c r="T177" s="15" t="s">
        <v>364</v>
      </c>
      <c r="U177" s="17" t="s">
        <v>364</v>
      </c>
      <c r="V177" s="17" t="s">
        <v>364</v>
      </c>
      <c r="W177" s="17">
        <v>2.4</v>
      </c>
      <c r="X177" s="17">
        <v>2.7109330819981152</v>
      </c>
      <c r="Y177" s="17">
        <v>1.8333333333333333</v>
      </c>
      <c r="Z177" s="17">
        <v>4.9837386018237089</v>
      </c>
      <c r="AA177" s="86"/>
      <c r="AB177" s="86"/>
    </row>
    <row r="178" spans="1:28" collapsed="1" x14ac:dyDescent="0.25">
      <c r="A178" s="5" t="s">
        <v>208</v>
      </c>
      <c r="B178" s="5" t="s">
        <v>52</v>
      </c>
      <c r="C178" s="5" t="s">
        <v>258</v>
      </c>
      <c r="D178" s="6">
        <v>92</v>
      </c>
      <c r="E178" s="53">
        <v>497.41304347826087</v>
      </c>
      <c r="F178" s="6">
        <v>45762</v>
      </c>
      <c r="G178" s="6">
        <v>118</v>
      </c>
      <c r="H178" s="53">
        <v>519.76271186440681</v>
      </c>
      <c r="I178" s="6">
        <v>61332</v>
      </c>
      <c r="J178" s="6">
        <v>122</v>
      </c>
      <c r="K178" s="53">
        <v>505.36762295081968</v>
      </c>
      <c r="L178" s="6">
        <v>61654.85</v>
      </c>
      <c r="M178" s="6">
        <v>167.89347826086959</v>
      </c>
      <c r="N178" s="6">
        <v>541.84199999999998</v>
      </c>
      <c r="O178" s="6">
        <v>90971.738047826089</v>
      </c>
      <c r="P178" s="6">
        <v>-45.893478260869585</v>
      </c>
      <c r="Q178" s="6">
        <v>-36.474377049180305</v>
      </c>
      <c r="R178" s="6">
        <v>-29316.888047826091</v>
      </c>
      <c r="S178" s="6">
        <v>-4449.8739999999971</v>
      </c>
      <c r="T178" s="6">
        <v>-24867.014047826098</v>
      </c>
      <c r="U178" s="8">
        <v>0.72665121518561193</v>
      </c>
      <c r="V178" s="8">
        <v>0.67773630935342277</v>
      </c>
      <c r="W178" s="8">
        <v>0.32608695652173914</v>
      </c>
      <c r="X178" s="8">
        <v>0.34729360604868664</v>
      </c>
      <c r="Y178" s="8">
        <v>3.3898305084745763E-2</v>
      </c>
      <c r="Z178" s="8">
        <v>5.263973129850625E-3</v>
      </c>
      <c r="AA178" s="86"/>
      <c r="AB178" s="86"/>
    </row>
    <row r="179" spans="1:28" hidden="1" outlineLevel="1" x14ac:dyDescent="0.25">
      <c r="A179" s="21" t="s">
        <v>367</v>
      </c>
      <c r="B179" s="21" t="s">
        <v>667</v>
      </c>
      <c r="C179" s="21" t="s">
        <v>362</v>
      </c>
      <c r="D179" s="15">
        <v>88</v>
      </c>
      <c r="E179" s="57">
        <v>513.60227272727275</v>
      </c>
      <c r="F179" s="15">
        <v>45197</v>
      </c>
      <c r="G179" s="15">
        <v>115</v>
      </c>
      <c r="H179" s="57">
        <v>528.46956521739128</v>
      </c>
      <c r="I179" s="15">
        <v>60774</v>
      </c>
      <c r="J179" s="15">
        <v>120</v>
      </c>
      <c r="K179" s="57">
        <v>512.37374999999997</v>
      </c>
      <c r="L179" s="15">
        <v>61484.85</v>
      </c>
      <c r="M179" s="15" t="s">
        <v>364</v>
      </c>
      <c r="N179" s="15" t="s">
        <v>364</v>
      </c>
      <c r="O179" s="15" t="s">
        <v>364</v>
      </c>
      <c r="P179" s="15" t="s">
        <v>364</v>
      </c>
      <c r="Q179" s="15" t="s">
        <v>364</v>
      </c>
      <c r="R179" s="15" t="s">
        <v>364</v>
      </c>
      <c r="S179" s="15" t="s">
        <v>364</v>
      </c>
      <c r="T179" s="15" t="s">
        <v>364</v>
      </c>
      <c r="U179" s="17" t="s">
        <v>364</v>
      </c>
      <c r="V179" s="17" t="s">
        <v>364</v>
      </c>
      <c r="W179" s="17">
        <v>0.36363636363636365</v>
      </c>
      <c r="X179" s="17">
        <v>0.3603745823837865</v>
      </c>
      <c r="Y179" s="17">
        <v>4.3478260869565216E-2</v>
      </c>
      <c r="Z179" s="17">
        <v>1.1696613683483044E-2</v>
      </c>
      <c r="AA179" s="86"/>
      <c r="AB179" s="86"/>
    </row>
    <row r="180" spans="1:28" hidden="1" outlineLevel="1" x14ac:dyDescent="0.25">
      <c r="A180" s="21" t="s">
        <v>367</v>
      </c>
      <c r="B180" s="21" t="s">
        <v>668</v>
      </c>
      <c r="C180" s="21" t="s">
        <v>363</v>
      </c>
      <c r="D180" s="15">
        <v>3</v>
      </c>
      <c r="E180" s="57">
        <v>188.33333333333334</v>
      </c>
      <c r="F180" s="15">
        <v>565</v>
      </c>
      <c r="G180" s="15">
        <v>2</v>
      </c>
      <c r="H180" s="57">
        <v>279</v>
      </c>
      <c r="I180" s="15">
        <v>558</v>
      </c>
      <c r="J180" s="15">
        <v>2</v>
      </c>
      <c r="K180" s="57">
        <v>85</v>
      </c>
      <c r="L180" s="15">
        <v>170</v>
      </c>
      <c r="M180" s="15" t="s">
        <v>364</v>
      </c>
      <c r="N180" s="15" t="s">
        <v>364</v>
      </c>
      <c r="O180" s="15" t="s">
        <v>364</v>
      </c>
      <c r="P180" s="15" t="s">
        <v>364</v>
      </c>
      <c r="Q180" s="15" t="s">
        <v>364</v>
      </c>
      <c r="R180" s="15" t="s">
        <v>364</v>
      </c>
      <c r="S180" s="15" t="s">
        <v>364</v>
      </c>
      <c r="T180" s="15" t="s">
        <v>364</v>
      </c>
      <c r="U180" s="17" t="s">
        <v>364</v>
      </c>
      <c r="V180" s="17" t="s">
        <v>364</v>
      </c>
      <c r="W180" s="17">
        <v>-0.33333333333333331</v>
      </c>
      <c r="X180" s="17">
        <v>-0.69911504424778759</v>
      </c>
      <c r="Y180" s="17">
        <v>0</v>
      </c>
      <c r="Z180" s="17">
        <v>-0.69534050179211471</v>
      </c>
      <c r="AA180" s="86"/>
      <c r="AB180" s="86"/>
    </row>
    <row r="181" spans="1:28" collapsed="1" x14ac:dyDescent="0.25">
      <c r="A181" s="5" t="s">
        <v>208</v>
      </c>
      <c r="B181" s="5" t="s">
        <v>42</v>
      </c>
      <c r="C181" s="5" t="s">
        <v>259</v>
      </c>
      <c r="D181" s="6">
        <v>55</v>
      </c>
      <c r="E181" s="53">
        <v>361.94545454545454</v>
      </c>
      <c r="F181" s="6">
        <v>19907</v>
      </c>
      <c r="G181" s="6">
        <v>70</v>
      </c>
      <c r="H181" s="53">
        <v>304.14285714285717</v>
      </c>
      <c r="I181" s="6">
        <v>21290</v>
      </c>
      <c r="J181" s="6">
        <v>41</v>
      </c>
      <c r="K181" s="53">
        <v>279.21219512195125</v>
      </c>
      <c r="L181" s="6">
        <v>11447.7</v>
      </c>
      <c r="M181" s="6">
        <v>93.571739130434779</v>
      </c>
      <c r="N181" s="6">
        <v>367.38749999999999</v>
      </c>
      <c r="O181" s="6">
        <v>34377.087309782604</v>
      </c>
      <c r="P181" s="6">
        <v>-52.571739130434779</v>
      </c>
      <c r="Q181" s="6">
        <v>-88.175304878048735</v>
      </c>
      <c r="R181" s="6">
        <v>-22929.387309782604</v>
      </c>
      <c r="S181" s="6">
        <v>-3615.1874999999982</v>
      </c>
      <c r="T181" s="6">
        <v>-19314.199809782607</v>
      </c>
      <c r="U181" s="8">
        <v>0.43816648467811259</v>
      </c>
      <c r="V181" s="8">
        <v>0.33300377943137599</v>
      </c>
      <c r="W181" s="8">
        <v>-0.25454545454545452</v>
      </c>
      <c r="X181" s="8">
        <v>-0.42494097553624349</v>
      </c>
      <c r="Y181" s="8">
        <v>-0.41428571428571431</v>
      </c>
      <c r="Z181" s="8">
        <v>-0.46229685298262091</v>
      </c>
      <c r="AA181" s="86"/>
      <c r="AB181" s="86"/>
    </row>
    <row r="182" spans="1:28" hidden="1" outlineLevel="1" x14ac:dyDescent="0.25">
      <c r="A182" s="21" t="s">
        <v>367</v>
      </c>
      <c r="B182" s="21" t="s">
        <v>669</v>
      </c>
      <c r="C182" s="21" t="s">
        <v>362</v>
      </c>
      <c r="D182" s="15">
        <v>54</v>
      </c>
      <c r="E182" s="57">
        <v>360.62962962962962</v>
      </c>
      <c r="F182" s="15">
        <v>19474</v>
      </c>
      <c r="G182" s="15">
        <v>69</v>
      </c>
      <c r="H182" s="57">
        <v>303.04347826086956</v>
      </c>
      <c r="I182" s="15">
        <v>20910</v>
      </c>
      <c r="J182" s="15">
        <v>36</v>
      </c>
      <c r="K182" s="57">
        <v>309.06111111111113</v>
      </c>
      <c r="L182" s="15">
        <v>11126.2</v>
      </c>
      <c r="M182" s="15" t="s">
        <v>364</v>
      </c>
      <c r="N182" s="15" t="s">
        <v>364</v>
      </c>
      <c r="O182" s="15" t="s">
        <v>364</v>
      </c>
      <c r="P182" s="15" t="s">
        <v>364</v>
      </c>
      <c r="Q182" s="15" t="s">
        <v>364</v>
      </c>
      <c r="R182" s="15" t="s">
        <v>364</v>
      </c>
      <c r="S182" s="15" t="s">
        <v>364</v>
      </c>
      <c r="T182" s="15" t="s">
        <v>364</v>
      </c>
      <c r="U182" s="17" t="s">
        <v>364</v>
      </c>
      <c r="V182" s="17" t="s">
        <v>364</v>
      </c>
      <c r="W182" s="17">
        <v>-0.33333333333333331</v>
      </c>
      <c r="X182" s="17">
        <v>-0.42866385950498098</v>
      </c>
      <c r="Y182" s="17">
        <v>-0.47826086956521741</v>
      </c>
      <c r="Z182" s="17">
        <v>-0.46790052606408411</v>
      </c>
      <c r="AA182" s="86"/>
      <c r="AB182" s="86"/>
    </row>
    <row r="183" spans="1:28" hidden="1" outlineLevel="1" x14ac:dyDescent="0.25">
      <c r="A183" s="21" t="s">
        <v>367</v>
      </c>
      <c r="B183" s="21" t="s">
        <v>670</v>
      </c>
      <c r="C183" s="21" t="s">
        <v>363</v>
      </c>
      <c r="D183" s="15">
        <v>1</v>
      </c>
      <c r="E183" s="57">
        <v>433</v>
      </c>
      <c r="F183" s="15">
        <v>433</v>
      </c>
      <c r="G183" s="15">
        <v>1</v>
      </c>
      <c r="H183" s="57">
        <v>379</v>
      </c>
      <c r="I183" s="15">
        <v>379</v>
      </c>
      <c r="J183" s="15">
        <v>5</v>
      </c>
      <c r="K183" s="57">
        <v>64.3</v>
      </c>
      <c r="L183" s="15">
        <v>321.5</v>
      </c>
      <c r="M183" s="15" t="s">
        <v>364</v>
      </c>
      <c r="N183" s="15" t="s">
        <v>364</v>
      </c>
      <c r="O183" s="15" t="s">
        <v>364</v>
      </c>
      <c r="P183" s="15" t="s">
        <v>364</v>
      </c>
      <c r="Q183" s="15" t="s">
        <v>364</v>
      </c>
      <c r="R183" s="15" t="s">
        <v>364</v>
      </c>
      <c r="S183" s="15" t="s">
        <v>364</v>
      </c>
      <c r="T183" s="15" t="s">
        <v>364</v>
      </c>
      <c r="U183" s="17" t="s">
        <v>364</v>
      </c>
      <c r="V183" s="17" t="s">
        <v>364</v>
      </c>
      <c r="W183" s="17">
        <v>4</v>
      </c>
      <c r="X183" s="17">
        <v>-0.2575057736720554</v>
      </c>
      <c r="Y183" s="17">
        <v>4</v>
      </c>
      <c r="Z183" s="17">
        <v>-0.15171503957783641</v>
      </c>
      <c r="AA183" s="86"/>
      <c r="AB183" s="86"/>
    </row>
    <row r="184" spans="1:28" collapsed="1" x14ac:dyDescent="0.25">
      <c r="A184" s="5" t="s">
        <v>208</v>
      </c>
      <c r="B184" s="5" t="s">
        <v>46</v>
      </c>
      <c r="C184" s="5" t="s">
        <v>261</v>
      </c>
      <c r="D184" s="6">
        <v>117</v>
      </c>
      <c r="E184" s="53">
        <v>443.32478632478632</v>
      </c>
      <c r="F184" s="6">
        <v>51869</v>
      </c>
      <c r="G184" s="6">
        <v>128</v>
      </c>
      <c r="H184" s="53">
        <v>388.8125</v>
      </c>
      <c r="I184" s="6">
        <v>49768</v>
      </c>
      <c r="J184" s="6">
        <v>130</v>
      </c>
      <c r="K184" s="53">
        <v>412.45023076923076</v>
      </c>
      <c r="L184" s="6">
        <v>53618.53</v>
      </c>
      <c r="M184" s="6">
        <v>137.7295652173913</v>
      </c>
      <c r="N184" s="6">
        <v>486.14487117160922</v>
      </c>
      <c r="O184" s="6">
        <v>66956.521739130447</v>
      </c>
      <c r="P184" s="6">
        <v>-7.729565217391297</v>
      </c>
      <c r="Q184" s="6">
        <v>-73.694640402378468</v>
      </c>
      <c r="R184" s="6">
        <v>-13337.991739130448</v>
      </c>
      <c r="S184" s="6">
        <v>-9580.3032523092006</v>
      </c>
      <c r="T184" s="6">
        <v>-3757.6884868212437</v>
      </c>
      <c r="U184" s="8">
        <v>0.94387867844357887</v>
      </c>
      <c r="V184" s="8">
        <v>0.80079622727272715</v>
      </c>
      <c r="W184" s="8">
        <v>0.1111111111111111</v>
      </c>
      <c r="X184" s="8">
        <v>3.372978079392313E-2</v>
      </c>
      <c r="Y184" s="8">
        <v>1.5625E-2</v>
      </c>
      <c r="Z184" s="8">
        <v>7.7369594920430773E-2</v>
      </c>
      <c r="AA184" s="86"/>
      <c r="AB184" s="86"/>
    </row>
    <row r="185" spans="1:28" hidden="1" outlineLevel="1" x14ac:dyDescent="0.25">
      <c r="A185" s="21" t="s">
        <v>367</v>
      </c>
      <c r="B185" s="21" t="s">
        <v>673</v>
      </c>
      <c r="C185" s="21" t="s">
        <v>362</v>
      </c>
      <c r="D185" s="15">
        <v>112</v>
      </c>
      <c r="E185" s="57">
        <v>452</v>
      </c>
      <c r="F185" s="15">
        <v>50624</v>
      </c>
      <c r="G185" s="15">
        <v>123</v>
      </c>
      <c r="H185" s="57">
        <v>390.85365853658539</v>
      </c>
      <c r="I185" s="15">
        <v>48075</v>
      </c>
      <c r="J185" s="15">
        <v>125</v>
      </c>
      <c r="K185" s="57">
        <v>424.47943999999995</v>
      </c>
      <c r="L185" s="15">
        <v>53059.929999999993</v>
      </c>
      <c r="M185" s="15" t="s">
        <v>364</v>
      </c>
      <c r="N185" s="15" t="s">
        <v>364</v>
      </c>
      <c r="O185" s="15" t="s">
        <v>364</v>
      </c>
      <c r="P185" s="15" t="s">
        <v>364</v>
      </c>
      <c r="Q185" s="15" t="s">
        <v>364</v>
      </c>
      <c r="R185" s="15" t="s">
        <v>364</v>
      </c>
      <c r="S185" s="15" t="s">
        <v>364</v>
      </c>
      <c r="T185" s="15" t="s">
        <v>364</v>
      </c>
      <c r="U185" s="17" t="s">
        <v>364</v>
      </c>
      <c r="V185" s="17" t="s">
        <v>364</v>
      </c>
      <c r="W185" s="17">
        <v>0.11607142857142858</v>
      </c>
      <c r="X185" s="17">
        <v>4.8118086283185701E-2</v>
      </c>
      <c r="Y185" s="17">
        <v>1.6260162601626018E-2</v>
      </c>
      <c r="Z185" s="17">
        <v>0.10369069162766496</v>
      </c>
      <c r="AA185" s="86"/>
      <c r="AB185" s="86"/>
    </row>
    <row r="186" spans="1:28" hidden="1" outlineLevel="1" x14ac:dyDescent="0.25">
      <c r="A186" s="21" t="s">
        <v>367</v>
      </c>
      <c r="B186" s="21" t="s">
        <v>674</v>
      </c>
      <c r="C186" s="21" t="s">
        <v>363</v>
      </c>
      <c r="D186" s="15">
        <v>5</v>
      </c>
      <c r="E186" s="57">
        <v>249</v>
      </c>
      <c r="F186" s="15">
        <v>1245</v>
      </c>
      <c r="G186" s="15">
        <v>5</v>
      </c>
      <c r="H186" s="57">
        <v>338.8</v>
      </c>
      <c r="I186" s="15">
        <v>1694</v>
      </c>
      <c r="J186" s="15">
        <v>5</v>
      </c>
      <c r="K186" s="57">
        <v>111.72</v>
      </c>
      <c r="L186" s="15">
        <v>558.6</v>
      </c>
      <c r="M186" s="15" t="s">
        <v>364</v>
      </c>
      <c r="N186" s="15" t="s">
        <v>364</v>
      </c>
      <c r="O186" s="15" t="s">
        <v>364</v>
      </c>
      <c r="P186" s="15" t="s">
        <v>364</v>
      </c>
      <c r="Q186" s="15" t="s">
        <v>364</v>
      </c>
      <c r="R186" s="15" t="s">
        <v>364</v>
      </c>
      <c r="S186" s="15" t="s">
        <v>364</v>
      </c>
      <c r="T186" s="15" t="s">
        <v>364</v>
      </c>
      <c r="U186" s="17" t="s">
        <v>364</v>
      </c>
      <c r="V186" s="17" t="s">
        <v>364</v>
      </c>
      <c r="W186" s="17">
        <v>0</v>
      </c>
      <c r="X186" s="17">
        <v>-0.55132530120481926</v>
      </c>
      <c r="Y186" s="17">
        <v>0</v>
      </c>
      <c r="Z186" s="17">
        <v>-0.6702479338842976</v>
      </c>
      <c r="AA186" s="86"/>
      <c r="AB186" s="86"/>
    </row>
    <row r="187" spans="1:28" collapsed="1" x14ac:dyDescent="0.25">
      <c r="A187" s="5" t="s">
        <v>207</v>
      </c>
      <c r="B187" s="5" t="s">
        <v>218</v>
      </c>
      <c r="C187" s="5" t="s">
        <v>265</v>
      </c>
      <c r="D187" s="6">
        <v>0</v>
      </c>
      <c r="E187" s="53" t="s">
        <v>364</v>
      </c>
      <c r="F187" s="6">
        <v>0</v>
      </c>
      <c r="G187" s="6">
        <v>0</v>
      </c>
      <c r="H187" s="53" t="s">
        <v>364</v>
      </c>
      <c r="I187" s="6">
        <v>0</v>
      </c>
      <c r="J187" s="6">
        <v>0</v>
      </c>
      <c r="K187" s="53" t="s">
        <v>364</v>
      </c>
      <c r="L187" s="6">
        <v>0</v>
      </c>
      <c r="M187" s="6">
        <v>30.290909090909093</v>
      </c>
      <c r="N187" s="6">
        <v>734.77499999999998</v>
      </c>
      <c r="O187" s="6">
        <v>22257.002727272727</v>
      </c>
      <c r="P187" s="6">
        <v>-30.290909090909093</v>
      </c>
      <c r="Q187" s="6" t="s">
        <v>364</v>
      </c>
      <c r="R187" s="6">
        <v>-22257.002727272727</v>
      </c>
      <c r="S187" s="6" t="s">
        <v>364</v>
      </c>
      <c r="T187" s="6">
        <v>-22257.002727272727</v>
      </c>
      <c r="U187" s="8">
        <v>0</v>
      </c>
      <c r="V187" s="8">
        <v>0</v>
      </c>
      <c r="W187" s="8" t="s">
        <v>364</v>
      </c>
      <c r="X187" s="8" t="s">
        <v>364</v>
      </c>
      <c r="Y187" s="8" t="s">
        <v>364</v>
      </c>
      <c r="Z187" s="8" t="s">
        <v>364</v>
      </c>
      <c r="AA187" s="86"/>
      <c r="AB187" s="86"/>
    </row>
    <row r="188" spans="1:28" hidden="1" outlineLevel="1" x14ac:dyDescent="0.25">
      <c r="A188" s="21" t="s">
        <v>367</v>
      </c>
      <c r="B188" s="21" t="s">
        <v>681</v>
      </c>
      <c r="C188" s="21" t="s">
        <v>362</v>
      </c>
      <c r="D188" s="15">
        <v>0</v>
      </c>
      <c r="E188" s="57" t="s">
        <v>364</v>
      </c>
      <c r="F188" s="15">
        <v>0</v>
      </c>
      <c r="G188" s="15">
        <v>0</v>
      </c>
      <c r="H188" s="57" t="s">
        <v>364</v>
      </c>
      <c r="I188" s="15">
        <v>0</v>
      </c>
      <c r="J188" s="15">
        <v>0</v>
      </c>
      <c r="K188" s="57" t="s">
        <v>364</v>
      </c>
      <c r="L188" s="15">
        <v>0</v>
      </c>
      <c r="M188" s="15" t="s">
        <v>364</v>
      </c>
      <c r="N188" s="15" t="s">
        <v>364</v>
      </c>
      <c r="O188" s="15" t="s">
        <v>364</v>
      </c>
      <c r="P188" s="15" t="s">
        <v>364</v>
      </c>
      <c r="Q188" s="15" t="s">
        <v>364</v>
      </c>
      <c r="R188" s="15" t="s">
        <v>364</v>
      </c>
      <c r="S188" s="15" t="s">
        <v>364</v>
      </c>
      <c r="T188" s="15" t="s">
        <v>364</v>
      </c>
      <c r="U188" s="17" t="s">
        <v>364</v>
      </c>
      <c r="V188" s="17" t="s">
        <v>364</v>
      </c>
      <c r="W188" s="17" t="s">
        <v>364</v>
      </c>
      <c r="X188" s="17" t="s">
        <v>364</v>
      </c>
      <c r="Y188" s="17" t="s">
        <v>364</v>
      </c>
      <c r="Z188" s="17" t="s">
        <v>364</v>
      </c>
      <c r="AA188" s="86"/>
      <c r="AB188" s="86"/>
    </row>
    <row r="189" spans="1:28" hidden="1" outlineLevel="1" x14ac:dyDescent="0.25">
      <c r="A189" s="21" t="s">
        <v>367</v>
      </c>
      <c r="B189" s="21" t="s">
        <v>682</v>
      </c>
      <c r="C189" s="21" t="s">
        <v>363</v>
      </c>
      <c r="D189" s="15">
        <v>0</v>
      </c>
      <c r="E189" s="57" t="s">
        <v>364</v>
      </c>
      <c r="F189" s="15">
        <v>0</v>
      </c>
      <c r="G189" s="15">
        <v>0</v>
      </c>
      <c r="H189" s="57" t="s">
        <v>364</v>
      </c>
      <c r="I189" s="15">
        <v>0</v>
      </c>
      <c r="J189" s="15">
        <v>0</v>
      </c>
      <c r="K189" s="57" t="s">
        <v>364</v>
      </c>
      <c r="L189" s="15">
        <v>0</v>
      </c>
      <c r="M189" s="15" t="s">
        <v>364</v>
      </c>
      <c r="N189" s="15" t="s">
        <v>364</v>
      </c>
      <c r="O189" s="15" t="s">
        <v>364</v>
      </c>
      <c r="P189" s="15" t="s">
        <v>364</v>
      </c>
      <c r="Q189" s="15" t="s">
        <v>364</v>
      </c>
      <c r="R189" s="15" t="s">
        <v>364</v>
      </c>
      <c r="S189" s="15" t="s">
        <v>364</v>
      </c>
      <c r="T189" s="15" t="s">
        <v>364</v>
      </c>
      <c r="U189" s="17" t="s">
        <v>364</v>
      </c>
      <c r="V189" s="17" t="s">
        <v>364</v>
      </c>
      <c r="W189" s="17" t="s">
        <v>364</v>
      </c>
      <c r="X189" s="17" t="s">
        <v>364</v>
      </c>
      <c r="Y189" s="17" t="s">
        <v>364</v>
      </c>
      <c r="Z189" s="17" t="s">
        <v>364</v>
      </c>
      <c r="AA189" s="86"/>
      <c r="AB189" s="86"/>
    </row>
    <row r="190" spans="1:28" collapsed="1" x14ac:dyDescent="0.25">
      <c r="A190" s="5" t="s">
        <v>208</v>
      </c>
      <c r="B190" s="5" t="s">
        <v>41</v>
      </c>
      <c r="C190" s="5" t="s">
        <v>99</v>
      </c>
      <c r="D190" s="6">
        <v>52</v>
      </c>
      <c r="E190" s="53">
        <v>681.51923076923072</v>
      </c>
      <c r="F190" s="6">
        <v>35439</v>
      </c>
      <c r="G190" s="6">
        <v>56</v>
      </c>
      <c r="H190" s="53">
        <v>283.16071428571428</v>
      </c>
      <c r="I190" s="6">
        <v>15857</v>
      </c>
      <c r="J190" s="6">
        <v>101</v>
      </c>
      <c r="K190" s="53">
        <v>506.73168316831686</v>
      </c>
      <c r="L190" s="6">
        <v>51179.9</v>
      </c>
      <c r="M190" s="6">
        <v>93.337391304347818</v>
      </c>
      <c r="N190" s="6">
        <v>823.00292869440443</v>
      </c>
      <c r="O190" s="6">
        <v>76816.946400173896</v>
      </c>
      <c r="P190" s="6">
        <v>7.6626086956521817</v>
      </c>
      <c r="Q190" s="6">
        <v>-316.27124552608757</v>
      </c>
      <c r="R190" s="6">
        <v>-25637.046400173895</v>
      </c>
      <c r="S190" s="6">
        <v>-31943.395798134843</v>
      </c>
      <c r="T190" s="6">
        <v>6306.3493979609557</v>
      </c>
      <c r="U190" s="8">
        <v>1.0820958094989659</v>
      </c>
      <c r="V190" s="8">
        <v>0.66625793393792265</v>
      </c>
      <c r="W190" s="8">
        <v>0.94230769230769229</v>
      </c>
      <c r="X190" s="8">
        <v>0.44416885352295499</v>
      </c>
      <c r="Y190" s="8">
        <v>0.8035714285714286</v>
      </c>
      <c r="Z190" s="8">
        <v>2.2275903386516998</v>
      </c>
      <c r="AA190" s="86"/>
      <c r="AB190" s="86"/>
    </row>
    <row r="191" spans="1:28" hidden="1" outlineLevel="1" x14ac:dyDescent="0.25">
      <c r="A191" s="21" t="s">
        <v>367</v>
      </c>
      <c r="B191" s="21" t="s">
        <v>496</v>
      </c>
      <c r="C191" s="21" t="s">
        <v>362</v>
      </c>
      <c r="D191" s="15">
        <v>50</v>
      </c>
      <c r="E191" s="57">
        <v>705.3</v>
      </c>
      <c r="F191" s="15">
        <v>35265</v>
      </c>
      <c r="G191" s="15">
        <v>53</v>
      </c>
      <c r="H191" s="57">
        <v>292</v>
      </c>
      <c r="I191" s="15">
        <v>15476</v>
      </c>
      <c r="J191" s="15">
        <v>93</v>
      </c>
      <c r="K191" s="57">
        <v>528.58602150537638</v>
      </c>
      <c r="L191" s="15">
        <v>49158.5</v>
      </c>
      <c r="M191" s="15" t="s">
        <v>364</v>
      </c>
      <c r="N191" s="15" t="s">
        <v>364</v>
      </c>
      <c r="O191" s="15" t="s">
        <v>364</v>
      </c>
      <c r="P191" s="15" t="s">
        <v>364</v>
      </c>
      <c r="Q191" s="15" t="s">
        <v>364</v>
      </c>
      <c r="R191" s="15" t="s">
        <v>364</v>
      </c>
      <c r="S191" s="15" t="s">
        <v>364</v>
      </c>
      <c r="T191" s="15" t="s">
        <v>364</v>
      </c>
      <c r="U191" s="17" t="s">
        <v>364</v>
      </c>
      <c r="V191" s="17" t="s">
        <v>364</v>
      </c>
      <c r="W191" s="17">
        <v>0.86</v>
      </c>
      <c r="X191" s="17">
        <v>0.39397419537785339</v>
      </c>
      <c r="Y191" s="17">
        <v>0.75471698113207553</v>
      </c>
      <c r="Z191" s="17">
        <v>2.1764344791935901</v>
      </c>
      <c r="AA191" s="86"/>
      <c r="AB191" s="86"/>
    </row>
    <row r="192" spans="1:28" hidden="1" outlineLevel="1" x14ac:dyDescent="0.25">
      <c r="A192" s="21" t="s">
        <v>367</v>
      </c>
      <c r="B192" s="21" t="s">
        <v>497</v>
      </c>
      <c r="C192" s="21" t="s">
        <v>363</v>
      </c>
      <c r="D192" s="15">
        <v>2</v>
      </c>
      <c r="E192" s="57">
        <v>87.5</v>
      </c>
      <c r="F192" s="15">
        <v>175</v>
      </c>
      <c r="G192" s="15">
        <v>3</v>
      </c>
      <c r="H192" s="57">
        <v>126.66666666666667</v>
      </c>
      <c r="I192" s="15">
        <v>380</v>
      </c>
      <c r="J192" s="15">
        <v>8</v>
      </c>
      <c r="K192" s="57">
        <v>252.67500000000001</v>
      </c>
      <c r="L192" s="15">
        <v>2021.4</v>
      </c>
      <c r="M192" s="15" t="s">
        <v>364</v>
      </c>
      <c r="N192" s="15" t="s">
        <v>364</v>
      </c>
      <c r="O192" s="15" t="s">
        <v>364</v>
      </c>
      <c r="P192" s="15" t="s">
        <v>364</v>
      </c>
      <c r="Q192" s="15" t="s">
        <v>364</v>
      </c>
      <c r="R192" s="15" t="s">
        <v>364</v>
      </c>
      <c r="S192" s="15" t="s">
        <v>364</v>
      </c>
      <c r="T192" s="15" t="s">
        <v>364</v>
      </c>
      <c r="U192" s="17" t="s">
        <v>364</v>
      </c>
      <c r="V192" s="17" t="s">
        <v>364</v>
      </c>
      <c r="W192" s="17">
        <v>3</v>
      </c>
      <c r="X192" s="17">
        <v>10.550857142857144</v>
      </c>
      <c r="Y192" s="17">
        <v>1.6666666666666667</v>
      </c>
      <c r="Z192" s="17">
        <v>4.3194736842105268</v>
      </c>
      <c r="AA192" s="86"/>
      <c r="AB192" s="86"/>
    </row>
    <row r="193" spans="1:28" collapsed="1" x14ac:dyDescent="0.25">
      <c r="A193" s="5" t="s">
        <v>207</v>
      </c>
      <c r="B193" s="5" t="s">
        <v>209</v>
      </c>
      <c r="C193" s="5" t="s">
        <v>266</v>
      </c>
      <c r="D193" s="6">
        <v>45</v>
      </c>
      <c r="E193" s="53">
        <v>305.2</v>
      </c>
      <c r="F193" s="6">
        <v>13734</v>
      </c>
      <c r="G193" s="6">
        <v>48</v>
      </c>
      <c r="H193" s="53">
        <v>330.35416666666669</v>
      </c>
      <c r="I193" s="6">
        <v>15857</v>
      </c>
      <c r="J193" s="6">
        <v>64</v>
      </c>
      <c r="K193" s="53">
        <v>418.82593750000001</v>
      </c>
      <c r="L193" s="6">
        <v>26804.86</v>
      </c>
      <c r="M193" s="6">
        <v>63.173478260869572</v>
      </c>
      <c r="N193" s="6">
        <v>364.44839999999999</v>
      </c>
      <c r="O193" s="6">
        <v>23023.473074608697</v>
      </c>
      <c r="P193" s="6">
        <v>0.82652173913042759</v>
      </c>
      <c r="Q193" s="6">
        <v>54.377537500000017</v>
      </c>
      <c r="R193" s="6">
        <v>3781.3869253913035</v>
      </c>
      <c r="S193" s="6">
        <v>3480.1624000000011</v>
      </c>
      <c r="T193" s="6">
        <v>301.22452539130171</v>
      </c>
      <c r="U193" s="8">
        <v>1.0130833660245424</v>
      </c>
      <c r="V193" s="8">
        <v>1.1642405085078837</v>
      </c>
      <c r="W193" s="8">
        <v>0.42222222222222222</v>
      </c>
      <c r="X193" s="8">
        <v>0.95171545070627639</v>
      </c>
      <c r="Y193" s="8">
        <v>0.33333333333333331</v>
      </c>
      <c r="Z193" s="8">
        <v>0.6904118055117614</v>
      </c>
      <c r="AA193" s="86"/>
      <c r="AB193" s="86"/>
    </row>
    <row r="194" spans="1:28" hidden="1" outlineLevel="1" x14ac:dyDescent="0.25">
      <c r="A194" s="21" t="s">
        <v>367</v>
      </c>
      <c r="B194" s="21" t="s">
        <v>683</v>
      </c>
      <c r="C194" s="21" t="s">
        <v>362</v>
      </c>
      <c r="D194" s="15">
        <v>39</v>
      </c>
      <c r="E194" s="57">
        <v>325.94871794871796</v>
      </c>
      <c r="F194" s="15">
        <v>12712</v>
      </c>
      <c r="G194" s="15">
        <v>46</v>
      </c>
      <c r="H194" s="57">
        <v>340.04347826086956</v>
      </c>
      <c r="I194" s="15">
        <v>15642</v>
      </c>
      <c r="J194" s="15">
        <v>51</v>
      </c>
      <c r="K194" s="57">
        <v>410.64529411764698</v>
      </c>
      <c r="L194" s="15">
        <v>20942.909999999996</v>
      </c>
      <c r="M194" s="15" t="s">
        <v>364</v>
      </c>
      <c r="N194" s="15" t="s">
        <v>364</v>
      </c>
      <c r="O194" s="15" t="s">
        <v>364</v>
      </c>
      <c r="P194" s="15" t="s">
        <v>364</v>
      </c>
      <c r="Q194" s="15" t="s">
        <v>364</v>
      </c>
      <c r="R194" s="15" t="s">
        <v>364</v>
      </c>
      <c r="S194" s="15" t="s">
        <v>364</v>
      </c>
      <c r="T194" s="15" t="s">
        <v>364</v>
      </c>
      <c r="U194" s="17" t="s">
        <v>364</v>
      </c>
      <c r="V194" s="17" t="s">
        <v>364</v>
      </c>
      <c r="W194" s="17">
        <v>0.30769230769230771</v>
      </c>
      <c r="X194" s="17">
        <v>0.64749134675896758</v>
      </c>
      <c r="Y194" s="17">
        <v>0.10869565217391304</v>
      </c>
      <c r="Z194" s="17">
        <v>0.33888952819332541</v>
      </c>
      <c r="AA194" s="86"/>
      <c r="AB194" s="86"/>
    </row>
    <row r="195" spans="1:28" hidden="1" outlineLevel="1" x14ac:dyDescent="0.25">
      <c r="A195" s="21" t="s">
        <v>367</v>
      </c>
      <c r="B195" s="21" t="s">
        <v>684</v>
      </c>
      <c r="C195" s="21" t="s">
        <v>363</v>
      </c>
      <c r="D195" s="15">
        <v>6</v>
      </c>
      <c r="E195" s="57">
        <v>170.33333333333334</v>
      </c>
      <c r="F195" s="15">
        <v>1022</v>
      </c>
      <c r="G195" s="15">
        <v>2</v>
      </c>
      <c r="H195" s="57">
        <v>108</v>
      </c>
      <c r="I195" s="15">
        <v>216</v>
      </c>
      <c r="J195" s="15">
        <v>13</v>
      </c>
      <c r="K195" s="57">
        <v>450.91923076923075</v>
      </c>
      <c r="L195" s="15">
        <v>5861.95</v>
      </c>
      <c r="M195" s="15" t="s">
        <v>364</v>
      </c>
      <c r="N195" s="15" t="s">
        <v>364</v>
      </c>
      <c r="O195" s="15" t="s">
        <v>364</v>
      </c>
      <c r="P195" s="15" t="s">
        <v>364</v>
      </c>
      <c r="Q195" s="15" t="s">
        <v>364</v>
      </c>
      <c r="R195" s="15" t="s">
        <v>364</v>
      </c>
      <c r="S195" s="15" t="s">
        <v>364</v>
      </c>
      <c r="T195" s="15" t="s">
        <v>364</v>
      </c>
      <c r="U195" s="17" t="s">
        <v>364</v>
      </c>
      <c r="V195" s="17" t="s">
        <v>364</v>
      </c>
      <c r="W195" s="17">
        <v>1.1666666666666667</v>
      </c>
      <c r="X195" s="17">
        <v>4.7357632093933466</v>
      </c>
      <c r="Y195" s="17">
        <v>5.5</v>
      </c>
      <c r="Z195" s="17">
        <v>26.138657407407408</v>
      </c>
      <c r="AA195" s="86"/>
      <c r="AB195" s="86"/>
    </row>
    <row r="196" spans="1:28" collapsed="1" x14ac:dyDescent="0.25">
      <c r="A196" s="5" t="s">
        <v>207</v>
      </c>
      <c r="B196" s="5" t="s">
        <v>219</v>
      </c>
      <c r="C196" s="5" t="s">
        <v>267</v>
      </c>
      <c r="D196" s="6">
        <v>58</v>
      </c>
      <c r="E196" s="53">
        <v>429.91379310344826</v>
      </c>
      <c r="F196" s="6">
        <v>24935</v>
      </c>
      <c r="G196" s="6">
        <v>51</v>
      </c>
      <c r="H196" s="53">
        <v>360.98039215686276</v>
      </c>
      <c r="I196" s="6">
        <v>18410</v>
      </c>
      <c r="J196" s="6">
        <v>72</v>
      </c>
      <c r="K196" s="53">
        <v>422.1629166666666</v>
      </c>
      <c r="L196" s="6">
        <v>30395.729999999996</v>
      </c>
      <c r="M196" s="6">
        <v>101.87434782608696</v>
      </c>
      <c r="N196" s="6">
        <v>409.51459999999997</v>
      </c>
      <c r="O196" s="6">
        <v>41719.032800260866</v>
      </c>
      <c r="P196" s="6">
        <v>-29.874347826086961</v>
      </c>
      <c r="Q196" s="6">
        <v>12.648316666666631</v>
      </c>
      <c r="R196" s="6">
        <v>-11323.30280026087</v>
      </c>
      <c r="S196" s="6">
        <v>910.67879999999741</v>
      </c>
      <c r="T196" s="6">
        <v>-12233.981600260871</v>
      </c>
      <c r="U196" s="8">
        <v>0.70675299068332254</v>
      </c>
      <c r="V196" s="8">
        <v>0.7285818476551531</v>
      </c>
      <c r="W196" s="8">
        <v>0.2413793103448276</v>
      </c>
      <c r="X196" s="8">
        <v>0.21899859635051117</v>
      </c>
      <c r="Y196" s="8">
        <v>0.41176470588235292</v>
      </c>
      <c r="Z196" s="8">
        <v>0.65104454101032028</v>
      </c>
      <c r="AA196" s="86"/>
      <c r="AB196" s="86"/>
    </row>
    <row r="197" spans="1:28" hidden="1" outlineLevel="1" x14ac:dyDescent="0.25">
      <c r="A197" s="21" t="s">
        <v>367</v>
      </c>
      <c r="B197" s="21" t="s">
        <v>685</v>
      </c>
      <c r="C197" s="21" t="s">
        <v>362</v>
      </c>
      <c r="D197" s="15">
        <v>51</v>
      </c>
      <c r="E197" s="57">
        <v>394.50980392156862</v>
      </c>
      <c r="F197" s="15">
        <v>20120</v>
      </c>
      <c r="G197" s="15">
        <v>42</v>
      </c>
      <c r="H197" s="57">
        <v>378.83333333333331</v>
      </c>
      <c r="I197" s="15">
        <v>15911</v>
      </c>
      <c r="J197" s="15">
        <v>53</v>
      </c>
      <c r="K197" s="57">
        <v>442.35792452830191</v>
      </c>
      <c r="L197" s="15">
        <v>23444.97</v>
      </c>
      <c r="M197" s="15" t="s">
        <v>364</v>
      </c>
      <c r="N197" s="15" t="s">
        <v>364</v>
      </c>
      <c r="O197" s="15" t="s">
        <v>364</v>
      </c>
      <c r="P197" s="15" t="s">
        <v>364</v>
      </c>
      <c r="Q197" s="15" t="s">
        <v>364</v>
      </c>
      <c r="R197" s="15" t="s">
        <v>364</v>
      </c>
      <c r="S197" s="15" t="s">
        <v>364</v>
      </c>
      <c r="T197" s="15" t="s">
        <v>364</v>
      </c>
      <c r="U197" s="17" t="s">
        <v>364</v>
      </c>
      <c r="V197" s="17" t="s">
        <v>364</v>
      </c>
      <c r="W197" s="17">
        <v>3.9215686274509803E-2</v>
      </c>
      <c r="X197" s="17">
        <v>0.16525695825049708</v>
      </c>
      <c r="Y197" s="17">
        <v>0.26190476190476192</v>
      </c>
      <c r="Z197" s="17">
        <v>0.47350700773050097</v>
      </c>
      <c r="AA197" s="86"/>
      <c r="AB197" s="86"/>
    </row>
    <row r="198" spans="1:28" hidden="1" outlineLevel="1" x14ac:dyDescent="0.25">
      <c r="A198" s="21" t="s">
        <v>367</v>
      </c>
      <c r="B198" s="21" t="s">
        <v>686</v>
      </c>
      <c r="C198" s="21" t="s">
        <v>363</v>
      </c>
      <c r="D198" s="15">
        <v>8</v>
      </c>
      <c r="E198" s="57">
        <v>601.875</v>
      </c>
      <c r="F198" s="15">
        <v>4815</v>
      </c>
      <c r="G198" s="15">
        <v>9</v>
      </c>
      <c r="H198" s="57">
        <v>277.55555555555554</v>
      </c>
      <c r="I198" s="15">
        <v>2498</v>
      </c>
      <c r="J198" s="15">
        <v>19</v>
      </c>
      <c r="K198" s="57">
        <v>365.82947368421054</v>
      </c>
      <c r="L198" s="15">
        <v>6950.76</v>
      </c>
      <c r="M198" s="15" t="s">
        <v>364</v>
      </c>
      <c r="N198" s="15" t="s">
        <v>364</v>
      </c>
      <c r="O198" s="15" t="s">
        <v>364</v>
      </c>
      <c r="P198" s="15" t="s">
        <v>364</v>
      </c>
      <c r="Q198" s="15" t="s">
        <v>364</v>
      </c>
      <c r="R198" s="15" t="s">
        <v>364</v>
      </c>
      <c r="S198" s="15" t="s">
        <v>364</v>
      </c>
      <c r="T198" s="15" t="s">
        <v>364</v>
      </c>
      <c r="U198" s="17" t="s">
        <v>364</v>
      </c>
      <c r="V198" s="17" t="s">
        <v>364</v>
      </c>
      <c r="W198" s="17">
        <v>1.375</v>
      </c>
      <c r="X198" s="17">
        <v>0.44356386292834893</v>
      </c>
      <c r="Y198" s="17">
        <v>1.1111111111111112</v>
      </c>
      <c r="Z198" s="17">
        <v>1.7825300240192155</v>
      </c>
      <c r="AA198" s="86"/>
      <c r="AB198" s="86"/>
    </row>
    <row r="199" spans="1:28" collapsed="1" x14ac:dyDescent="0.25">
      <c r="A199" s="5" t="s">
        <v>207</v>
      </c>
      <c r="B199" s="5" t="s">
        <v>217</v>
      </c>
      <c r="C199" s="5" t="s">
        <v>268</v>
      </c>
      <c r="D199" s="6">
        <v>0</v>
      </c>
      <c r="E199" s="53" t="s">
        <v>364</v>
      </c>
      <c r="F199" s="6">
        <v>0</v>
      </c>
      <c r="G199" s="6">
        <v>76</v>
      </c>
      <c r="H199" s="53">
        <v>480.10526315789474</v>
      </c>
      <c r="I199" s="6">
        <v>36488</v>
      </c>
      <c r="J199" s="6">
        <v>46</v>
      </c>
      <c r="K199" s="53">
        <v>563.72413043478275</v>
      </c>
      <c r="L199" s="6">
        <v>25931.310000000005</v>
      </c>
      <c r="M199" s="6">
        <v>74.556086956521739</v>
      </c>
      <c r="N199" s="6">
        <v>592.71850000000006</v>
      </c>
      <c r="O199" s="6">
        <v>44190.772026739134</v>
      </c>
      <c r="P199" s="6">
        <v>-28.556086956521739</v>
      </c>
      <c r="Q199" s="6">
        <v>-28.994369565217312</v>
      </c>
      <c r="R199" s="6">
        <v>-18259.462026739129</v>
      </c>
      <c r="S199" s="6">
        <v>-1333.7409999999963</v>
      </c>
      <c r="T199" s="6">
        <v>-16925.721026739131</v>
      </c>
      <c r="U199" s="8">
        <v>0.61698517019576737</v>
      </c>
      <c r="V199" s="8">
        <v>0.58680373323890744</v>
      </c>
      <c r="W199" s="8" t="s">
        <v>364</v>
      </c>
      <c r="X199" s="8" t="s">
        <v>364</v>
      </c>
      <c r="Y199" s="8">
        <v>-0.39473684210526316</v>
      </c>
      <c r="Z199" s="8">
        <v>-0.28931950230212661</v>
      </c>
      <c r="AA199" s="86"/>
      <c r="AB199" s="86"/>
    </row>
    <row r="200" spans="1:28" hidden="1" outlineLevel="1" x14ac:dyDescent="0.25">
      <c r="A200" s="21" t="s">
        <v>367</v>
      </c>
      <c r="B200" s="21" t="s">
        <v>687</v>
      </c>
      <c r="C200" s="21" t="s">
        <v>362</v>
      </c>
      <c r="D200" s="15">
        <v>0</v>
      </c>
      <c r="E200" s="57" t="s">
        <v>364</v>
      </c>
      <c r="F200" s="15">
        <v>0</v>
      </c>
      <c r="G200" s="15">
        <v>64</v>
      </c>
      <c r="H200" s="57">
        <v>440.515625</v>
      </c>
      <c r="I200" s="15">
        <v>28193</v>
      </c>
      <c r="J200" s="15">
        <v>26</v>
      </c>
      <c r="K200" s="57">
        <v>533.61346153846159</v>
      </c>
      <c r="L200" s="15">
        <v>13873.950000000003</v>
      </c>
      <c r="M200" s="15" t="s">
        <v>364</v>
      </c>
      <c r="N200" s="15" t="s">
        <v>364</v>
      </c>
      <c r="O200" s="15" t="s">
        <v>364</v>
      </c>
      <c r="P200" s="15" t="s">
        <v>364</v>
      </c>
      <c r="Q200" s="15" t="s">
        <v>364</v>
      </c>
      <c r="R200" s="15" t="s">
        <v>364</v>
      </c>
      <c r="S200" s="15" t="s">
        <v>364</v>
      </c>
      <c r="T200" s="15" t="s">
        <v>364</v>
      </c>
      <c r="U200" s="17" t="s">
        <v>364</v>
      </c>
      <c r="V200" s="17" t="s">
        <v>364</v>
      </c>
      <c r="W200" s="17" t="s">
        <v>364</v>
      </c>
      <c r="X200" s="17" t="s">
        <v>364</v>
      </c>
      <c r="Y200" s="17">
        <v>-0.59375</v>
      </c>
      <c r="Z200" s="17">
        <v>-0.50789380342638235</v>
      </c>
      <c r="AA200" s="86"/>
      <c r="AB200" s="86"/>
    </row>
    <row r="201" spans="1:28" hidden="1" outlineLevel="1" x14ac:dyDescent="0.25">
      <c r="A201" s="21" t="s">
        <v>367</v>
      </c>
      <c r="B201" s="21" t="s">
        <v>688</v>
      </c>
      <c r="C201" s="21" t="s">
        <v>363</v>
      </c>
      <c r="D201" s="15">
        <v>0</v>
      </c>
      <c r="E201" s="57" t="s">
        <v>364</v>
      </c>
      <c r="F201" s="15">
        <v>0</v>
      </c>
      <c r="G201" s="15">
        <v>12</v>
      </c>
      <c r="H201" s="57">
        <v>691.25</v>
      </c>
      <c r="I201" s="15">
        <v>8295</v>
      </c>
      <c r="J201" s="15">
        <v>20</v>
      </c>
      <c r="K201" s="57">
        <v>602.86800000000005</v>
      </c>
      <c r="L201" s="15">
        <v>12057.36</v>
      </c>
      <c r="M201" s="15" t="s">
        <v>364</v>
      </c>
      <c r="N201" s="15" t="s">
        <v>364</v>
      </c>
      <c r="O201" s="15" t="s">
        <v>364</v>
      </c>
      <c r="P201" s="15" t="s">
        <v>364</v>
      </c>
      <c r="Q201" s="15" t="s">
        <v>364</v>
      </c>
      <c r="R201" s="15" t="s">
        <v>364</v>
      </c>
      <c r="S201" s="15" t="s">
        <v>364</v>
      </c>
      <c r="T201" s="15" t="s">
        <v>364</v>
      </c>
      <c r="U201" s="17" t="s">
        <v>364</v>
      </c>
      <c r="V201" s="17" t="s">
        <v>364</v>
      </c>
      <c r="W201" s="17" t="s">
        <v>364</v>
      </c>
      <c r="X201" s="17" t="s">
        <v>364</v>
      </c>
      <c r="Y201" s="17">
        <v>0.66666666666666663</v>
      </c>
      <c r="Z201" s="17">
        <v>0.45356962025316461</v>
      </c>
      <c r="AA201" s="86"/>
      <c r="AB201" s="86"/>
    </row>
    <row r="202" spans="1:28" collapsed="1" x14ac:dyDescent="0.25">
      <c r="A202" s="5" t="s">
        <v>207</v>
      </c>
      <c r="B202" s="5" t="s">
        <v>50</v>
      </c>
      <c r="C202" s="5" t="s">
        <v>269</v>
      </c>
      <c r="D202" s="6">
        <v>0</v>
      </c>
      <c r="E202" s="53" t="s">
        <v>364</v>
      </c>
      <c r="F202" s="6">
        <v>0</v>
      </c>
      <c r="G202" s="6">
        <v>0</v>
      </c>
      <c r="H202" s="53" t="s">
        <v>364</v>
      </c>
      <c r="I202" s="6">
        <v>0</v>
      </c>
      <c r="J202" s="6">
        <v>180</v>
      </c>
      <c r="K202" s="53">
        <v>356.64722222222218</v>
      </c>
      <c r="L202" s="6">
        <v>64196.499999999993</v>
      </c>
      <c r="M202" s="6">
        <v>136.87826086956522</v>
      </c>
      <c r="N202" s="6">
        <v>396.77849999999995</v>
      </c>
      <c r="O202" s="6">
        <v>54310.35103043478</v>
      </c>
      <c r="P202" s="6">
        <v>43.121739130434776</v>
      </c>
      <c r="Q202" s="6">
        <v>-40.131277777777768</v>
      </c>
      <c r="R202" s="6">
        <v>9886.1489695652126</v>
      </c>
      <c r="S202" s="6">
        <v>-7223.6299999999983</v>
      </c>
      <c r="T202" s="6">
        <v>17109.778969565214</v>
      </c>
      <c r="U202" s="8">
        <v>1.3150371640937677</v>
      </c>
      <c r="V202" s="8">
        <v>1.1820306586496772</v>
      </c>
      <c r="W202" s="8" t="s">
        <v>364</v>
      </c>
      <c r="X202" s="8" t="s">
        <v>364</v>
      </c>
      <c r="Y202" s="8" t="s">
        <v>364</v>
      </c>
      <c r="Z202" s="8" t="s">
        <v>364</v>
      </c>
      <c r="AA202" s="86"/>
      <c r="AB202" s="86"/>
    </row>
    <row r="203" spans="1:28" hidden="1" outlineLevel="1" x14ac:dyDescent="0.25">
      <c r="A203" s="21" t="s">
        <v>367</v>
      </c>
      <c r="B203" s="21" t="s">
        <v>689</v>
      </c>
      <c r="C203" s="21" t="s">
        <v>362</v>
      </c>
      <c r="D203" s="15">
        <v>0</v>
      </c>
      <c r="E203" s="57" t="s">
        <v>364</v>
      </c>
      <c r="F203" s="15">
        <v>0</v>
      </c>
      <c r="G203" s="15">
        <v>0</v>
      </c>
      <c r="H203" s="57" t="s">
        <v>364</v>
      </c>
      <c r="I203" s="15">
        <v>0</v>
      </c>
      <c r="J203" s="15">
        <v>142</v>
      </c>
      <c r="K203" s="57">
        <v>324.5568309859155</v>
      </c>
      <c r="L203" s="15">
        <v>46087.07</v>
      </c>
      <c r="M203" s="15" t="s">
        <v>364</v>
      </c>
      <c r="N203" s="15" t="s">
        <v>364</v>
      </c>
      <c r="O203" s="15" t="s">
        <v>364</v>
      </c>
      <c r="P203" s="15" t="s">
        <v>364</v>
      </c>
      <c r="Q203" s="15" t="s">
        <v>364</v>
      </c>
      <c r="R203" s="15" t="s">
        <v>364</v>
      </c>
      <c r="S203" s="15" t="s">
        <v>364</v>
      </c>
      <c r="T203" s="15" t="s">
        <v>364</v>
      </c>
      <c r="U203" s="17" t="s">
        <v>364</v>
      </c>
      <c r="V203" s="17" t="s">
        <v>364</v>
      </c>
      <c r="W203" s="17" t="s">
        <v>364</v>
      </c>
      <c r="X203" s="17" t="s">
        <v>364</v>
      </c>
      <c r="Y203" s="17" t="s">
        <v>364</v>
      </c>
      <c r="Z203" s="17" t="s">
        <v>364</v>
      </c>
      <c r="AA203" s="86"/>
      <c r="AB203" s="86"/>
    </row>
    <row r="204" spans="1:28" hidden="1" outlineLevel="1" x14ac:dyDescent="0.25">
      <c r="A204" s="21" t="s">
        <v>367</v>
      </c>
      <c r="B204" s="21" t="s">
        <v>690</v>
      </c>
      <c r="C204" s="21" t="s">
        <v>363</v>
      </c>
      <c r="D204" s="15">
        <v>0</v>
      </c>
      <c r="E204" s="57" t="s">
        <v>364</v>
      </c>
      <c r="F204" s="15">
        <v>0</v>
      </c>
      <c r="G204" s="15">
        <v>0</v>
      </c>
      <c r="H204" s="57" t="s">
        <v>364</v>
      </c>
      <c r="I204" s="15">
        <v>0</v>
      </c>
      <c r="J204" s="15">
        <v>38</v>
      </c>
      <c r="K204" s="57">
        <v>476.56394736842105</v>
      </c>
      <c r="L204" s="15">
        <v>18109.43</v>
      </c>
      <c r="M204" s="15" t="s">
        <v>364</v>
      </c>
      <c r="N204" s="15" t="s">
        <v>364</v>
      </c>
      <c r="O204" s="15" t="s">
        <v>364</v>
      </c>
      <c r="P204" s="15" t="s">
        <v>364</v>
      </c>
      <c r="Q204" s="15" t="s">
        <v>364</v>
      </c>
      <c r="R204" s="15" t="s">
        <v>364</v>
      </c>
      <c r="S204" s="15" t="s">
        <v>364</v>
      </c>
      <c r="T204" s="15" t="s">
        <v>364</v>
      </c>
      <c r="U204" s="17" t="s">
        <v>364</v>
      </c>
      <c r="V204" s="17" t="s">
        <v>364</v>
      </c>
      <c r="W204" s="17" t="s">
        <v>364</v>
      </c>
      <c r="X204" s="17" t="s">
        <v>364</v>
      </c>
      <c r="Y204" s="17" t="s">
        <v>364</v>
      </c>
      <c r="Z204" s="17" t="s">
        <v>364</v>
      </c>
      <c r="AA204" s="86"/>
      <c r="AB204" s="86"/>
    </row>
    <row r="205" spans="1:28" collapsed="1" x14ac:dyDescent="0.25">
      <c r="A205" s="5" t="s">
        <v>208</v>
      </c>
      <c r="B205" s="5" t="s">
        <v>219</v>
      </c>
      <c r="C205" s="5" t="s">
        <v>271</v>
      </c>
      <c r="D205" s="6">
        <v>0</v>
      </c>
      <c r="E205" s="53" t="s">
        <v>364</v>
      </c>
      <c r="F205" s="6">
        <v>0</v>
      </c>
      <c r="G205" s="6">
        <v>0</v>
      </c>
      <c r="H205" s="53" t="s">
        <v>364</v>
      </c>
      <c r="I205" s="6">
        <v>0</v>
      </c>
      <c r="J205" s="6">
        <v>58</v>
      </c>
      <c r="K205" s="53">
        <v>500.76896551724144</v>
      </c>
      <c r="L205" s="6">
        <v>29044.600000000002</v>
      </c>
      <c r="M205" s="6">
        <v>59.758695652173905</v>
      </c>
      <c r="N205" s="6">
        <v>409.51459999999997</v>
      </c>
      <c r="O205" s="6">
        <v>24472.058346521735</v>
      </c>
      <c r="P205" s="6">
        <v>-1.7586956521739054</v>
      </c>
      <c r="Q205" s="6">
        <v>91.254365517241467</v>
      </c>
      <c r="R205" s="6">
        <v>4572.5416534782671</v>
      </c>
      <c r="S205" s="6">
        <v>5292.7532000000047</v>
      </c>
      <c r="T205" s="6">
        <v>-720.21154652173595</v>
      </c>
      <c r="U205" s="8">
        <v>0.97057004620029841</v>
      </c>
      <c r="V205" s="8">
        <v>1.1868474481685016</v>
      </c>
      <c r="W205" s="8" t="s">
        <v>364</v>
      </c>
      <c r="X205" s="8" t="s">
        <v>364</v>
      </c>
      <c r="Y205" s="8" t="s">
        <v>364</v>
      </c>
      <c r="Z205" s="8" t="s">
        <v>364</v>
      </c>
      <c r="AA205" s="86"/>
      <c r="AB205" s="86"/>
    </row>
    <row r="206" spans="1:28" hidden="1" outlineLevel="1" x14ac:dyDescent="0.25">
      <c r="A206" s="21" t="s">
        <v>367</v>
      </c>
      <c r="B206" s="21" t="s">
        <v>693</v>
      </c>
      <c r="C206" s="21" t="s">
        <v>362</v>
      </c>
      <c r="D206" s="15">
        <v>0</v>
      </c>
      <c r="E206" s="57" t="s">
        <v>364</v>
      </c>
      <c r="F206" s="15">
        <v>0</v>
      </c>
      <c r="G206" s="15">
        <v>0</v>
      </c>
      <c r="H206" s="57" t="s">
        <v>364</v>
      </c>
      <c r="I206" s="15">
        <v>0</v>
      </c>
      <c r="J206" s="15">
        <v>49</v>
      </c>
      <c r="K206" s="57">
        <v>444.58367346938775</v>
      </c>
      <c r="L206" s="15">
        <v>21784.6</v>
      </c>
      <c r="M206" s="15" t="s">
        <v>364</v>
      </c>
      <c r="N206" s="15" t="s">
        <v>364</v>
      </c>
      <c r="O206" s="15" t="s">
        <v>364</v>
      </c>
      <c r="P206" s="15" t="s">
        <v>364</v>
      </c>
      <c r="Q206" s="15" t="s">
        <v>364</v>
      </c>
      <c r="R206" s="15" t="s">
        <v>364</v>
      </c>
      <c r="S206" s="15" t="s">
        <v>364</v>
      </c>
      <c r="T206" s="15" t="s">
        <v>364</v>
      </c>
      <c r="U206" s="17" t="s">
        <v>364</v>
      </c>
      <c r="V206" s="17" t="s">
        <v>364</v>
      </c>
      <c r="W206" s="17" t="s">
        <v>364</v>
      </c>
      <c r="X206" s="17" t="s">
        <v>364</v>
      </c>
      <c r="Y206" s="17" t="s">
        <v>364</v>
      </c>
      <c r="Z206" s="17" t="s">
        <v>364</v>
      </c>
      <c r="AA206" s="86"/>
      <c r="AB206" s="86"/>
    </row>
    <row r="207" spans="1:28" hidden="1" outlineLevel="1" x14ac:dyDescent="0.25">
      <c r="A207" s="21" t="s">
        <v>367</v>
      </c>
      <c r="B207" s="21" t="s">
        <v>694</v>
      </c>
      <c r="C207" s="21" t="s">
        <v>363</v>
      </c>
      <c r="D207" s="15">
        <v>0</v>
      </c>
      <c r="E207" s="57" t="s">
        <v>364</v>
      </c>
      <c r="F207" s="15">
        <v>0</v>
      </c>
      <c r="G207" s="15">
        <v>0</v>
      </c>
      <c r="H207" s="57" t="s">
        <v>364</v>
      </c>
      <c r="I207" s="15">
        <v>0</v>
      </c>
      <c r="J207" s="15">
        <v>9</v>
      </c>
      <c r="K207" s="57">
        <v>806.66666666666663</v>
      </c>
      <c r="L207" s="15">
        <v>7260</v>
      </c>
      <c r="M207" s="15" t="s">
        <v>364</v>
      </c>
      <c r="N207" s="15" t="s">
        <v>364</v>
      </c>
      <c r="O207" s="15" t="s">
        <v>364</v>
      </c>
      <c r="P207" s="15" t="s">
        <v>364</v>
      </c>
      <c r="Q207" s="15" t="s">
        <v>364</v>
      </c>
      <c r="R207" s="15" t="s">
        <v>364</v>
      </c>
      <c r="S207" s="15" t="s">
        <v>364</v>
      </c>
      <c r="T207" s="15" t="s">
        <v>364</v>
      </c>
      <c r="U207" s="17" t="s">
        <v>364</v>
      </c>
      <c r="V207" s="17" t="s">
        <v>364</v>
      </c>
      <c r="W207" s="17" t="s">
        <v>364</v>
      </c>
      <c r="X207" s="17" t="s">
        <v>364</v>
      </c>
      <c r="Y207" s="17" t="s">
        <v>364</v>
      </c>
      <c r="Z207" s="17" t="s">
        <v>364</v>
      </c>
      <c r="AA207" s="86"/>
      <c r="AB207" s="86"/>
    </row>
    <row r="208" spans="1:28" collapsed="1" x14ac:dyDescent="0.25">
      <c r="A208" s="5" t="s">
        <v>207</v>
      </c>
      <c r="B208" s="5" t="s">
        <v>209</v>
      </c>
      <c r="C208" s="5" t="s">
        <v>712</v>
      </c>
      <c r="D208" s="6">
        <v>25</v>
      </c>
      <c r="E208" s="53">
        <v>661.8</v>
      </c>
      <c r="F208" s="6">
        <v>16545</v>
      </c>
      <c r="G208" s="6">
        <v>21</v>
      </c>
      <c r="H208" s="53">
        <v>640.71428571428567</v>
      </c>
      <c r="I208" s="6">
        <v>13455</v>
      </c>
      <c r="J208" s="6">
        <v>57</v>
      </c>
      <c r="K208" s="53">
        <v>241.8140350877193</v>
      </c>
      <c r="L208" s="6">
        <v>13783.4</v>
      </c>
      <c r="M208" s="6">
        <v>73.986956521739131</v>
      </c>
      <c r="N208" s="6">
        <v>290.97089999999997</v>
      </c>
      <c r="O208" s="6">
        <v>21528.051327391302</v>
      </c>
      <c r="P208" s="6">
        <v>-16.986956521739131</v>
      </c>
      <c r="Q208" s="6">
        <v>-49.156864912280668</v>
      </c>
      <c r="R208" s="6">
        <v>-7744.6513273913024</v>
      </c>
      <c r="S208" s="6">
        <v>-2801.9412999999981</v>
      </c>
      <c r="T208" s="6">
        <v>-4942.7100273913038</v>
      </c>
      <c r="U208" s="8">
        <v>0.77040606452371152</v>
      </c>
      <c r="V208" s="8">
        <v>0.64025302570988563</v>
      </c>
      <c r="W208" s="8">
        <v>1.28</v>
      </c>
      <c r="X208" s="8">
        <v>-0.16691447567240861</v>
      </c>
      <c r="Y208" s="8">
        <v>1.7142857142857142</v>
      </c>
      <c r="Z208" s="8">
        <v>2.4407283537718292E-2</v>
      </c>
      <c r="AA208" s="86"/>
      <c r="AB208" s="86"/>
    </row>
    <row r="209" spans="1:28" hidden="1" outlineLevel="1" x14ac:dyDescent="0.25">
      <c r="A209" s="21" t="s">
        <v>367</v>
      </c>
      <c r="B209" s="21" t="s">
        <v>713</v>
      </c>
      <c r="C209" s="21" t="s">
        <v>362</v>
      </c>
      <c r="D209" s="15">
        <v>24</v>
      </c>
      <c r="E209" s="57">
        <v>688.66666666666663</v>
      </c>
      <c r="F209" s="15">
        <v>16528</v>
      </c>
      <c r="G209" s="15">
        <v>20</v>
      </c>
      <c r="H209" s="57">
        <v>672.05</v>
      </c>
      <c r="I209" s="15">
        <v>13441</v>
      </c>
      <c r="J209" s="15">
        <v>52</v>
      </c>
      <c r="K209" s="57">
        <v>251.94230769230768</v>
      </c>
      <c r="L209" s="15">
        <v>13101</v>
      </c>
      <c r="M209" s="15" t="s">
        <v>364</v>
      </c>
      <c r="N209" s="15" t="s">
        <v>364</v>
      </c>
      <c r="O209" s="15" t="s">
        <v>364</v>
      </c>
      <c r="P209" s="15" t="s">
        <v>364</v>
      </c>
      <c r="Q209" s="15" t="s">
        <v>364</v>
      </c>
      <c r="R209" s="15" t="s">
        <v>364</v>
      </c>
      <c r="S209" s="15" t="s">
        <v>364</v>
      </c>
      <c r="T209" s="15" t="s">
        <v>364</v>
      </c>
      <c r="U209" s="17" t="s">
        <v>364</v>
      </c>
      <c r="V209" s="17" t="s">
        <v>364</v>
      </c>
      <c r="W209" s="17">
        <v>1.1666666666666667</v>
      </c>
      <c r="X209" s="17">
        <v>-0.20734511132623426</v>
      </c>
      <c r="Y209" s="17">
        <v>1.6</v>
      </c>
      <c r="Z209" s="17">
        <v>-2.5295736924335985E-2</v>
      </c>
      <c r="AA209" s="86"/>
      <c r="AB209" s="86"/>
    </row>
    <row r="210" spans="1:28" hidden="1" outlineLevel="1" x14ac:dyDescent="0.25">
      <c r="A210" s="21" t="s">
        <v>367</v>
      </c>
      <c r="B210" s="21" t="s">
        <v>714</v>
      </c>
      <c r="C210" s="21" t="s">
        <v>363</v>
      </c>
      <c r="D210" s="15">
        <v>1</v>
      </c>
      <c r="E210" s="57">
        <v>17</v>
      </c>
      <c r="F210" s="15">
        <v>17</v>
      </c>
      <c r="G210" s="15">
        <v>0</v>
      </c>
      <c r="H210" s="57" t="s">
        <v>364</v>
      </c>
      <c r="I210" s="15">
        <v>14</v>
      </c>
      <c r="J210" s="15">
        <v>5</v>
      </c>
      <c r="K210" s="57">
        <v>136.47999999999999</v>
      </c>
      <c r="L210" s="15">
        <v>682.4</v>
      </c>
      <c r="M210" s="15" t="s">
        <v>364</v>
      </c>
      <c r="N210" s="15" t="s">
        <v>364</v>
      </c>
      <c r="O210" s="15" t="s">
        <v>364</v>
      </c>
      <c r="P210" s="15" t="s">
        <v>364</v>
      </c>
      <c r="Q210" s="15" t="s">
        <v>364</v>
      </c>
      <c r="R210" s="15" t="s">
        <v>364</v>
      </c>
      <c r="S210" s="15" t="s">
        <v>364</v>
      </c>
      <c r="T210" s="15" t="s">
        <v>364</v>
      </c>
      <c r="U210" s="17" t="s">
        <v>364</v>
      </c>
      <c r="V210" s="17" t="s">
        <v>364</v>
      </c>
      <c r="W210" s="17">
        <v>4</v>
      </c>
      <c r="X210" s="17">
        <v>39.141176470588235</v>
      </c>
      <c r="Y210" s="17" t="s">
        <v>364</v>
      </c>
      <c r="Z210" s="17">
        <v>47.74285714285714</v>
      </c>
      <c r="AA210" s="86"/>
      <c r="AB210" s="86"/>
    </row>
    <row r="211" spans="1:28" collapsed="1" x14ac:dyDescent="0.25">
      <c r="A211" s="5" t="s">
        <v>207</v>
      </c>
      <c r="B211" s="5" t="s">
        <v>216</v>
      </c>
      <c r="C211" s="5" t="s">
        <v>273</v>
      </c>
      <c r="D211" s="6">
        <v>0</v>
      </c>
      <c r="E211" s="53" t="s">
        <v>364</v>
      </c>
      <c r="F211" s="6">
        <v>0</v>
      </c>
      <c r="G211" s="6">
        <v>0</v>
      </c>
      <c r="H211" s="53" t="s">
        <v>364</v>
      </c>
      <c r="I211" s="6">
        <v>0</v>
      </c>
      <c r="J211" s="6">
        <v>31</v>
      </c>
      <c r="K211" s="53">
        <v>558.78516129032255</v>
      </c>
      <c r="L211" s="6">
        <v>17322.34</v>
      </c>
      <c r="M211" s="6">
        <v>52.929130434782607</v>
      </c>
      <c r="N211" s="6">
        <v>600.55610000000001</v>
      </c>
      <c r="O211" s="6">
        <v>31786.912150304346</v>
      </c>
      <c r="P211" s="6">
        <v>-21.929130434782607</v>
      </c>
      <c r="Q211" s="6">
        <v>-41.770938709677466</v>
      </c>
      <c r="R211" s="6">
        <v>-14464.572150304346</v>
      </c>
      <c r="S211" s="6">
        <v>-1294.8991000000015</v>
      </c>
      <c r="T211" s="6">
        <v>-13169.673050304347</v>
      </c>
      <c r="U211" s="8">
        <v>0.58568882098293862</v>
      </c>
      <c r="V211" s="8">
        <v>0.54495195752551717</v>
      </c>
      <c r="W211" s="8" t="s">
        <v>364</v>
      </c>
      <c r="X211" s="8" t="s">
        <v>364</v>
      </c>
      <c r="Y211" s="8" t="s">
        <v>364</v>
      </c>
      <c r="Z211" s="8" t="s">
        <v>364</v>
      </c>
      <c r="AA211" s="86"/>
      <c r="AB211" s="86"/>
    </row>
    <row r="212" spans="1:28" hidden="1" outlineLevel="1" x14ac:dyDescent="0.25">
      <c r="A212" s="21" t="s">
        <v>367</v>
      </c>
      <c r="B212" s="21" t="s">
        <v>697</v>
      </c>
      <c r="C212" s="21" t="s">
        <v>362</v>
      </c>
      <c r="D212" s="15">
        <v>0</v>
      </c>
      <c r="E212" s="57" t="s">
        <v>364</v>
      </c>
      <c r="F212" s="15">
        <v>0</v>
      </c>
      <c r="G212" s="15">
        <v>0</v>
      </c>
      <c r="H212" s="57" t="s">
        <v>364</v>
      </c>
      <c r="I212" s="15">
        <v>0</v>
      </c>
      <c r="J212" s="15">
        <v>28</v>
      </c>
      <c r="K212" s="57">
        <v>563.95035714285711</v>
      </c>
      <c r="L212" s="15">
        <v>15790.61</v>
      </c>
      <c r="M212" s="15" t="s">
        <v>364</v>
      </c>
      <c r="N212" s="15" t="s">
        <v>364</v>
      </c>
      <c r="O212" s="15" t="s">
        <v>364</v>
      </c>
      <c r="P212" s="15" t="s">
        <v>364</v>
      </c>
      <c r="Q212" s="15" t="s">
        <v>364</v>
      </c>
      <c r="R212" s="15" t="s">
        <v>364</v>
      </c>
      <c r="S212" s="15" t="s">
        <v>364</v>
      </c>
      <c r="T212" s="15" t="s">
        <v>364</v>
      </c>
      <c r="U212" s="17" t="s">
        <v>364</v>
      </c>
      <c r="V212" s="17" t="s">
        <v>364</v>
      </c>
      <c r="W212" s="17" t="s">
        <v>364</v>
      </c>
      <c r="X212" s="17" t="s">
        <v>364</v>
      </c>
      <c r="Y212" s="17" t="s">
        <v>364</v>
      </c>
      <c r="Z212" s="17" t="s">
        <v>364</v>
      </c>
      <c r="AA212" s="86"/>
      <c r="AB212" s="86"/>
    </row>
    <row r="213" spans="1:28" hidden="1" outlineLevel="1" x14ac:dyDescent="0.25">
      <c r="A213" s="21" t="s">
        <v>367</v>
      </c>
      <c r="B213" s="21" t="s">
        <v>698</v>
      </c>
      <c r="C213" s="21" t="s">
        <v>363</v>
      </c>
      <c r="D213" s="15">
        <v>0</v>
      </c>
      <c r="E213" s="57" t="s">
        <v>364</v>
      </c>
      <c r="F213" s="15">
        <v>0</v>
      </c>
      <c r="G213" s="15">
        <v>0</v>
      </c>
      <c r="H213" s="57" t="s">
        <v>364</v>
      </c>
      <c r="I213" s="15">
        <v>0</v>
      </c>
      <c r="J213" s="15">
        <v>3</v>
      </c>
      <c r="K213" s="57">
        <v>510.57666666666665</v>
      </c>
      <c r="L213" s="15">
        <v>1531.73</v>
      </c>
      <c r="M213" s="15" t="s">
        <v>364</v>
      </c>
      <c r="N213" s="15" t="s">
        <v>364</v>
      </c>
      <c r="O213" s="15" t="s">
        <v>364</v>
      </c>
      <c r="P213" s="15" t="s">
        <v>364</v>
      </c>
      <c r="Q213" s="15" t="s">
        <v>364</v>
      </c>
      <c r="R213" s="15" t="s">
        <v>364</v>
      </c>
      <c r="S213" s="15" t="s">
        <v>364</v>
      </c>
      <c r="T213" s="15" t="s">
        <v>364</v>
      </c>
      <c r="U213" s="17" t="s">
        <v>364</v>
      </c>
      <c r="V213" s="17" t="s">
        <v>364</v>
      </c>
      <c r="W213" s="17" t="s">
        <v>364</v>
      </c>
      <c r="X213" s="17" t="s">
        <v>364</v>
      </c>
      <c r="Y213" s="17" t="s">
        <v>364</v>
      </c>
      <c r="Z213" s="17" t="s">
        <v>364</v>
      </c>
      <c r="AA213" s="86"/>
      <c r="AB213" s="86"/>
    </row>
    <row r="214" spans="1:28" collapsed="1" x14ac:dyDescent="0.25">
      <c r="A214" s="5" t="s">
        <v>208</v>
      </c>
      <c r="B214" s="5" t="s">
        <v>210</v>
      </c>
      <c r="C214" s="5" t="s">
        <v>274</v>
      </c>
      <c r="D214" s="6">
        <v>52</v>
      </c>
      <c r="E214" s="53">
        <v>194.65384615384616</v>
      </c>
      <c r="F214" s="6">
        <v>10122</v>
      </c>
      <c r="G214" s="6">
        <v>44</v>
      </c>
      <c r="H214" s="53">
        <v>290.06818181818181</v>
      </c>
      <c r="I214" s="6">
        <v>12763</v>
      </c>
      <c r="J214" s="6">
        <v>21</v>
      </c>
      <c r="K214" s="53">
        <v>186.33333333333334</v>
      </c>
      <c r="L214" s="6">
        <v>3913</v>
      </c>
      <c r="M214" s="6">
        <v>56.343913043478253</v>
      </c>
      <c r="N214" s="6">
        <v>276.27540000000005</v>
      </c>
      <c r="O214" s="6">
        <v>15566.437113652175</v>
      </c>
      <c r="P214" s="6">
        <v>-35.343913043478253</v>
      </c>
      <c r="Q214" s="6">
        <v>-89.942066666666705</v>
      </c>
      <c r="R214" s="6">
        <v>-11653.437113652175</v>
      </c>
      <c r="S214" s="6">
        <v>-1888.7834000000007</v>
      </c>
      <c r="T214" s="6">
        <v>-9764.6537136521729</v>
      </c>
      <c r="U214" s="8">
        <v>0.37271106789823372</v>
      </c>
      <c r="V214" s="8">
        <v>0.2513741565543085</v>
      </c>
      <c r="W214" s="8">
        <v>-0.59615384615384615</v>
      </c>
      <c r="X214" s="8">
        <v>-0.61341632088520059</v>
      </c>
      <c r="Y214" s="8">
        <v>-0.52272727272727271</v>
      </c>
      <c r="Z214" s="8">
        <v>-0.69341064013163045</v>
      </c>
      <c r="AA214" s="86"/>
      <c r="AB214" s="86"/>
    </row>
    <row r="215" spans="1:28" hidden="1" outlineLevel="1" x14ac:dyDescent="0.25">
      <c r="A215" s="21" t="s">
        <v>367</v>
      </c>
      <c r="B215" s="21" t="s">
        <v>699</v>
      </c>
      <c r="C215" s="21" t="s">
        <v>362</v>
      </c>
      <c r="D215" s="15">
        <v>49</v>
      </c>
      <c r="E215" s="57">
        <v>190.26530612244898</v>
      </c>
      <c r="F215" s="15">
        <v>9323</v>
      </c>
      <c r="G215" s="15">
        <v>41</v>
      </c>
      <c r="H215" s="57">
        <v>281.09756097560978</v>
      </c>
      <c r="I215" s="15">
        <v>11525</v>
      </c>
      <c r="J215" s="15">
        <v>18</v>
      </c>
      <c r="K215" s="57">
        <v>186.11111111111111</v>
      </c>
      <c r="L215" s="15">
        <v>3350</v>
      </c>
      <c r="M215" s="15" t="s">
        <v>364</v>
      </c>
      <c r="N215" s="15" t="s">
        <v>364</v>
      </c>
      <c r="O215" s="15" t="s">
        <v>364</v>
      </c>
      <c r="P215" s="15" t="s">
        <v>364</v>
      </c>
      <c r="Q215" s="15" t="s">
        <v>364</v>
      </c>
      <c r="R215" s="15" t="s">
        <v>364</v>
      </c>
      <c r="S215" s="15" t="s">
        <v>364</v>
      </c>
      <c r="T215" s="15" t="s">
        <v>364</v>
      </c>
      <c r="U215" s="17" t="s">
        <v>364</v>
      </c>
      <c r="V215" s="17" t="s">
        <v>364</v>
      </c>
      <c r="W215" s="17">
        <v>-0.63265306122448983</v>
      </c>
      <c r="X215" s="17">
        <v>-0.64067360291751585</v>
      </c>
      <c r="Y215" s="17">
        <v>-0.56097560975609762</v>
      </c>
      <c r="Z215" s="17">
        <v>-0.70932754880694138</v>
      </c>
      <c r="AA215" s="86"/>
      <c r="AB215" s="86"/>
    </row>
    <row r="216" spans="1:28" hidden="1" outlineLevel="1" x14ac:dyDescent="0.25">
      <c r="A216" s="21" t="s">
        <v>367</v>
      </c>
      <c r="B216" s="21" t="s">
        <v>700</v>
      </c>
      <c r="C216" s="21" t="s">
        <v>363</v>
      </c>
      <c r="D216" s="15">
        <v>3</v>
      </c>
      <c r="E216" s="57">
        <v>266.33333333333331</v>
      </c>
      <c r="F216" s="15">
        <v>799</v>
      </c>
      <c r="G216" s="15">
        <v>3</v>
      </c>
      <c r="H216" s="57">
        <v>412.66666666666669</v>
      </c>
      <c r="I216" s="15">
        <v>1238</v>
      </c>
      <c r="J216" s="15">
        <v>3</v>
      </c>
      <c r="K216" s="57">
        <v>187.66666666666666</v>
      </c>
      <c r="L216" s="15">
        <v>563</v>
      </c>
      <c r="M216" s="15" t="s">
        <v>364</v>
      </c>
      <c r="N216" s="15" t="s">
        <v>364</v>
      </c>
      <c r="O216" s="15" t="s">
        <v>364</v>
      </c>
      <c r="P216" s="15" t="s">
        <v>364</v>
      </c>
      <c r="Q216" s="15" t="s">
        <v>364</v>
      </c>
      <c r="R216" s="15" t="s">
        <v>364</v>
      </c>
      <c r="S216" s="15" t="s">
        <v>364</v>
      </c>
      <c r="T216" s="15" t="s">
        <v>364</v>
      </c>
      <c r="U216" s="17" t="s">
        <v>364</v>
      </c>
      <c r="V216" s="17" t="s">
        <v>364</v>
      </c>
      <c r="W216" s="17">
        <v>0</v>
      </c>
      <c r="X216" s="17">
        <v>-0.29536921151439299</v>
      </c>
      <c r="Y216" s="17">
        <v>0</v>
      </c>
      <c r="Z216" s="17">
        <v>-0.54523424878836835</v>
      </c>
      <c r="AA216" s="86"/>
      <c r="AB216" s="86"/>
    </row>
    <row r="217" spans="1:28" collapsed="1" x14ac:dyDescent="0.25">
      <c r="A217" s="5" t="s">
        <v>208</v>
      </c>
      <c r="B217" s="5" t="s">
        <v>209</v>
      </c>
      <c r="C217" s="5" t="s">
        <v>276</v>
      </c>
      <c r="D217" s="6">
        <v>63</v>
      </c>
      <c r="E217" s="53">
        <v>453.28571428571428</v>
      </c>
      <c r="F217" s="6">
        <v>28557</v>
      </c>
      <c r="G217" s="6">
        <v>78</v>
      </c>
      <c r="H217" s="53">
        <v>454.53846153846155</v>
      </c>
      <c r="I217" s="6">
        <v>35454</v>
      </c>
      <c r="J217" s="6">
        <v>132</v>
      </c>
      <c r="K217" s="53">
        <v>411.08136363636356</v>
      </c>
      <c r="L217" s="6">
        <v>54262.739999999991</v>
      </c>
      <c r="M217" s="6">
        <v>101.30521739130435</v>
      </c>
      <c r="N217" s="6">
        <v>515</v>
      </c>
      <c r="O217" s="6">
        <v>52172.186956521742</v>
      </c>
      <c r="P217" s="6">
        <v>30.694782608695647</v>
      </c>
      <c r="Q217" s="6">
        <v>-103.91863636363644</v>
      </c>
      <c r="R217" s="6">
        <v>2090.5530434782486</v>
      </c>
      <c r="S217" s="6">
        <v>-13717.260000000009</v>
      </c>
      <c r="T217" s="6">
        <v>15807.813043478258</v>
      </c>
      <c r="U217" s="8">
        <v>1.3029931073553016</v>
      </c>
      <c r="V217" s="8">
        <v>1.040070258991068</v>
      </c>
      <c r="W217" s="8">
        <v>1.0952380952380953</v>
      </c>
      <c r="X217" s="8">
        <v>0.90015547851665056</v>
      </c>
      <c r="Y217" s="8">
        <v>0.69230769230769229</v>
      </c>
      <c r="Z217" s="8">
        <v>0.53051108478591957</v>
      </c>
      <c r="AA217" s="86"/>
      <c r="AB217" s="86"/>
    </row>
    <row r="218" spans="1:28" hidden="1" outlineLevel="1" x14ac:dyDescent="0.25">
      <c r="A218" s="21" t="s">
        <v>367</v>
      </c>
      <c r="B218" s="21" t="s">
        <v>703</v>
      </c>
      <c r="C218" s="21" t="s">
        <v>362</v>
      </c>
      <c r="D218" s="15">
        <v>59</v>
      </c>
      <c r="E218" s="57">
        <v>460.76271186440675</v>
      </c>
      <c r="F218" s="15">
        <v>27185</v>
      </c>
      <c r="G218" s="15">
        <v>75</v>
      </c>
      <c r="H218" s="57">
        <v>459.81333333333333</v>
      </c>
      <c r="I218" s="15">
        <v>34486</v>
      </c>
      <c r="J218" s="15">
        <v>117</v>
      </c>
      <c r="K218" s="57">
        <v>420.63589743589745</v>
      </c>
      <c r="L218" s="15">
        <v>49214.400000000001</v>
      </c>
      <c r="M218" s="15" t="s">
        <v>364</v>
      </c>
      <c r="N218" s="15" t="s">
        <v>364</v>
      </c>
      <c r="O218" s="15" t="s">
        <v>364</v>
      </c>
      <c r="P218" s="15" t="s">
        <v>364</v>
      </c>
      <c r="Q218" s="15" t="s">
        <v>364</v>
      </c>
      <c r="R218" s="15" t="s">
        <v>364</v>
      </c>
      <c r="S218" s="15" t="s">
        <v>364</v>
      </c>
      <c r="T218" s="15" t="s">
        <v>364</v>
      </c>
      <c r="U218" s="17" t="s">
        <v>364</v>
      </c>
      <c r="V218" s="17" t="s">
        <v>364</v>
      </c>
      <c r="W218" s="17">
        <v>0.98305084745762716</v>
      </c>
      <c r="X218" s="17">
        <v>0.81035129667095829</v>
      </c>
      <c r="Y218" s="17">
        <v>0.56000000000000005</v>
      </c>
      <c r="Z218" s="17">
        <v>0.42708345415530946</v>
      </c>
      <c r="AA218" s="86"/>
      <c r="AB218" s="86"/>
    </row>
    <row r="219" spans="1:28" hidden="1" outlineLevel="1" x14ac:dyDescent="0.25">
      <c r="A219" s="21" t="s">
        <v>367</v>
      </c>
      <c r="B219" s="21" t="s">
        <v>704</v>
      </c>
      <c r="C219" s="21" t="s">
        <v>363</v>
      </c>
      <c r="D219" s="15">
        <v>4</v>
      </c>
      <c r="E219" s="57">
        <v>342.75</v>
      </c>
      <c r="F219" s="15">
        <v>1371</v>
      </c>
      <c r="G219" s="15">
        <v>3</v>
      </c>
      <c r="H219" s="57">
        <v>322.66666666666669</v>
      </c>
      <c r="I219" s="15">
        <v>968</v>
      </c>
      <c r="J219" s="15">
        <v>15</v>
      </c>
      <c r="K219" s="57">
        <v>336.55599999999993</v>
      </c>
      <c r="L219" s="15">
        <v>5048.3399999999992</v>
      </c>
      <c r="M219" s="15" t="s">
        <v>364</v>
      </c>
      <c r="N219" s="15" t="s">
        <v>364</v>
      </c>
      <c r="O219" s="15" t="s">
        <v>364</v>
      </c>
      <c r="P219" s="15" t="s">
        <v>364</v>
      </c>
      <c r="Q219" s="15" t="s">
        <v>364</v>
      </c>
      <c r="R219" s="15" t="s">
        <v>364</v>
      </c>
      <c r="S219" s="15" t="s">
        <v>364</v>
      </c>
      <c r="T219" s="15" t="s">
        <v>364</v>
      </c>
      <c r="U219" s="17" t="s">
        <v>364</v>
      </c>
      <c r="V219" s="17" t="s">
        <v>364</v>
      </c>
      <c r="W219" s="17">
        <v>2.75</v>
      </c>
      <c r="X219" s="17">
        <v>2.6822319474835883</v>
      </c>
      <c r="Y219" s="17">
        <v>4</v>
      </c>
      <c r="Z219" s="17">
        <v>4.2152272727272724</v>
      </c>
      <c r="AA219" s="86"/>
      <c r="AB219" s="86"/>
    </row>
    <row r="220" spans="1:28" collapsed="1" x14ac:dyDescent="0.25">
      <c r="A220" s="5" t="s">
        <v>208</v>
      </c>
      <c r="B220" s="5" t="s">
        <v>216</v>
      </c>
      <c r="C220" s="5" t="s">
        <v>277</v>
      </c>
      <c r="D220" s="6">
        <v>77</v>
      </c>
      <c r="E220" s="53">
        <v>515.53246753246754</v>
      </c>
      <c r="F220" s="6">
        <v>39696</v>
      </c>
      <c r="G220" s="6">
        <v>77</v>
      </c>
      <c r="H220" s="53">
        <v>759.2987012987013</v>
      </c>
      <c r="I220" s="6">
        <v>58466</v>
      </c>
      <c r="J220" s="6">
        <v>67</v>
      </c>
      <c r="K220" s="53">
        <v>699.54477611940297</v>
      </c>
      <c r="L220" s="6">
        <v>46869.5</v>
      </c>
      <c r="M220" s="6">
        <v>76.263478260869562</v>
      </c>
      <c r="N220" s="6">
        <v>707.34340000000009</v>
      </c>
      <c r="O220" s="6">
        <v>53944.468008869568</v>
      </c>
      <c r="P220" s="6">
        <v>-9.2634782608695616</v>
      </c>
      <c r="Q220" s="6">
        <v>-7.7986238805971198</v>
      </c>
      <c r="R220" s="6">
        <v>-7074.9680088695677</v>
      </c>
      <c r="S220" s="6">
        <v>-522.50780000000702</v>
      </c>
      <c r="T220" s="6">
        <v>-6552.4602088695638</v>
      </c>
      <c r="U220" s="8">
        <v>0.87853323147440798</v>
      </c>
      <c r="V220" s="8">
        <v>0.86884720027813978</v>
      </c>
      <c r="W220" s="8">
        <v>-0.12987012987012986</v>
      </c>
      <c r="X220" s="8">
        <v>0.18071090286174929</v>
      </c>
      <c r="Y220" s="8">
        <v>-0.12987012987012986</v>
      </c>
      <c r="Z220" s="8">
        <v>-0.19834604727533953</v>
      </c>
      <c r="AA220" s="86"/>
      <c r="AB220" s="86"/>
    </row>
    <row r="221" spans="1:28" hidden="1" outlineLevel="1" x14ac:dyDescent="0.25">
      <c r="A221" s="21" t="s">
        <v>367</v>
      </c>
      <c r="B221" s="21" t="s">
        <v>705</v>
      </c>
      <c r="C221" s="21" t="s">
        <v>362</v>
      </c>
      <c r="D221" s="15">
        <v>69</v>
      </c>
      <c r="E221" s="57">
        <v>524.66666666666663</v>
      </c>
      <c r="F221" s="15">
        <v>36202</v>
      </c>
      <c r="G221" s="15">
        <v>65</v>
      </c>
      <c r="H221" s="57">
        <v>773.67692307692312</v>
      </c>
      <c r="I221" s="15">
        <v>50289</v>
      </c>
      <c r="J221" s="15">
        <v>53</v>
      </c>
      <c r="K221" s="57">
        <v>733.29245283018872</v>
      </c>
      <c r="L221" s="15">
        <v>38864.5</v>
      </c>
      <c r="M221" s="15" t="s">
        <v>364</v>
      </c>
      <c r="N221" s="15" t="s">
        <v>364</v>
      </c>
      <c r="O221" s="15" t="s">
        <v>364</v>
      </c>
      <c r="P221" s="15" t="s">
        <v>364</v>
      </c>
      <c r="Q221" s="15" t="s">
        <v>364</v>
      </c>
      <c r="R221" s="15" t="s">
        <v>364</v>
      </c>
      <c r="S221" s="15" t="s">
        <v>364</v>
      </c>
      <c r="T221" s="15" t="s">
        <v>364</v>
      </c>
      <c r="U221" s="17" t="s">
        <v>364</v>
      </c>
      <c r="V221" s="17" t="s">
        <v>364</v>
      </c>
      <c r="W221" s="17">
        <v>-0.2318840579710145</v>
      </c>
      <c r="X221" s="17">
        <v>7.3545660460748022E-2</v>
      </c>
      <c r="Y221" s="17">
        <v>-0.18461538461538463</v>
      </c>
      <c r="Z221" s="17">
        <v>-0.22717691741732784</v>
      </c>
      <c r="AA221" s="86"/>
      <c r="AB221" s="86"/>
    </row>
    <row r="222" spans="1:28" hidden="1" outlineLevel="1" x14ac:dyDescent="0.25">
      <c r="A222" s="21" t="s">
        <v>367</v>
      </c>
      <c r="B222" s="21" t="s">
        <v>706</v>
      </c>
      <c r="C222" s="21" t="s">
        <v>363</v>
      </c>
      <c r="D222" s="15">
        <v>9</v>
      </c>
      <c r="E222" s="57">
        <v>388.22222222222223</v>
      </c>
      <c r="F222" s="15">
        <v>3494</v>
      </c>
      <c r="G222" s="15">
        <v>12</v>
      </c>
      <c r="H222" s="57">
        <v>681.33333333333337</v>
      </c>
      <c r="I222" s="15">
        <v>8176</v>
      </c>
      <c r="J222" s="15">
        <v>14</v>
      </c>
      <c r="K222" s="57">
        <v>571.78571428571433</v>
      </c>
      <c r="L222" s="15">
        <v>8005</v>
      </c>
      <c r="M222" s="15" t="s">
        <v>364</v>
      </c>
      <c r="N222" s="15" t="s">
        <v>364</v>
      </c>
      <c r="O222" s="15" t="s">
        <v>364</v>
      </c>
      <c r="P222" s="15" t="s">
        <v>364</v>
      </c>
      <c r="Q222" s="15" t="s">
        <v>364</v>
      </c>
      <c r="R222" s="15" t="s">
        <v>364</v>
      </c>
      <c r="S222" s="15" t="s">
        <v>364</v>
      </c>
      <c r="T222" s="15" t="s">
        <v>364</v>
      </c>
      <c r="U222" s="17" t="s">
        <v>364</v>
      </c>
      <c r="V222" s="17" t="s">
        <v>364</v>
      </c>
      <c r="W222" s="17">
        <v>0.55555555555555558</v>
      </c>
      <c r="X222" s="17">
        <v>1.2910704064109904</v>
      </c>
      <c r="Y222" s="17">
        <v>0.16666666666666666</v>
      </c>
      <c r="Z222" s="17">
        <v>-2.0914872798434441E-2</v>
      </c>
      <c r="AA222" s="86"/>
      <c r="AB222" s="86"/>
    </row>
    <row r="223" spans="1:28" collapsed="1" x14ac:dyDescent="0.25">
      <c r="A223" s="5" t="s">
        <v>207</v>
      </c>
      <c r="B223" s="5" t="s">
        <v>41</v>
      </c>
      <c r="C223" s="5" t="s">
        <v>260</v>
      </c>
      <c r="D223" s="6">
        <v>0</v>
      </c>
      <c r="E223" s="53" t="s">
        <v>364</v>
      </c>
      <c r="F223" s="6">
        <v>0</v>
      </c>
      <c r="G223" s="6">
        <v>0</v>
      </c>
      <c r="H223" s="53" t="s">
        <v>364</v>
      </c>
      <c r="I223" s="6">
        <v>0</v>
      </c>
      <c r="J223" s="6">
        <v>10</v>
      </c>
      <c r="K223" s="53">
        <v>895.827</v>
      </c>
      <c r="L223" s="6">
        <v>8958.27</v>
      </c>
      <c r="M223" s="6">
        <v>55.956521739130437</v>
      </c>
      <c r="N223" s="6">
        <v>440.86500000000001</v>
      </c>
      <c r="O223" s="6">
        <v>24669.271956521741</v>
      </c>
      <c r="P223" s="6">
        <v>-45.956521739130437</v>
      </c>
      <c r="Q223" s="6">
        <v>454.96199999999999</v>
      </c>
      <c r="R223" s="6">
        <v>-15711.001956521741</v>
      </c>
      <c r="S223" s="6">
        <v>4549.62</v>
      </c>
      <c r="T223" s="6">
        <v>-20260.62195652174</v>
      </c>
      <c r="U223" s="8">
        <v>0.17871017871017869</v>
      </c>
      <c r="V223" s="8">
        <v>0.36313475386661054</v>
      </c>
      <c r="W223" s="8" t="s">
        <v>364</v>
      </c>
      <c r="X223" s="8" t="s">
        <v>364</v>
      </c>
      <c r="Y223" s="8" t="s">
        <v>364</v>
      </c>
      <c r="Z223" s="8" t="s">
        <v>364</v>
      </c>
      <c r="AA223" s="86"/>
      <c r="AB223" s="86"/>
    </row>
    <row r="224" spans="1:28" hidden="1" outlineLevel="1" x14ac:dyDescent="0.25">
      <c r="A224" s="21" t="s">
        <v>367</v>
      </c>
      <c r="B224" s="21" t="s">
        <v>671</v>
      </c>
      <c r="C224" s="21" t="s">
        <v>362</v>
      </c>
      <c r="D224" s="15">
        <v>0</v>
      </c>
      <c r="E224" s="57" t="s">
        <v>364</v>
      </c>
      <c r="F224" s="15">
        <v>0</v>
      </c>
      <c r="G224" s="15">
        <v>0</v>
      </c>
      <c r="H224" s="57" t="s">
        <v>364</v>
      </c>
      <c r="I224" s="15">
        <v>0</v>
      </c>
      <c r="J224" s="15">
        <v>9</v>
      </c>
      <c r="K224" s="57">
        <v>990.04777777777781</v>
      </c>
      <c r="L224" s="15">
        <v>8910.43</v>
      </c>
      <c r="M224" s="15" t="s">
        <v>364</v>
      </c>
      <c r="N224" s="15" t="s">
        <v>364</v>
      </c>
      <c r="O224" s="15" t="s">
        <v>364</v>
      </c>
      <c r="P224" s="15" t="s">
        <v>364</v>
      </c>
      <c r="Q224" s="15" t="s">
        <v>364</v>
      </c>
      <c r="R224" s="15" t="s">
        <v>364</v>
      </c>
      <c r="S224" s="15" t="s">
        <v>364</v>
      </c>
      <c r="T224" s="15" t="s">
        <v>364</v>
      </c>
      <c r="U224" s="17" t="s">
        <v>364</v>
      </c>
      <c r="V224" s="17" t="s">
        <v>364</v>
      </c>
      <c r="W224" s="17" t="s">
        <v>364</v>
      </c>
      <c r="X224" s="17" t="s">
        <v>364</v>
      </c>
      <c r="Y224" s="17" t="s">
        <v>364</v>
      </c>
      <c r="Z224" s="17" t="s">
        <v>364</v>
      </c>
      <c r="AA224" s="86"/>
      <c r="AB224" s="86"/>
    </row>
    <row r="225" spans="1:28" hidden="1" outlineLevel="1" x14ac:dyDescent="0.25">
      <c r="A225" s="21" t="s">
        <v>367</v>
      </c>
      <c r="B225" s="21" t="s">
        <v>672</v>
      </c>
      <c r="C225" s="21" t="s">
        <v>363</v>
      </c>
      <c r="D225" s="15">
        <v>0</v>
      </c>
      <c r="E225" s="57" t="s">
        <v>364</v>
      </c>
      <c r="F225" s="15">
        <v>0</v>
      </c>
      <c r="G225" s="15">
        <v>0</v>
      </c>
      <c r="H225" s="57" t="s">
        <v>364</v>
      </c>
      <c r="I225" s="15">
        <v>0</v>
      </c>
      <c r="J225" s="15">
        <v>1</v>
      </c>
      <c r="K225" s="57">
        <v>47.84</v>
      </c>
      <c r="L225" s="15">
        <v>47.84</v>
      </c>
      <c r="M225" s="15" t="s">
        <v>364</v>
      </c>
      <c r="N225" s="15" t="s">
        <v>364</v>
      </c>
      <c r="O225" s="15" t="s">
        <v>364</v>
      </c>
      <c r="P225" s="15" t="s">
        <v>364</v>
      </c>
      <c r="Q225" s="15" t="s">
        <v>364</v>
      </c>
      <c r="R225" s="15" t="s">
        <v>364</v>
      </c>
      <c r="S225" s="15" t="s">
        <v>364</v>
      </c>
      <c r="T225" s="15" t="s">
        <v>364</v>
      </c>
      <c r="U225" s="17" t="s">
        <v>364</v>
      </c>
      <c r="V225" s="17" t="s">
        <v>364</v>
      </c>
      <c r="W225" s="17" t="s">
        <v>364</v>
      </c>
      <c r="X225" s="17" t="s">
        <v>364</v>
      </c>
      <c r="Y225" s="17" t="s">
        <v>364</v>
      </c>
      <c r="Z225" s="17" t="s">
        <v>364</v>
      </c>
      <c r="AA225" s="86"/>
      <c r="AB225" s="86"/>
    </row>
    <row r="226" spans="1:28" collapsed="1" x14ac:dyDescent="0.25">
      <c r="A226" s="5" t="s">
        <v>207</v>
      </c>
      <c r="B226" s="5" t="s">
        <v>45</v>
      </c>
      <c r="C226" s="5" t="s">
        <v>262</v>
      </c>
      <c r="D226" s="6">
        <v>0</v>
      </c>
      <c r="E226" s="53" t="s">
        <v>364</v>
      </c>
      <c r="F226" s="6">
        <v>0</v>
      </c>
      <c r="G226" s="6">
        <v>0</v>
      </c>
      <c r="H226" s="53" t="s">
        <v>364</v>
      </c>
      <c r="I226" s="6">
        <v>0</v>
      </c>
      <c r="J226" s="6">
        <v>16</v>
      </c>
      <c r="K226" s="53">
        <v>588.58375000000001</v>
      </c>
      <c r="L226" s="6">
        <v>9417.34</v>
      </c>
      <c r="M226" s="6">
        <v>82.799416492753636</v>
      </c>
      <c r="N226" s="6">
        <v>449.99999999999994</v>
      </c>
      <c r="O226" s="6">
        <v>37259.737421739133</v>
      </c>
      <c r="P226" s="6">
        <v>-66.799416492753636</v>
      </c>
      <c r="Q226" s="6">
        <v>138.58375000000007</v>
      </c>
      <c r="R226" s="6">
        <v>-27842.397421739133</v>
      </c>
      <c r="S226" s="6">
        <v>2217.3400000000011</v>
      </c>
      <c r="T226" s="6">
        <v>-30059.737421739133</v>
      </c>
      <c r="U226" s="8">
        <v>0.19323807676108773</v>
      </c>
      <c r="V226" s="8">
        <v>0.25274842636184197</v>
      </c>
      <c r="W226" s="8" t="s">
        <v>364</v>
      </c>
      <c r="X226" s="8" t="s">
        <v>364</v>
      </c>
      <c r="Y226" s="8" t="s">
        <v>364</v>
      </c>
      <c r="Z226" s="8" t="s">
        <v>364</v>
      </c>
      <c r="AA226" s="86"/>
      <c r="AB226" s="86"/>
    </row>
    <row r="227" spans="1:28" hidden="1" outlineLevel="1" x14ac:dyDescent="0.25">
      <c r="A227" s="21" t="s">
        <v>367</v>
      </c>
      <c r="B227" s="21" t="s">
        <v>675</v>
      </c>
      <c r="C227" s="21" t="s">
        <v>362</v>
      </c>
      <c r="D227" s="15">
        <v>0</v>
      </c>
      <c r="E227" s="57" t="s">
        <v>364</v>
      </c>
      <c r="F227" s="15">
        <v>0</v>
      </c>
      <c r="G227" s="15">
        <v>0</v>
      </c>
      <c r="H227" s="57" t="s">
        <v>364</v>
      </c>
      <c r="I227" s="15">
        <v>0</v>
      </c>
      <c r="J227" s="15">
        <v>16</v>
      </c>
      <c r="K227" s="57">
        <v>588.58375000000001</v>
      </c>
      <c r="L227" s="15">
        <v>9417.34</v>
      </c>
      <c r="M227" s="15" t="s">
        <v>364</v>
      </c>
      <c r="N227" s="15" t="s">
        <v>364</v>
      </c>
      <c r="O227" s="15" t="s">
        <v>364</v>
      </c>
      <c r="P227" s="15" t="s">
        <v>364</v>
      </c>
      <c r="Q227" s="15" t="s">
        <v>364</v>
      </c>
      <c r="R227" s="15" t="s">
        <v>364</v>
      </c>
      <c r="S227" s="15" t="s">
        <v>364</v>
      </c>
      <c r="T227" s="15" t="s">
        <v>364</v>
      </c>
      <c r="U227" s="17" t="s">
        <v>364</v>
      </c>
      <c r="V227" s="17" t="s">
        <v>364</v>
      </c>
      <c r="W227" s="17" t="s">
        <v>364</v>
      </c>
      <c r="X227" s="17" t="s">
        <v>364</v>
      </c>
      <c r="Y227" s="17" t="s">
        <v>364</v>
      </c>
      <c r="Z227" s="17" t="s">
        <v>364</v>
      </c>
      <c r="AA227" s="86"/>
      <c r="AB227" s="86"/>
    </row>
    <row r="228" spans="1:28" hidden="1" outlineLevel="1" x14ac:dyDescent="0.25">
      <c r="A228" s="21" t="s">
        <v>367</v>
      </c>
      <c r="B228" s="21" t="s">
        <v>676</v>
      </c>
      <c r="C228" s="21" t="s">
        <v>363</v>
      </c>
      <c r="D228" s="15">
        <v>0</v>
      </c>
      <c r="E228" s="57" t="s">
        <v>364</v>
      </c>
      <c r="F228" s="15">
        <v>0</v>
      </c>
      <c r="G228" s="15">
        <v>0</v>
      </c>
      <c r="H228" s="57" t="s">
        <v>364</v>
      </c>
      <c r="I228" s="15">
        <v>0</v>
      </c>
      <c r="J228" s="15">
        <v>0</v>
      </c>
      <c r="K228" s="57" t="s">
        <v>364</v>
      </c>
      <c r="L228" s="15">
        <v>0</v>
      </c>
      <c r="M228" s="15" t="s">
        <v>364</v>
      </c>
      <c r="N228" s="15" t="s">
        <v>364</v>
      </c>
      <c r="O228" s="15" t="s">
        <v>364</v>
      </c>
      <c r="P228" s="15" t="s">
        <v>364</v>
      </c>
      <c r="Q228" s="15" t="s">
        <v>364</v>
      </c>
      <c r="R228" s="15" t="s">
        <v>364</v>
      </c>
      <c r="S228" s="15" t="s">
        <v>364</v>
      </c>
      <c r="T228" s="15" t="s">
        <v>364</v>
      </c>
      <c r="U228" s="17" t="s">
        <v>364</v>
      </c>
      <c r="V228" s="17" t="s">
        <v>364</v>
      </c>
      <c r="W228" s="17" t="s">
        <v>364</v>
      </c>
      <c r="X228" s="17" t="s">
        <v>364</v>
      </c>
      <c r="Y228" s="17" t="s">
        <v>364</v>
      </c>
      <c r="Z228" s="17" t="s">
        <v>364</v>
      </c>
      <c r="AA228" s="86"/>
      <c r="AB228" s="86"/>
    </row>
    <row r="229" spans="1:28" collapsed="1" x14ac:dyDescent="0.25">
      <c r="A229" s="5" t="s">
        <v>207</v>
      </c>
      <c r="B229" s="5" t="s">
        <v>715</v>
      </c>
      <c r="C229" s="5" t="s">
        <v>715</v>
      </c>
      <c r="D229" s="6">
        <v>0</v>
      </c>
      <c r="E229" s="53" t="s">
        <v>364</v>
      </c>
      <c r="F229" s="6">
        <v>0</v>
      </c>
      <c r="G229" s="6">
        <v>0</v>
      </c>
      <c r="H229" s="53" t="s">
        <v>364</v>
      </c>
      <c r="I229" s="6">
        <v>0</v>
      </c>
      <c r="J229" s="6">
        <v>0</v>
      </c>
      <c r="K229" s="53" t="s">
        <v>364</v>
      </c>
      <c r="L229" s="6">
        <v>0</v>
      </c>
      <c r="M229" s="6">
        <v>0</v>
      </c>
      <c r="N229" s="6" t="s">
        <v>364</v>
      </c>
      <c r="O229" s="6">
        <v>0</v>
      </c>
      <c r="P229" s="6">
        <v>0</v>
      </c>
      <c r="Q229" s="6" t="s">
        <v>364</v>
      </c>
      <c r="R229" s="6">
        <v>0</v>
      </c>
      <c r="S229" s="6" t="s">
        <v>364</v>
      </c>
      <c r="T229" s="6" t="s">
        <v>364</v>
      </c>
      <c r="U229" s="8" t="s">
        <v>364</v>
      </c>
      <c r="V229" s="8" t="s">
        <v>364</v>
      </c>
      <c r="W229" s="8" t="s">
        <v>364</v>
      </c>
      <c r="X229" s="8" t="s">
        <v>364</v>
      </c>
      <c r="Y229" s="8" t="s">
        <v>364</v>
      </c>
      <c r="Z229" s="8" t="s">
        <v>364</v>
      </c>
      <c r="AA229" s="86"/>
      <c r="AB229" s="86"/>
    </row>
    <row r="230" spans="1:28" hidden="1" outlineLevel="1" x14ac:dyDescent="0.25">
      <c r="A230" s="21" t="s">
        <v>367</v>
      </c>
      <c r="B230" s="21" t="s">
        <v>716</v>
      </c>
      <c r="C230" s="21" t="s">
        <v>362</v>
      </c>
      <c r="D230" s="15">
        <v>0</v>
      </c>
      <c r="E230" s="57" t="s">
        <v>364</v>
      </c>
      <c r="F230" s="15">
        <v>0</v>
      </c>
      <c r="G230" s="15">
        <v>0</v>
      </c>
      <c r="H230" s="57" t="s">
        <v>364</v>
      </c>
      <c r="I230" s="15">
        <v>0</v>
      </c>
      <c r="J230" s="15">
        <v>0</v>
      </c>
      <c r="K230" s="57" t="s">
        <v>364</v>
      </c>
      <c r="L230" s="15">
        <v>0</v>
      </c>
      <c r="M230" s="15" t="s">
        <v>364</v>
      </c>
      <c r="N230" s="15" t="s">
        <v>364</v>
      </c>
      <c r="O230" s="15" t="s">
        <v>364</v>
      </c>
      <c r="P230" s="15" t="s">
        <v>364</v>
      </c>
      <c r="Q230" s="15" t="s">
        <v>364</v>
      </c>
      <c r="R230" s="15" t="s">
        <v>364</v>
      </c>
      <c r="S230" s="15" t="s">
        <v>364</v>
      </c>
      <c r="T230" s="15" t="s">
        <v>364</v>
      </c>
      <c r="U230" s="17" t="s">
        <v>364</v>
      </c>
      <c r="V230" s="17" t="s">
        <v>364</v>
      </c>
      <c r="W230" s="17" t="s">
        <v>364</v>
      </c>
      <c r="X230" s="17" t="s">
        <v>364</v>
      </c>
      <c r="Y230" s="17" t="s">
        <v>364</v>
      </c>
      <c r="Z230" s="17" t="s">
        <v>364</v>
      </c>
      <c r="AA230" s="86"/>
      <c r="AB230" s="86"/>
    </row>
    <row r="231" spans="1:28" hidden="1" outlineLevel="1" x14ac:dyDescent="0.25">
      <c r="A231" s="21" t="s">
        <v>367</v>
      </c>
      <c r="B231" s="21" t="s">
        <v>717</v>
      </c>
      <c r="C231" s="21" t="s">
        <v>363</v>
      </c>
      <c r="D231" s="15">
        <v>0</v>
      </c>
      <c r="E231" s="57" t="s">
        <v>364</v>
      </c>
      <c r="F231" s="15">
        <v>0</v>
      </c>
      <c r="G231" s="15">
        <v>0</v>
      </c>
      <c r="H231" s="57" t="s">
        <v>364</v>
      </c>
      <c r="I231" s="15">
        <v>0</v>
      </c>
      <c r="J231" s="15">
        <v>0</v>
      </c>
      <c r="K231" s="57" t="s">
        <v>364</v>
      </c>
      <c r="L231" s="15">
        <v>0</v>
      </c>
      <c r="M231" s="15" t="s">
        <v>364</v>
      </c>
      <c r="N231" s="15" t="s">
        <v>364</v>
      </c>
      <c r="O231" s="15" t="s">
        <v>364</v>
      </c>
      <c r="P231" s="15" t="s">
        <v>364</v>
      </c>
      <c r="Q231" s="15" t="s">
        <v>364</v>
      </c>
      <c r="R231" s="15" t="s">
        <v>364</v>
      </c>
      <c r="S231" s="15" t="s">
        <v>364</v>
      </c>
      <c r="T231" s="15" t="s">
        <v>364</v>
      </c>
      <c r="U231" s="17" t="s">
        <v>364</v>
      </c>
      <c r="V231" s="17" t="s">
        <v>364</v>
      </c>
      <c r="W231" s="17" t="s">
        <v>364</v>
      </c>
      <c r="X231" s="17" t="s">
        <v>364</v>
      </c>
      <c r="Y231" s="17" t="s">
        <v>364</v>
      </c>
      <c r="Z231" s="17" t="s">
        <v>364</v>
      </c>
      <c r="AA231" s="86"/>
      <c r="AB231" s="86"/>
    </row>
    <row r="232" spans="1:28" collapsed="1" x14ac:dyDescent="0.25">
      <c r="A232" s="5" t="s">
        <v>207</v>
      </c>
      <c r="B232" s="5" t="s">
        <v>52</v>
      </c>
      <c r="C232" s="5" t="s">
        <v>231</v>
      </c>
      <c r="D232" s="6">
        <v>0</v>
      </c>
      <c r="E232" s="53" t="s">
        <v>364</v>
      </c>
      <c r="F232" s="6">
        <v>0</v>
      </c>
      <c r="G232" s="6">
        <v>0</v>
      </c>
      <c r="H232" s="53" t="s">
        <v>364</v>
      </c>
      <c r="I232" s="6">
        <v>0</v>
      </c>
      <c r="J232" s="6">
        <v>11</v>
      </c>
      <c r="K232" s="53">
        <v>402.93818181818182</v>
      </c>
      <c r="L232" s="6">
        <v>4432.32</v>
      </c>
      <c r="M232" s="6">
        <v>64.680000000000007</v>
      </c>
      <c r="N232" s="6">
        <v>406.38149999999996</v>
      </c>
      <c r="O232" s="6">
        <v>26284.755420000001</v>
      </c>
      <c r="P232" s="6">
        <v>-53.680000000000007</v>
      </c>
      <c r="Q232" s="6">
        <v>-3.4433181818181424</v>
      </c>
      <c r="R232" s="6">
        <v>-21852.435420000002</v>
      </c>
      <c r="S232" s="6">
        <v>-37.876499999999567</v>
      </c>
      <c r="T232" s="6">
        <v>-21814.558919999999</v>
      </c>
      <c r="U232" s="8">
        <v>0.17006802721088435</v>
      </c>
      <c r="V232" s="8">
        <v>0.16862702084066034</v>
      </c>
      <c r="W232" s="8" t="s">
        <v>364</v>
      </c>
      <c r="X232" s="8" t="s">
        <v>364</v>
      </c>
      <c r="Y232" s="8" t="s">
        <v>364</v>
      </c>
      <c r="Z232" s="8" t="s">
        <v>364</v>
      </c>
      <c r="AA232" s="86"/>
      <c r="AB232" s="86"/>
    </row>
    <row r="233" spans="1:28" hidden="1" outlineLevel="1" x14ac:dyDescent="0.25">
      <c r="A233" s="21" t="s">
        <v>367</v>
      </c>
      <c r="B233" s="21" t="s">
        <v>613</v>
      </c>
      <c r="C233" s="21" t="s">
        <v>362</v>
      </c>
      <c r="D233" s="15">
        <v>0</v>
      </c>
      <c r="E233" s="57" t="s">
        <v>364</v>
      </c>
      <c r="F233" s="15">
        <v>0</v>
      </c>
      <c r="G233" s="15">
        <v>0</v>
      </c>
      <c r="H233" s="57" t="s">
        <v>364</v>
      </c>
      <c r="I233" s="15">
        <v>0</v>
      </c>
      <c r="J233" s="15">
        <v>8</v>
      </c>
      <c r="K233" s="57">
        <v>413.85874999999999</v>
      </c>
      <c r="L233" s="15">
        <v>3310.87</v>
      </c>
      <c r="M233" s="15" t="s">
        <v>364</v>
      </c>
      <c r="N233" s="15" t="s">
        <v>364</v>
      </c>
      <c r="O233" s="15" t="s">
        <v>364</v>
      </c>
      <c r="P233" s="15" t="s">
        <v>364</v>
      </c>
      <c r="Q233" s="15" t="s">
        <v>364</v>
      </c>
      <c r="R233" s="15" t="s">
        <v>364</v>
      </c>
      <c r="S233" s="15" t="s">
        <v>364</v>
      </c>
      <c r="T233" s="15" t="s">
        <v>364</v>
      </c>
      <c r="U233" s="17" t="s">
        <v>364</v>
      </c>
      <c r="V233" s="17" t="s">
        <v>364</v>
      </c>
      <c r="W233" s="17" t="s">
        <v>364</v>
      </c>
      <c r="X233" s="17" t="s">
        <v>364</v>
      </c>
      <c r="Y233" s="17" t="s">
        <v>364</v>
      </c>
      <c r="Z233" s="17" t="s">
        <v>364</v>
      </c>
      <c r="AA233" s="86"/>
      <c r="AB233" s="86"/>
    </row>
    <row r="234" spans="1:28" hidden="1" outlineLevel="1" x14ac:dyDescent="0.25">
      <c r="A234" s="21" t="s">
        <v>367</v>
      </c>
      <c r="B234" s="21" t="s">
        <v>614</v>
      </c>
      <c r="C234" s="21" t="s">
        <v>363</v>
      </c>
      <c r="D234" s="15">
        <v>0</v>
      </c>
      <c r="E234" s="57" t="s">
        <v>364</v>
      </c>
      <c r="F234" s="15">
        <v>0</v>
      </c>
      <c r="G234" s="15">
        <v>0</v>
      </c>
      <c r="H234" s="57" t="s">
        <v>364</v>
      </c>
      <c r="I234" s="15">
        <v>0</v>
      </c>
      <c r="J234" s="15">
        <v>3</v>
      </c>
      <c r="K234" s="57">
        <v>373.81666666666666</v>
      </c>
      <c r="L234" s="15">
        <v>1121.45</v>
      </c>
      <c r="M234" s="15" t="s">
        <v>364</v>
      </c>
      <c r="N234" s="15" t="s">
        <v>364</v>
      </c>
      <c r="O234" s="15" t="s">
        <v>364</v>
      </c>
      <c r="P234" s="15" t="s">
        <v>364</v>
      </c>
      <c r="Q234" s="15" t="s">
        <v>364</v>
      </c>
      <c r="R234" s="15" t="s">
        <v>364</v>
      </c>
      <c r="S234" s="15" t="s">
        <v>364</v>
      </c>
      <c r="T234" s="15" t="s">
        <v>364</v>
      </c>
      <c r="U234" s="17" t="s">
        <v>364</v>
      </c>
      <c r="V234" s="17" t="s">
        <v>364</v>
      </c>
      <c r="W234" s="17" t="s">
        <v>364</v>
      </c>
      <c r="X234" s="17" t="s">
        <v>364</v>
      </c>
      <c r="Y234" s="17" t="s">
        <v>364</v>
      </c>
      <c r="Z234" s="17" t="s">
        <v>364</v>
      </c>
      <c r="AA234" s="86"/>
      <c r="AB234" s="86"/>
    </row>
    <row r="235" spans="1:28" collapsed="1" x14ac:dyDescent="0.25">
      <c r="A235" s="5" t="s">
        <v>207</v>
      </c>
      <c r="B235" s="5" t="s">
        <v>215</v>
      </c>
      <c r="C235" s="5" t="s">
        <v>272</v>
      </c>
      <c r="D235" s="6">
        <v>0</v>
      </c>
      <c r="E235" s="53" t="s">
        <v>364</v>
      </c>
      <c r="F235" s="6">
        <v>0</v>
      </c>
      <c r="G235" s="6">
        <v>0</v>
      </c>
      <c r="H235" s="53" t="s">
        <v>364</v>
      </c>
      <c r="I235" s="6">
        <v>0</v>
      </c>
      <c r="J235" s="6">
        <v>11</v>
      </c>
      <c r="K235" s="53">
        <v>1820.8627272727274</v>
      </c>
      <c r="L235" s="6">
        <v>20029.490000000002</v>
      </c>
      <c r="M235" s="6">
        <v>20.469565217391303</v>
      </c>
      <c r="N235" s="6">
        <v>1212</v>
      </c>
      <c r="O235" s="6">
        <v>24809.113043478257</v>
      </c>
      <c r="P235" s="6">
        <v>-9.4695652173913025</v>
      </c>
      <c r="Q235" s="6">
        <v>608.8627272727274</v>
      </c>
      <c r="R235" s="6">
        <v>-4779.6230434782556</v>
      </c>
      <c r="S235" s="6">
        <v>6697.4900000000016</v>
      </c>
      <c r="T235" s="6">
        <v>-11477.113043478259</v>
      </c>
      <c r="U235" s="8">
        <v>0.53738317757009346</v>
      </c>
      <c r="V235" s="8">
        <v>0.80734405800393139</v>
      </c>
      <c r="W235" s="8" t="s">
        <v>364</v>
      </c>
      <c r="X235" s="8" t="s">
        <v>364</v>
      </c>
      <c r="Y235" s="8" t="s">
        <v>364</v>
      </c>
      <c r="Z235" s="8" t="s">
        <v>364</v>
      </c>
      <c r="AA235" s="86"/>
      <c r="AB235" s="86"/>
    </row>
    <row r="236" spans="1:28" hidden="1" outlineLevel="1" x14ac:dyDescent="0.25">
      <c r="A236" s="21" t="s">
        <v>367</v>
      </c>
      <c r="B236" s="21" t="s">
        <v>695</v>
      </c>
      <c r="C236" s="21" t="s">
        <v>362</v>
      </c>
      <c r="D236" s="15">
        <v>0</v>
      </c>
      <c r="E236" s="57" t="s">
        <v>364</v>
      </c>
      <c r="F236" s="15">
        <v>0</v>
      </c>
      <c r="G236" s="15">
        <v>0</v>
      </c>
      <c r="H236" s="57" t="s">
        <v>364</v>
      </c>
      <c r="I236" s="15">
        <v>0</v>
      </c>
      <c r="J236" s="15">
        <v>10</v>
      </c>
      <c r="K236" s="57">
        <v>1959.0830000000001</v>
      </c>
      <c r="L236" s="15">
        <v>19590.830000000002</v>
      </c>
      <c r="M236" s="15" t="s">
        <v>364</v>
      </c>
      <c r="N236" s="15" t="s">
        <v>364</v>
      </c>
      <c r="O236" s="15" t="s">
        <v>364</v>
      </c>
      <c r="P236" s="15" t="s">
        <v>364</v>
      </c>
      <c r="Q236" s="15" t="s">
        <v>364</v>
      </c>
      <c r="R236" s="15" t="s">
        <v>364</v>
      </c>
      <c r="S236" s="15" t="s">
        <v>364</v>
      </c>
      <c r="T236" s="15" t="s">
        <v>364</v>
      </c>
      <c r="U236" s="17" t="s">
        <v>364</v>
      </c>
      <c r="V236" s="17" t="s">
        <v>364</v>
      </c>
      <c r="W236" s="17" t="s">
        <v>364</v>
      </c>
      <c r="X236" s="17" t="s">
        <v>364</v>
      </c>
      <c r="Y236" s="17" t="s">
        <v>364</v>
      </c>
      <c r="Z236" s="17" t="s">
        <v>364</v>
      </c>
      <c r="AA236" s="86"/>
      <c r="AB236" s="86"/>
    </row>
    <row r="237" spans="1:28" hidden="1" outlineLevel="1" x14ac:dyDescent="0.25">
      <c r="A237" s="21" t="s">
        <v>367</v>
      </c>
      <c r="B237" s="21" t="s">
        <v>696</v>
      </c>
      <c r="C237" s="21" t="s">
        <v>363</v>
      </c>
      <c r="D237" s="15">
        <v>0</v>
      </c>
      <c r="E237" s="57" t="s">
        <v>364</v>
      </c>
      <c r="F237" s="15">
        <v>0</v>
      </c>
      <c r="G237" s="15">
        <v>0</v>
      </c>
      <c r="H237" s="57" t="s">
        <v>364</v>
      </c>
      <c r="I237" s="15">
        <v>0</v>
      </c>
      <c r="J237" s="15">
        <v>1</v>
      </c>
      <c r="K237" s="57">
        <v>438.66</v>
      </c>
      <c r="L237" s="15">
        <v>438.66</v>
      </c>
      <c r="M237" s="15" t="s">
        <v>364</v>
      </c>
      <c r="N237" s="15" t="s">
        <v>364</v>
      </c>
      <c r="O237" s="15" t="s">
        <v>364</v>
      </c>
      <c r="P237" s="15" t="s">
        <v>364</v>
      </c>
      <c r="Q237" s="15" t="s">
        <v>364</v>
      </c>
      <c r="R237" s="15" t="s">
        <v>364</v>
      </c>
      <c r="S237" s="15" t="s">
        <v>364</v>
      </c>
      <c r="T237" s="15" t="s">
        <v>364</v>
      </c>
      <c r="U237" s="17" t="s">
        <v>364</v>
      </c>
      <c r="V237" s="17" t="s">
        <v>364</v>
      </c>
      <c r="W237" s="17" t="s">
        <v>364</v>
      </c>
      <c r="X237" s="17" t="s">
        <v>364</v>
      </c>
      <c r="Y237" s="17" t="s">
        <v>364</v>
      </c>
      <c r="Z237" s="17" t="s">
        <v>364</v>
      </c>
      <c r="AA237" s="86"/>
      <c r="AB237" s="86"/>
    </row>
    <row r="238" spans="1:28" collapsed="1" x14ac:dyDescent="0.25">
      <c r="A238" s="5" t="s">
        <v>208</v>
      </c>
      <c r="B238" s="5" t="s">
        <v>209</v>
      </c>
      <c r="C238" s="5" t="s">
        <v>241</v>
      </c>
      <c r="D238" s="6">
        <v>162</v>
      </c>
      <c r="E238" s="53">
        <v>105.46296296296296</v>
      </c>
      <c r="F238" s="6">
        <v>17085</v>
      </c>
      <c r="G238" s="6">
        <v>78</v>
      </c>
      <c r="H238" s="53">
        <v>200.44871794871796</v>
      </c>
      <c r="I238" s="6">
        <v>15635</v>
      </c>
      <c r="J238" s="6">
        <v>121</v>
      </c>
      <c r="K238" s="53">
        <v>83.971487603305775</v>
      </c>
      <c r="L238" s="6">
        <v>10160.549999999999</v>
      </c>
      <c r="M238" s="6" t="s">
        <v>364</v>
      </c>
      <c r="N238" s="6" t="s">
        <v>364</v>
      </c>
      <c r="O238" s="6" t="s">
        <v>364</v>
      </c>
      <c r="P238" s="6" t="s">
        <v>364</v>
      </c>
      <c r="Q238" s="6" t="s">
        <v>364</v>
      </c>
      <c r="R238" s="6" t="s">
        <v>364</v>
      </c>
      <c r="S238" s="6" t="s">
        <v>364</v>
      </c>
      <c r="T238" s="6" t="s">
        <v>364</v>
      </c>
      <c r="U238" s="8" t="s">
        <v>364</v>
      </c>
      <c r="V238" s="8" t="s">
        <v>364</v>
      </c>
      <c r="W238" s="8">
        <v>-0.25308641975308643</v>
      </c>
      <c r="X238" s="8">
        <v>-0.40529411764705886</v>
      </c>
      <c r="Y238" s="8">
        <v>0.55128205128205132</v>
      </c>
      <c r="Z238" s="8">
        <v>-0.35014070994563484</v>
      </c>
      <c r="AA238"/>
      <c r="AB238"/>
    </row>
    <row r="239" spans="1:28" hidden="1" outlineLevel="1" x14ac:dyDescent="0.25">
      <c r="A239" s="21" t="s">
        <v>367</v>
      </c>
      <c r="B239" s="21" t="s">
        <v>633</v>
      </c>
      <c r="C239" s="21" t="s">
        <v>362</v>
      </c>
      <c r="D239" s="15">
        <v>161</v>
      </c>
      <c r="E239" s="57">
        <v>106.11801242236025</v>
      </c>
      <c r="F239" s="15">
        <v>17085</v>
      </c>
      <c r="G239" s="15">
        <v>78</v>
      </c>
      <c r="H239" s="57">
        <v>200.44871794871796</v>
      </c>
      <c r="I239" s="15">
        <v>15635</v>
      </c>
      <c r="J239" s="15">
        <v>118</v>
      </c>
      <c r="K239" s="57">
        <v>85.513135593220326</v>
      </c>
      <c r="L239" s="15">
        <v>10090.549999999999</v>
      </c>
      <c r="M239" s="15" t="s">
        <v>364</v>
      </c>
      <c r="N239" s="15" t="s">
        <v>364</v>
      </c>
      <c r="O239" s="15" t="s">
        <v>364</v>
      </c>
      <c r="P239" s="15" t="s">
        <v>364</v>
      </c>
      <c r="Q239" s="15" t="s">
        <v>364</v>
      </c>
      <c r="R239" s="15" t="s">
        <v>364</v>
      </c>
      <c r="S239" s="15" t="s">
        <v>364</v>
      </c>
      <c r="T239" s="15" t="s">
        <v>364</v>
      </c>
      <c r="U239" s="17" t="s">
        <v>364</v>
      </c>
      <c r="V239" s="17" t="s">
        <v>364</v>
      </c>
      <c r="W239" s="17">
        <v>-0.26708074534161491</v>
      </c>
      <c r="X239" s="17">
        <v>-0.40939127889961957</v>
      </c>
      <c r="Y239" s="17">
        <v>0.51282051282051277</v>
      </c>
      <c r="Z239" s="17">
        <v>-0.35461784457946921</v>
      </c>
      <c r="AA239"/>
      <c r="AB239"/>
    </row>
    <row r="240" spans="1:28" hidden="1" outlineLevel="1" x14ac:dyDescent="0.25">
      <c r="A240" s="21" t="s">
        <v>367</v>
      </c>
      <c r="B240" s="21" t="s">
        <v>634</v>
      </c>
      <c r="C240" s="21" t="s">
        <v>363</v>
      </c>
      <c r="D240" s="15">
        <v>1</v>
      </c>
      <c r="E240" s="57">
        <v>0</v>
      </c>
      <c r="F240" s="15">
        <v>0</v>
      </c>
      <c r="G240" s="15">
        <v>0</v>
      </c>
      <c r="H240" s="57" t="s">
        <v>364</v>
      </c>
      <c r="I240" s="15">
        <v>0</v>
      </c>
      <c r="J240" s="15">
        <v>3</v>
      </c>
      <c r="K240" s="57">
        <v>23.333333333333332</v>
      </c>
      <c r="L240" s="15">
        <v>70</v>
      </c>
      <c r="M240" s="15" t="s">
        <v>364</v>
      </c>
      <c r="N240" s="15" t="s">
        <v>364</v>
      </c>
      <c r="O240" s="15" t="s">
        <v>364</v>
      </c>
      <c r="P240" s="15" t="s">
        <v>364</v>
      </c>
      <c r="Q240" s="15" t="s">
        <v>364</v>
      </c>
      <c r="R240" s="15" t="s">
        <v>364</v>
      </c>
      <c r="S240" s="15" t="s">
        <v>364</v>
      </c>
      <c r="T240" s="15" t="s">
        <v>364</v>
      </c>
      <c r="U240" s="17" t="s">
        <v>364</v>
      </c>
      <c r="V240" s="17" t="s">
        <v>364</v>
      </c>
      <c r="W240" s="17">
        <v>2</v>
      </c>
      <c r="X240" s="17" t="s">
        <v>364</v>
      </c>
      <c r="Y240" s="17" t="s">
        <v>364</v>
      </c>
      <c r="Z240" s="17" t="s">
        <v>364</v>
      </c>
      <c r="AA240"/>
      <c r="AB240"/>
    </row>
    <row r="241" spans="1:28" collapsed="1" x14ac:dyDescent="0.25">
      <c r="A241" s="5" t="s">
        <v>208</v>
      </c>
      <c r="B241" s="5" t="s">
        <v>209</v>
      </c>
      <c r="C241" s="5" t="s">
        <v>240</v>
      </c>
      <c r="D241" s="6">
        <v>23</v>
      </c>
      <c r="E241" s="53">
        <v>216.60869565217391</v>
      </c>
      <c r="F241" s="6">
        <v>4982</v>
      </c>
      <c r="G241" s="6">
        <v>3</v>
      </c>
      <c r="H241" s="53">
        <v>1534.3333333333333</v>
      </c>
      <c r="I241" s="6">
        <v>4603</v>
      </c>
      <c r="J241" s="6">
        <v>67</v>
      </c>
      <c r="K241" s="53">
        <v>59.768656716417908</v>
      </c>
      <c r="L241" s="6">
        <v>4004.5</v>
      </c>
      <c r="M241" s="6" t="s">
        <v>364</v>
      </c>
      <c r="N241" s="6" t="s">
        <v>364</v>
      </c>
      <c r="O241" s="6" t="s">
        <v>364</v>
      </c>
      <c r="P241" s="6" t="s">
        <v>364</v>
      </c>
      <c r="Q241" s="6" t="s">
        <v>364</v>
      </c>
      <c r="R241" s="6" t="s">
        <v>364</v>
      </c>
      <c r="S241" s="6" t="s">
        <v>364</v>
      </c>
      <c r="T241" s="6" t="s">
        <v>364</v>
      </c>
      <c r="U241" s="8" t="s">
        <v>364</v>
      </c>
      <c r="V241" s="8" t="s">
        <v>364</v>
      </c>
      <c r="W241" s="8">
        <v>1.9130434782608696</v>
      </c>
      <c r="X241" s="8">
        <v>-0.19620634283420313</v>
      </c>
      <c r="Y241" s="8">
        <v>21.333333333333332</v>
      </c>
      <c r="Z241" s="8">
        <v>-0.13002389745817944</v>
      </c>
      <c r="AA241"/>
      <c r="AB241"/>
    </row>
    <row r="242" spans="1:28" hidden="1" outlineLevel="1" x14ac:dyDescent="0.25">
      <c r="A242" s="21" t="s">
        <v>367</v>
      </c>
      <c r="B242" s="21" t="s">
        <v>631</v>
      </c>
      <c r="C242" s="21" t="s">
        <v>362</v>
      </c>
      <c r="D242" s="15">
        <v>23</v>
      </c>
      <c r="E242" s="57">
        <v>216.60869565217391</v>
      </c>
      <c r="F242" s="15">
        <v>4982</v>
      </c>
      <c r="G242" s="15">
        <v>3</v>
      </c>
      <c r="H242" s="57">
        <v>1534.3333333333333</v>
      </c>
      <c r="I242" s="15">
        <v>4603</v>
      </c>
      <c r="J242" s="15">
        <v>67</v>
      </c>
      <c r="K242" s="57">
        <v>59.768656716417908</v>
      </c>
      <c r="L242" s="15">
        <v>4004.5</v>
      </c>
      <c r="M242" s="15" t="s">
        <v>364</v>
      </c>
      <c r="N242" s="15" t="s">
        <v>364</v>
      </c>
      <c r="O242" s="15" t="s">
        <v>364</v>
      </c>
      <c r="P242" s="15" t="s">
        <v>364</v>
      </c>
      <c r="Q242" s="15" t="s">
        <v>364</v>
      </c>
      <c r="R242" s="15" t="s">
        <v>364</v>
      </c>
      <c r="S242" s="15" t="s">
        <v>364</v>
      </c>
      <c r="T242" s="15" t="s">
        <v>364</v>
      </c>
      <c r="U242" s="17" t="s">
        <v>364</v>
      </c>
      <c r="V242" s="17" t="s">
        <v>364</v>
      </c>
      <c r="W242" s="17">
        <v>1.9130434782608696</v>
      </c>
      <c r="X242" s="17">
        <v>-0.19620634283420313</v>
      </c>
      <c r="Y242" s="17">
        <v>21.333333333333332</v>
      </c>
      <c r="Z242" s="17">
        <v>-0.13002389745817944</v>
      </c>
      <c r="AA242"/>
      <c r="AB242"/>
    </row>
    <row r="243" spans="1:28" hidden="1" outlineLevel="1" x14ac:dyDescent="0.25">
      <c r="A243" s="21" t="s">
        <v>367</v>
      </c>
      <c r="B243" s="21" t="s">
        <v>632</v>
      </c>
      <c r="C243" s="21" t="s">
        <v>363</v>
      </c>
      <c r="D243" s="15">
        <v>0</v>
      </c>
      <c r="E243" s="57" t="s">
        <v>364</v>
      </c>
      <c r="F243" s="15">
        <v>0</v>
      </c>
      <c r="G243" s="15">
        <v>0</v>
      </c>
      <c r="H243" s="57" t="s">
        <v>364</v>
      </c>
      <c r="I243" s="15">
        <v>0</v>
      </c>
      <c r="J243" s="15">
        <v>0</v>
      </c>
      <c r="K243" s="57" t="s">
        <v>364</v>
      </c>
      <c r="L243" s="15">
        <v>0</v>
      </c>
      <c r="M243" s="15" t="s">
        <v>364</v>
      </c>
      <c r="N243" s="15" t="s">
        <v>364</v>
      </c>
      <c r="O243" s="15" t="s">
        <v>364</v>
      </c>
      <c r="P243" s="15" t="s">
        <v>364</v>
      </c>
      <c r="Q243" s="15" t="s">
        <v>364</v>
      </c>
      <c r="R243" s="15" t="s">
        <v>364</v>
      </c>
      <c r="S243" s="15" t="s">
        <v>364</v>
      </c>
      <c r="T243" s="15" t="s">
        <v>364</v>
      </c>
      <c r="U243" s="17" t="s">
        <v>364</v>
      </c>
      <c r="V243" s="17" t="s">
        <v>364</v>
      </c>
      <c r="W243" s="17" t="s">
        <v>364</v>
      </c>
      <c r="X243" s="17" t="s">
        <v>364</v>
      </c>
      <c r="Y243" s="17" t="s">
        <v>364</v>
      </c>
      <c r="Z243" s="17" t="s">
        <v>364</v>
      </c>
      <c r="AA243"/>
      <c r="AB243"/>
    </row>
    <row r="244" spans="1:28" collapsed="1" x14ac:dyDescent="0.25">
      <c r="A244" s="5" t="s">
        <v>208</v>
      </c>
      <c r="B244" s="5" t="s">
        <v>46</v>
      </c>
      <c r="C244" s="5" t="s">
        <v>253</v>
      </c>
      <c r="D244" s="6">
        <v>0</v>
      </c>
      <c r="E244" s="53" t="s">
        <v>364</v>
      </c>
      <c r="F244" s="6">
        <v>208</v>
      </c>
      <c r="G244" s="6">
        <v>0</v>
      </c>
      <c r="H244" s="53" t="s">
        <v>364</v>
      </c>
      <c r="I244" s="6">
        <v>0</v>
      </c>
      <c r="J244" s="6">
        <v>1</v>
      </c>
      <c r="K244" s="53">
        <v>0</v>
      </c>
      <c r="L244" s="6">
        <v>0</v>
      </c>
      <c r="M244" s="6" t="s">
        <v>364</v>
      </c>
      <c r="N244" s="6" t="s">
        <v>364</v>
      </c>
      <c r="O244" s="6" t="s">
        <v>364</v>
      </c>
      <c r="P244" s="6" t="s">
        <v>364</v>
      </c>
      <c r="Q244" s="6" t="s">
        <v>364</v>
      </c>
      <c r="R244" s="6" t="s">
        <v>364</v>
      </c>
      <c r="S244" s="6" t="s">
        <v>364</v>
      </c>
      <c r="T244" s="6" t="s">
        <v>364</v>
      </c>
      <c r="U244" s="8" t="s">
        <v>364</v>
      </c>
      <c r="V244" s="8" t="s">
        <v>364</v>
      </c>
      <c r="W244" s="8" t="s">
        <v>364</v>
      </c>
      <c r="X244" s="8">
        <v>-1</v>
      </c>
      <c r="Y244" s="8" t="s">
        <v>364</v>
      </c>
      <c r="Z244" s="8" t="s">
        <v>364</v>
      </c>
      <c r="AA244"/>
      <c r="AB244"/>
    </row>
    <row r="245" spans="1:28" hidden="1" outlineLevel="1" x14ac:dyDescent="0.25">
      <c r="A245" s="21" t="s">
        <v>367</v>
      </c>
      <c r="B245" s="21" t="s">
        <v>657</v>
      </c>
      <c r="C245" s="21" t="s">
        <v>362</v>
      </c>
      <c r="D245" s="15">
        <v>0</v>
      </c>
      <c r="E245" s="57" t="s">
        <v>364</v>
      </c>
      <c r="F245" s="15">
        <v>208</v>
      </c>
      <c r="G245" s="15">
        <v>0</v>
      </c>
      <c r="H245" s="57" t="s">
        <v>364</v>
      </c>
      <c r="I245" s="15">
        <v>0</v>
      </c>
      <c r="J245" s="15">
        <v>1</v>
      </c>
      <c r="K245" s="57">
        <v>0</v>
      </c>
      <c r="L245" s="15">
        <v>0</v>
      </c>
      <c r="M245" s="15" t="s">
        <v>364</v>
      </c>
      <c r="N245" s="15" t="s">
        <v>364</v>
      </c>
      <c r="O245" s="15" t="s">
        <v>364</v>
      </c>
      <c r="P245" s="15" t="s">
        <v>364</v>
      </c>
      <c r="Q245" s="15" t="s">
        <v>364</v>
      </c>
      <c r="R245" s="15" t="s">
        <v>364</v>
      </c>
      <c r="S245" s="15" t="s">
        <v>364</v>
      </c>
      <c r="T245" s="15" t="s">
        <v>364</v>
      </c>
      <c r="U245" s="17" t="s">
        <v>364</v>
      </c>
      <c r="V245" s="17" t="s">
        <v>364</v>
      </c>
      <c r="W245" s="17" t="s">
        <v>364</v>
      </c>
      <c r="X245" s="17">
        <v>-1</v>
      </c>
      <c r="Y245" s="17" t="s">
        <v>364</v>
      </c>
      <c r="Z245" s="17" t="s">
        <v>364</v>
      </c>
      <c r="AA245"/>
      <c r="AB245"/>
    </row>
    <row r="246" spans="1:28" hidden="1" outlineLevel="1" x14ac:dyDescent="0.25">
      <c r="A246" s="21" t="s">
        <v>367</v>
      </c>
      <c r="B246" s="21" t="s">
        <v>658</v>
      </c>
      <c r="C246" s="21" t="s">
        <v>363</v>
      </c>
      <c r="D246" s="15">
        <v>0</v>
      </c>
      <c r="E246" s="57" t="s">
        <v>364</v>
      </c>
      <c r="F246" s="15">
        <v>0</v>
      </c>
      <c r="G246" s="15">
        <v>0</v>
      </c>
      <c r="H246" s="57" t="s">
        <v>364</v>
      </c>
      <c r="I246" s="15">
        <v>0</v>
      </c>
      <c r="J246" s="15">
        <v>0</v>
      </c>
      <c r="K246" s="57" t="s">
        <v>364</v>
      </c>
      <c r="L246" s="15">
        <v>0</v>
      </c>
      <c r="M246" s="15" t="s">
        <v>364</v>
      </c>
      <c r="N246" s="15" t="s">
        <v>364</v>
      </c>
      <c r="O246" s="15" t="s">
        <v>364</v>
      </c>
      <c r="P246" s="15" t="s">
        <v>364</v>
      </c>
      <c r="Q246" s="15" t="s">
        <v>364</v>
      </c>
      <c r="R246" s="15" t="s">
        <v>364</v>
      </c>
      <c r="S246" s="15" t="s">
        <v>364</v>
      </c>
      <c r="T246" s="15" t="s">
        <v>364</v>
      </c>
      <c r="U246" s="17" t="s">
        <v>364</v>
      </c>
      <c r="V246" s="17" t="s">
        <v>364</v>
      </c>
      <c r="W246" s="17" t="s">
        <v>364</v>
      </c>
      <c r="X246" s="17" t="s">
        <v>364</v>
      </c>
      <c r="Y246" s="17" t="s">
        <v>364</v>
      </c>
      <c r="Z246" s="17" t="s">
        <v>364</v>
      </c>
      <c r="AA246"/>
      <c r="AB246"/>
    </row>
    <row r="247" spans="1:28" collapsed="1" x14ac:dyDescent="0.25">
      <c r="A247" s="5" t="s">
        <v>207</v>
      </c>
      <c r="B247" s="5" t="s">
        <v>47</v>
      </c>
      <c r="C247" s="5" t="s">
        <v>275</v>
      </c>
      <c r="D247" s="6">
        <v>0</v>
      </c>
      <c r="E247" s="53" t="s">
        <v>364</v>
      </c>
      <c r="F247" s="6">
        <v>0</v>
      </c>
      <c r="G247" s="6">
        <v>0</v>
      </c>
      <c r="H247" s="53" t="s">
        <v>364</v>
      </c>
      <c r="I247" s="6">
        <v>0</v>
      </c>
      <c r="J247" s="6">
        <v>41</v>
      </c>
      <c r="K247" s="53">
        <v>155.29170731707316</v>
      </c>
      <c r="L247" s="6">
        <v>6366.96</v>
      </c>
      <c r="M247" s="6" t="s">
        <v>364</v>
      </c>
      <c r="N247" s="6" t="s">
        <v>364</v>
      </c>
      <c r="O247" s="6" t="s">
        <v>364</v>
      </c>
      <c r="P247" s="6" t="s">
        <v>364</v>
      </c>
      <c r="Q247" s="6" t="s">
        <v>364</v>
      </c>
      <c r="R247" s="6" t="s">
        <v>364</v>
      </c>
      <c r="S247" s="6" t="s">
        <v>364</v>
      </c>
      <c r="T247" s="6" t="s">
        <v>364</v>
      </c>
      <c r="U247" s="8" t="s">
        <v>364</v>
      </c>
      <c r="V247" s="8" t="s">
        <v>364</v>
      </c>
      <c r="W247" s="8" t="s">
        <v>364</v>
      </c>
      <c r="X247" s="8" t="s">
        <v>364</v>
      </c>
      <c r="Y247" s="8" t="s">
        <v>364</v>
      </c>
      <c r="Z247" s="8" t="s">
        <v>364</v>
      </c>
      <c r="AA247"/>
      <c r="AB247"/>
    </row>
    <row r="248" spans="1:28" hidden="1" outlineLevel="1" x14ac:dyDescent="0.25">
      <c r="A248" s="21" t="s">
        <v>367</v>
      </c>
      <c r="B248" s="21" t="s">
        <v>701</v>
      </c>
      <c r="C248" s="21" t="s">
        <v>362</v>
      </c>
      <c r="D248" s="15">
        <v>0</v>
      </c>
      <c r="E248" s="57" t="s">
        <v>364</v>
      </c>
      <c r="F248" s="15">
        <v>0</v>
      </c>
      <c r="G248" s="15">
        <v>0</v>
      </c>
      <c r="H248" s="57" t="s">
        <v>364</v>
      </c>
      <c r="I248" s="15">
        <v>0</v>
      </c>
      <c r="J248" s="15">
        <v>36</v>
      </c>
      <c r="K248" s="57">
        <v>161.78</v>
      </c>
      <c r="L248" s="15">
        <v>5824.08</v>
      </c>
      <c r="M248" s="15" t="s">
        <v>364</v>
      </c>
      <c r="N248" s="15" t="s">
        <v>364</v>
      </c>
      <c r="O248" s="15" t="s">
        <v>364</v>
      </c>
      <c r="P248" s="15" t="s">
        <v>364</v>
      </c>
      <c r="Q248" s="15" t="s">
        <v>364</v>
      </c>
      <c r="R248" s="15" t="s">
        <v>364</v>
      </c>
      <c r="S248" s="15" t="s">
        <v>364</v>
      </c>
      <c r="T248" s="15" t="s">
        <v>364</v>
      </c>
      <c r="U248" s="17" t="s">
        <v>364</v>
      </c>
      <c r="V248" s="17" t="s">
        <v>364</v>
      </c>
      <c r="W248" s="17" t="s">
        <v>364</v>
      </c>
      <c r="X248" s="17" t="s">
        <v>364</v>
      </c>
      <c r="Y248" s="17" t="s">
        <v>364</v>
      </c>
      <c r="Z248" s="17" t="s">
        <v>364</v>
      </c>
      <c r="AA248"/>
      <c r="AB248"/>
    </row>
    <row r="249" spans="1:28" hidden="1" outlineLevel="1" x14ac:dyDescent="0.25">
      <c r="A249" s="21" t="s">
        <v>367</v>
      </c>
      <c r="B249" s="21" t="s">
        <v>702</v>
      </c>
      <c r="C249" s="21" t="s">
        <v>363</v>
      </c>
      <c r="D249" s="15">
        <v>0</v>
      </c>
      <c r="E249" s="57" t="s">
        <v>364</v>
      </c>
      <c r="F249" s="15">
        <v>0</v>
      </c>
      <c r="G249" s="15">
        <v>0</v>
      </c>
      <c r="H249" s="57" t="s">
        <v>364</v>
      </c>
      <c r="I249" s="15">
        <v>0</v>
      </c>
      <c r="J249" s="15">
        <v>5</v>
      </c>
      <c r="K249" s="57">
        <v>108.57599999999999</v>
      </c>
      <c r="L249" s="15">
        <v>542.88</v>
      </c>
      <c r="M249" s="15" t="s">
        <v>364</v>
      </c>
      <c r="N249" s="15" t="s">
        <v>364</v>
      </c>
      <c r="O249" s="15" t="s">
        <v>364</v>
      </c>
      <c r="P249" s="15" t="s">
        <v>364</v>
      </c>
      <c r="Q249" s="15" t="s">
        <v>364</v>
      </c>
      <c r="R249" s="15" t="s">
        <v>364</v>
      </c>
      <c r="S249" s="15" t="s">
        <v>364</v>
      </c>
      <c r="T249" s="15" t="s">
        <v>364</v>
      </c>
      <c r="U249" s="17" t="s">
        <v>364</v>
      </c>
      <c r="V249" s="17" t="s">
        <v>364</v>
      </c>
      <c r="W249" s="17" t="s">
        <v>364</v>
      </c>
      <c r="X249" s="17" t="s">
        <v>364</v>
      </c>
      <c r="Y249" s="17" t="s">
        <v>364</v>
      </c>
      <c r="Z249" s="17" t="s">
        <v>364</v>
      </c>
      <c r="AA249"/>
      <c r="AB249"/>
    </row>
    <row r="250" spans="1:28" collapsed="1" x14ac:dyDescent="0.25">
      <c r="A250" s="5" t="s">
        <v>207</v>
      </c>
      <c r="B250" s="5" t="s">
        <v>49</v>
      </c>
      <c r="C250" s="5" t="s">
        <v>264</v>
      </c>
      <c r="D250" s="6">
        <v>0</v>
      </c>
      <c r="E250" s="53" t="s">
        <v>364</v>
      </c>
      <c r="F250" s="6">
        <v>23190</v>
      </c>
      <c r="G250" s="6">
        <v>0</v>
      </c>
      <c r="H250" s="53" t="s">
        <v>364</v>
      </c>
      <c r="I250" s="6">
        <v>18713</v>
      </c>
      <c r="J250" s="6">
        <v>0</v>
      </c>
      <c r="K250" s="53" t="s">
        <v>364</v>
      </c>
      <c r="L250" s="6">
        <v>13007.669999999998</v>
      </c>
      <c r="M250" s="6" t="s">
        <v>364</v>
      </c>
      <c r="N250" s="6" t="s">
        <v>364</v>
      </c>
      <c r="O250" s="6" t="s">
        <v>364</v>
      </c>
      <c r="P250" s="6" t="s">
        <v>364</v>
      </c>
      <c r="Q250" s="6" t="s">
        <v>364</v>
      </c>
      <c r="R250" s="6" t="s">
        <v>364</v>
      </c>
      <c r="S250" s="6" t="s">
        <v>364</v>
      </c>
      <c r="T250" s="6" t="s">
        <v>364</v>
      </c>
      <c r="U250" s="8" t="s">
        <v>364</v>
      </c>
      <c r="V250" s="8" t="s">
        <v>364</v>
      </c>
      <c r="W250" s="8" t="s">
        <v>364</v>
      </c>
      <c r="X250" s="8">
        <v>-0.43908279430789143</v>
      </c>
      <c r="Y250" s="8" t="s">
        <v>364</v>
      </c>
      <c r="Z250" s="8">
        <v>-0.30488590819216599</v>
      </c>
      <c r="AA250"/>
      <c r="AB250"/>
    </row>
    <row r="251" spans="1:28" hidden="1" outlineLevel="1" x14ac:dyDescent="0.25">
      <c r="A251" s="21" t="s">
        <v>367</v>
      </c>
      <c r="B251" s="21" t="s">
        <v>679</v>
      </c>
      <c r="C251" s="21" t="s">
        <v>362</v>
      </c>
      <c r="D251" s="15">
        <v>0</v>
      </c>
      <c r="E251" s="57" t="s">
        <v>364</v>
      </c>
      <c r="F251" s="15">
        <v>23190</v>
      </c>
      <c r="G251" s="15">
        <v>0</v>
      </c>
      <c r="H251" s="57" t="s">
        <v>364</v>
      </c>
      <c r="I251" s="15">
        <v>18713</v>
      </c>
      <c r="J251" s="15">
        <v>0</v>
      </c>
      <c r="K251" s="57" t="s">
        <v>364</v>
      </c>
      <c r="L251" s="15">
        <v>13007.669999999998</v>
      </c>
      <c r="M251" s="15" t="s">
        <v>364</v>
      </c>
      <c r="N251" s="15" t="s">
        <v>364</v>
      </c>
      <c r="O251" s="15" t="s">
        <v>364</v>
      </c>
      <c r="P251" s="15" t="s">
        <v>364</v>
      </c>
      <c r="Q251" s="15" t="s">
        <v>364</v>
      </c>
      <c r="R251" s="15" t="s">
        <v>364</v>
      </c>
      <c r="S251" s="15" t="s">
        <v>364</v>
      </c>
      <c r="T251" s="15" t="s">
        <v>364</v>
      </c>
      <c r="U251" s="17" t="s">
        <v>364</v>
      </c>
      <c r="V251" s="17" t="s">
        <v>364</v>
      </c>
      <c r="W251" s="17" t="s">
        <v>364</v>
      </c>
      <c r="X251" s="17">
        <v>-0.43908279430789143</v>
      </c>
      <c r="Y251" s="17" t="s">
        <v>364</v>
      </c>
      <c r="Z251" s="17">
        <v>-0.30488590819216599</v>
      </c>
      <c r="AA251"/>
      <c r="AB251"/>
    </row>
    <row r="252" spans="1:28" hidden="1" outlineLevel="1" x14ac:dyDescent="0.25">
      <c r="A252" s="21" t="s">
        <v>367</v>
      </c>
      <c r="B252" s="21" t="s">
        <v>680</v>
      </c>
      <c r="C252" s="21" t="s">
        <v>363</v>
      </c>
      <c r="D252" s="15">
        <v>0</v>
      </c>
      <c r="E252" s="57" t="s">
        <v>364</v>
      </c>
      <c r="F252" s="15">
        <v>0</v>
      </c>
      <c r="G252" s="15">
        <v>0</v>
      </c>
      <c r="H252" s="57" t="s">
        <v>364</v>
      </c>
      <c r="I252" s="15">
        <v>0</v>
      </c>
      <c r="J252" s="15">
        <v>0</v>
      </c>
      <c r="K252" s="57" t="s">
        <v>364</v>
      </c>
      <c r="L252" s="15">
        <v>0</v>
      </c>
      <c r="M252" s="15" t="s">
        <v>364</v>
      </c>
      <c r="N252" s="15" t="s">
        <v>364</v>
      </c>
      <c r="O252" s="15" t="s">
        <v>364</v>
      </c>
      <c r="P252" s="15" t="s">
        <v>364</v>
      </c>
      <c r="Q252" s="15" t="s">
        <v>364</v>
      </c>
      <c r="R252" s="15" t="s">
        <v>364</v>
      </c>
      <c r="S252" s="15" t="s">
        <v>364</v>
      </c>
      <c r="T252" s="15" t="s">
        <v>364</v>
      </c>
      <c r="U252" s="17" t="s">
        <v>364</v>
      </c>
      <c r="V252" s="17" t="s">
        <v>364</v>
      </c>
      <c r="W252" s="17" t="s">
        <v>364</v>
      </c>
      <c r="X252" s="17" t="s">
        <v>364</v>
      </c>
      <c r="Y252" s="17" t="s">
        <v>364</v>
      </c>
      <c r="Z252" s="17" t="s">
        <v>364</v>
      </c>
      <c r="AA252"/>
      <c r="AB252"/>
    </row>
    <row r="253" spans="1:28" collapsed="1" x14ac:dyDescent="0.25">
      <c r="A253" s="5" t="s">
        <v>207</v>
      </c>
      <c r="B253" s="5" t="s">
        <v>213</v>
      </c>
      <c r="C253" s="5" t="s">
        <v>239</v>
      </c>
      <c r="D253" s="6">
        <v>0</v>
      </c>
      <c r="E253" s="53" t="s">
        <v>364</v>
      </c>
      <c r="F253" s="6">
        <v>0</v>
      </c>
      <c r="G253" s="6">
        <v>0</v>
      </c>
      <c r="H253" s="53" t="s">
        <v>364</v>
      </c>
      <c r="I253" s="6">
        <v>0</v>
      </c>
      <c r="J253" s="6">
        <v>43</v>
      </c>
      <c r="K253" s="53">
        <v>464.96813953488368</v>
      </c>
      <c r="L253" s="6">
        <v>19993.629999999997</v>
      </c>
      <c r="M253" s="6" t="s">
        <v>364</v>
      </c>
      <c r="N253" s="6" t="s">
        <v>364</v>
      </c>
      <c r="O253" s="6" t="s">
        <v>364</v>
      </c>
      <c r="P253" s="6" t="s">
        <v>364</v>
      </c>
      <c r="Q253" s="6" t="s">
        <v>364</v>
      </c>
      <c r="R253" s="6" t="s">
        <v>364</v>
      </c>
      <c r="S253" s="6" t="s">
        <v>364</v>
      </c>
      <c r="T253" s="6" t="s">
        <v>364</v>
      </c>
      <c r="U253" s="8" t="s">
        <v>364</v>
      </c>
      <c r="V253" s="8" t="s">
        <v>364</v>
      </c>
      <c r="W253" s="8" t="s">
        <v>364</v>
      </c>
      <c r="X253" s="8" t="s">
        <v>364</v>
      </c>
      <c r="Y253" s="8" t="s">
        <v>364</v>
      </c>
      <c r="Z253" s="8" t="s">
        <v>364</v>
      </c>
      <c r="AA253"/>
      <c r="AB253"/>
    </row>
    <row r="254" spans="1:28" hidden="1" outlineLevel="1" x14ac:dyDescent="0.25">
      <c r="A254" s="21" t="s">
        <v>367</v>
      </c>
      <c r="B254" s="21" t="s">
        <v>629</v>
      </c>
      <c r="C254" s="21" t="s">
        <v>362</v>
      </c>
      <c r="D254" s="15">
        <v>0</v>
      </c>
      <c r="E254" s="57" t="s">
        <v>364</v>
      </c>
      <c r="F254" s="15">
        <v>0</v>
      </c>
      <c r="G254" s="15">
        <v>0</v>
      </c>
      <c r="H254" s="57" t="s">
        <v>364</v>
      </c>
      <c r="I254" s="15">
        <v>0</v>
      </c>
      <c r="J254" s="15">
        <v>41</v>
      </c>
      <c r="K254" s="57">
        <v>483.35756097560966</v>
      </c>
      <c r="L254" s="15">
        <v>19817.659999999996</v>
      </c>
      <c r="M254" s="15" t="s">
        <v>364</v>
      </c>
      <c r="N254" s="15" t="s">
        <v>364</v>
      </c>
      <c r="O254" s="15" t="s">
        <v>364</v>
      </c>
      <c r="P254" s="15" t="s">
        <v>364</v>
      </c>
      <c r="Q254" s="15" t="s">
        <v>364</v>
      </c>
      <c r="R254" s="15" t="s">
        <v>364</v>
      </c>
      <c r="S254" s="15" t="s">
        <v>364</v>
      </c>
      <c r="T254" s="15" t="s">
        <v>364</v>
      </c>
      <c r="U254" s="17" t="s">
        <v>364</v>
      </c>
      <c r="V254" s="17" t="s">
        <v>364</v>
      </c>
      <c r="W254" s="17" t="s">
        <v>364</v>
      </c>
      <c r="X254" s="17" t="s">
        <v>364</v>
      </c>
      <c r="Y254" s="17" t="s">
        <v>364</v>
      </c>
      <c r="Z254" s="17" t="s">
        <v>364</v>
      </c>
      <c r="AA254"/>
      <c r="AB254"/>
    </row>
    <row r="255" spans="1:28" hidden="1" outlineLevel="1" x14ac:dyDescent="0.25">
      <c r="A255" s="21" t="s">
        <v>367</v>
      </c>
      <c r="B255" s="21" t="s">
        <v>630</v>
      </c>
      <c r="C255" s="21" t="s">
        <v>363</v>
      </c>
      <c r="D255" s="15">
        <v>0</v>
      </c>
      <c r="E255" s="57" t="s">
        <v>364</v>
      </c>
      <c r="F255" s="15">
        <v>0</v>
      </c>
      <c r="G255" s="15">
        <v>0</v>
      </c>
      <c r="H255" s="57" t="s">
        <v>364</v>
      </c>
      <c r="I255" s="15">
        <v>0</v>
      </c>
      <c r="J255" s="15">
        <v>2</v>
      </c>
      <c r="K255" s="57">
        <v>87.984999999999999</v>
      </c>
      <c r="L255" s="15">
        <v>175.97</v>
      </c>
      <c r="M255" s="15" t="s">
        <v>364</v>
      </c>
      <c r="N255" s="15" t="s">
        <v>364</v>
      </c>
      <c r="O255" s="15" t="s">
        <v>364</v>
      </c>
      <c r="P255" s="15" t="s">
        <v>364</v>
      </c>
      <c r="Q255" s="15" t="s">
        <v>364</v>
      </c>
      <c r="R255" s="15" t="s">
        <v>364</v>
      </c>
      <c r="S255" s="15" t="s">
        <v>364</v>
      </c>
      <c r="T255" s="15" t="s">
        <v>364</v>
      </c>
      <c r="U255" s="17" t="s">
        <v>364</v>
      </c>
      <c r="V255" s="17" t="s">
        <v>364</v>
      </c>
      <c r="W255" s="17" t="s">
        <v>364</v>
      </c>
      <c r="X255" s="17" t="s">
        <v>364</v>
      </c>
      <c r="Y255" s="17" t="s">
        <v>364</v>
      </c>
      <c r="Z255" s="17" t="s">
        <v>364</v>
      </c>
      <c r="AA255"/>
      <c r="AB255"/>
    </row>
    <row r="256" spans="1:28" collapsed="1" x14ac:dyDescent="0.25">
      <c r="A256" s="5" t="s">
        <v>207</v>
      </c>
      <c r="B256" s="5" t="s">
        <v>213</v>
      </c>
      <c r="C256" s="5" t="s">
        <v>59</v>
      </c>
      <c r="D256" s="6">
        <v>0</v>
      </c>
      <c r="E256" s="53" t="s">
        <v>364</v>
      </c>
      <c r="F256" s="6">
        <v>0</v>
      </c>
      <c r="G256" s="6">
        <v>0</v>
      </c>
      <c r="H256" s="53" t="s">
        <v>364</v>
      </c>
      <c r="I256" s="6">
        <v>0</v>
      </c>
      <c r="J256" s="6">
        <v>44</v>
      </c>
      <c r="K256" s="53">
        <v>470.27931818181821</v>
      </c>
      <c r="L256" s="6">
        <v>20692.29</v>
      </c>
      <c r="M256" s="6" t="s">
        <v>364</v>
      </c>
      <c r="N256" s="6" t="s">
        <v>364</v>
      </c>
      <c r="O256" s="6" t="s">
        <v>364</v>
      </c>
      <c r="P256" s="6" t="s">
        <v>364</v>
      </c>
      <c r="Q256" s="6" t="s">
        <v>364</v>
      </c>
      <c r="R256" s="6" t="s">
        <v>364</v>
      </c>
      <c r="S256" s="6" t="s">
        <v>364</v>
      </c>
      <c r="T256" s="6" t="s">
        <v>364</v>
      </c>
      <c r="U256" s="8" t="s">
        <v>364</v>
      </c>
      <c r="V256" s="8" t="s">
        <v>364</v>
      </c>
      <c r="W256" s="8" t="s">
        <v>364</v>
      </c>
      <c r="X256" s="8" t="s">
        <v>364</v>
      </c>
      <c r="Y256" s="8" t="s">
        <v>364</v>
      </c>
      <c r="Z256" s="8" t="s">
        <v>364</v>
      </c>
      <c r="AA256"/>
      <c r="AB256"/>
    </row>
    <row r="257" spans="1:29" hidden="1" outlineLevel="1" x14ac:dyDescent="0.25">
      <c r="A257" s="21" t="s">
        <v>367</v>
      </c>
      <c r="B257" s="21" t="s">
        <v>386</v>
      </c>
      <c r="C257" s="21" t="s">
        <v>362</v>
      </c>
      <c r="D257" s="15">
        <v>0</v>
      </c>
      <c r="E257" s="57" t="s">
        <v>364</v>
      </c>
      <c r="F257" s="15">
        <v>0</v>
      </c>
      <c r="G257" s="15">
        <v>0</v>
      </c>
      <c r="H257" s="57" t="s">
        <v>364</v>
      </c>
      <c r="I257" s="15">
        <v>0</v>
      </c>
      <c r="J257" s="15">
        <v>41</v>
      </c>
      <c r="K257" s="57">
        <v>493.5326829268293</v>
      </c>
      <c r="L257" s="15">
        <v>20234.84</v>
      </c>
      <c r="M257" s="15" t="s">
        <v>364</v>
      </c>
      <c r="N257" s="15" t="s">
        <v>364</v>
      </c>
      <c r="O257" s="15" t="s">
        <v>364</v>
      </c>
      <c r="P257" s="15" t="s">
        <v>364</v>
      </c>
      <c r="Q257" s="15" t="s">
        <v>364</v>
      </c>
      <c r="R257" s="15" t="s">
        <v>364</v>
      </c>
      <c r="S257" s="15" t="s">
        <v>364</v>
      </c>
      <c r="T257" s="15" t="s">
        <v>364</v>
      </c>
      <c r="U257" s="17" t="s">
        <v>364</v>
      </c>
      <c r="V257" s="17" t="s">
        <v>364</v>
      </c>
      <c r="W257" s="17" t="s">
        <v>364</v>
      </c>
      <c r="X257" s="17" t="s">
        <v>364</v>
      </c>
      <c r="Y257" s="17" t="s">
        <v>364</v>
      </c>
      <c r="Z257" s="17" t="s">
        <v>364</v>
      </c>
      <c r="AA257"/>
      <c r="AB257"/>
    </row>
    <row r="258" spans="1:29" hidden="1" outlineLevel="1" x14ac:dyDescent="0.25">
      <c r="A258" s="21" t="s">
        <v>367</v>
      </c>
      <c r="B258" s="21" t="s">
        <v>388</v>
      </c>
      <c r="C258" s="21" t="s">
        <v>363</v>
      </c>
      <c r="D258" s="15">
        <v>0</v>
      </c>
      <c r="E258" s="57" t="s">
        <v>364</v>
      </c>
      <c r="F258" s="15">
        <v>0</v>
      </c>
      <c r="G258" s="15">
        <v>0</v>
      </c>
      <c r="H258" s="57" t="s">
        <v>364</v>
      </c>
      <c r="I258" s="15">
        <v>0</v>
      </c>
      <c r="J258" s="15">
        <v>3</v>
      </c>
      <c r="K258" s="57">
        <v>152.48333333333332</v>
      </c>
      <c r="L258" s="15">
        <v>457.45</v>
      </c>
      <c r="M258" s="15" t="s">
        <v>364</v>
      </c>
      <c r="N258" s="15" t="s">
        <v>364</v>
      </c>
      <c r="O258" s="15" t="s">
        <v>364</v>
      </c>
      <c r="P258" s="15" t="s">
        <v>364</v>
      </c>
      <c r="Q258" s="15" t="s">
        <v>364</v>
      </c>
      <c r="R258" s="15" t="s">
        <v>364</v>
      </c>
      <c r="S258" s="15" t="s">
        <v>364</v>
      </c>
      <c r="T258" s="15" t="s">
        <v>364</v>
      </c>
      <c r="U258" s="17" t="s">
        <v>364</v>
      </c>
      <c r="V258" s="17" t="s">
        <v>364</v>
      </c>
      <c r="W258" s="17" t="s">
        <v>364</v>
      </c>
      <c r="X258" s="17" t="s">
        <v>364</v>
      </c>
      <c r="Y258" s="17" t="s">
        <v>364</v>
      </c>
      <c r="Z258" s="17" t="s">
        <v>364</v>
      </c>
      <c r="AA258"/>
      <c r="AB258"/>
    </row>
    <row r="259" spans="1:29" collapsed="1" x14ac:dyDescent="0.25">
      <c r="A259" s="5" t="s">
        <v>207</v>
      </c>
      <c r="B259" s="5" t="s">
        <v>210</v>
      </c>
      <c r="C259" s="5" t="s">
        <v>235</v>
      </c>
      <c r="D259" s="6">
        <v>0</v>
      </c>
      <c r="E259" s="53" t="s">
        <v>364</v>
      </c>
      <c r="F259" s="6">
        <v>0</v>
      </c>
      <c r="G259" s="6">
        <v>0</v>
      </c>
      <c r="H259" s="53" t="s">
        <v>364</v>
      </c>
      <c r="I259" s="6">
        <v>0</v>
      </c>
      <c r="J259" s="6">
        <v>13</v>
      </c>
      <c r="K259" s="53">
        <v>16.079999999999998</v>
      </c>
      <c r="L259" s="6">
        <v>209.04</v>
      </c>
      <c r="M259" s="6" t="s">
        <v>364</v>
      </c>
      <c r="N259" s="6" t="s">
        <v>364</v>
      </c>
      <c r="O259" s="6" t="s">
        <v>364</v>
      </c>
      <c r="P259" s="6" t="s">
        <v>364</v>
      </c>
      <c r="Q259" s="6" t="s">
        <v>364</v>
      </c>
      <c r="R259" s="6" t="s">
        <v>364</v>
      </c>
      <c r="S259" s="6" t="s">
        <v>364</v>
      </c>
      <c r="T259" s="6" t="s">
        <v>364</v>
      </c>
      <c r="U259" s="8" t="s">
        <v>364</v>
      </c>
      <c r="V259" s="8" t="s">
        <v>364</v>
      </c>
      <c r="W259" s="8" t="s">
        <v>364</v>
      </c>
      <c r="X259" s="8" t="s">
        <v>364</v>
      </c>
      <c r="Y259" s="8" t="s">
        <v>364</v>
      </c>
      <c r="Z259" s="8" t="s">
        <v>364</v>
      </c>
      <c r="AA259"/>
      <c r="AB259"/>
    </row>
    <row r="260" spans="1:29" hidden="1" outlineLevel="1" x14ac:dyDescent="0.25">
      <c r="A260" s="21" t="s">
        <v>367</v>
      </c>
      <c r="B260" s="21" t="s">
        <v>621</v>
      </c>
      <c r="C260" s="21" t="s">
        <v>362</v>
      </c>
      <c r="D260" s="15">
        <v>0</v>
      </c>
      <c r="E260" s="57" t="s">
        <v>364</v>
      </c>
      <c r="F260" s="15">
        <v>0</v>
      </c>
      <c r="G260" s="15">
        <v>0</v>
      </c>
      <c r="H260" s="57" t="s">
        <v>364</v>
      </c>
      <c r="I260" s="15">
        <v>0</v>
      </c>
      <c r="J260" s="15">
        <v>13</v>
      </c>
      <c r="K260" s="57">
        <v>16.079999999999998</v>
      </c>
      <c r="L260" s="15">
        <v>209.04</v>
      </c>
      <c r="M260" s="15" t="s">
        <v>364</v>
      </c>
      <c r="N260" s="15" t="s">
        <v>364</v>
      </c>
      <c r="O260" s="15" t="s">
        <v>364</v>
      </c>
      <c r="P260" s="15" t="s">
        <v>364</v>
      </c>
      <c r="Q260" s="15" t="s">
        <v>364</v>
      </c>
      <c r="R260" s="15" t="s">
        <v>364</v>
      </c>
      <c r="S260" s="15" t="s">
        <v>364</v>
      </c>
      <c r="T260" s="15" t="s">
        <v>364</v>
      </c>
      <c r="U260" s="17" t="s">
        <v>364</v>
      </c>
      <c r="V260" s="17" t="s">
        <v>364</v>
      </c>
      <c r="W260" s="17" t="s">
        <v>364</v>
      </c>
      <c r="X260" s="17" t="s">
        <v>364</v>
      </c>
      <c r="Y260" s="17" t="s">
        <v>364</v>
      </c>
      <c r="Z260" s="17" t="s">
        <v>364</v>
      </c>
      <c r="AA260"/>
      <c r="AB260"/>
    </row>
    <row r="261" spans="1:29" hidden="1" outlineLevel="1" x14ac:dyDescent="0.25">
      <c r="A261" s="21" t="s">
        <v>367</v>
      </c>
      <c r="B261" s="21" t="s">
        <v>622</v>
      </c>
      <c r="C261" s="21" t="s">
        <v>363</v>
      </c>
      <c r="D261" s="15">
        <v>0</v>
      </c>
      <c r="E261" s="57" t="s">
        <v>364</v>
      </c>
      <c r="F261" s="15">
        <v>0</v>
      </c>
      <c r="G261" s="15">
        <v>0</v>
      </c>
      <c r="H261" s="57" t="s">
        <v>364</v>
      </c>
      <c r="I261" s="15">
        <v>0</v>
      </c>
      <c r="J261" s="15">
        <v>0</v>
      </c>
      <c r="K261" s="57" t="s">
        <v>364</v>
      </c>
      <c r="L261" s="15">
        <v>0</v>
      </c>
      <c r="M261" s="15" t="s">
        <v>364</v>
      </c>
      <c r="N261" s="15" t="s">
        <v>364</v>
      </c>
      <c r="O261" s="15" t="s">
        <v>364</v>
      </c>
      <c r="P261" s="15" t="s">
        <v>364</v>
      </c>
      <c r="Q261" s="15" t="s">
        <v>364</v>
      </c>
      <c r="R261" s="15" t="s">
        <v>364</v>
      </c>
      <c r="S261" s="15" t="s">
        <v>364</v>
      </c>
      <c r="T261" s="15" t="s">
        <v>364</v>
      </c>
      <c r="U261" s="17" t="s">
        <v>364</v>
      </c>
      <c r="V261" s="17" t="s">
        <v>364</v>
      </c>
      <c r="W261" s="17" t="s">
        <v>364</v>
      </c>
      <c r="X261" s="17" t="s">
        <v>364</v>
      </c>
      <c r="Y261" s="17" t="s">
        <v>364</v>
      </c>
      <c r="Z261" s="17" t="s">
        <v>364</v>
      </c>
      <c r="AA261"/>
      <c r="AB261"/>
    </row>
    <row r="262" spans="1:29" collapsed="1" x14ac:dyDescent="0.25">
      <c r="A262" s="5" t="s">
        <v>207</v>
      </c>
      <c r="B262" s="5" t="s">
        <v>209</v>
      </c>
      <c r="C262" s="5" t="s">
        <v>233</v>
      </c>
      <c r="D262" s="6">
        <v>0</v>
      </c>
      <c r="E262" s="53" t="s">
        <v>364</v>
      </c>
      <c r="F262" s="6">
        <v>0</v>
      </c>
      <c r="G262" s="6">
        <v>0</v>
      </c>
      <c r="H262" s="53" t="s">
        <v>364</v>
      </c>
      <c r="I262" s="6">
        <v>0</v>
      </c>
      <c r="J262" s="6">
        <v>150</v>
      </c>
      <c r="K262" s="53">
        <v>284.18746666666664</v>
      </c>
      <c r="L262" s="6">
        <v>42628.119999999995</v>
      </c>
      <c r="M262" s="6" t="s">
        <v>364</v>
      </c>
      <c r="N262" s="6" t="s">
        <v>364</v>
      </c>
      <c r="O262" s="6" t="s">
        <v>364</v>
      </c>
      <c r="P262" s="6" t="s">
        <v>364</v>
      </c>
      <c r="Q262" s="6" t="s">
        <v>364</v>
      </c>
      <c r="R262" s="6" t="s">
        <v>364</v>
      </c>
      <c r="S262" s="6" t="s">
        <v>364</v>
      </c>
      <c r="T262" s="6" t="s">
        <v>364</v>
      </c>
      <c r="U262" s="8" t="s">
        <v>364</v>
      </c>
      <c r="V262" s="8" t="s">
        <v>364</v>
      </c>
      <c r="W262" s="8" t="s">
        <v>364</v>
      </c>
      <c r="X262" s="8" t="s">
        <v>364</v>
      </c>
      <c r="Y262" s="8" t="s">
        <v>364</v>
      </c>
      <c r="Z262" s="8" t="s">
        <v>364</v>
      </c>
      <c r="AA262"/>
      <c r="AB262"/>
    </row>
    <row r="263" spans="1:29" hidden="1" outlineLevel="1" x14ac:dyDescent="0.25">
      <c r="A263" s="21" t="s">
        <v>367</v>
      </c>
      <c r="B263" s="21" t="s">
        <v>617</v>
      </c>
      <c r="C263" s="21" t="s">
        <v>362</v>
      </c>
      <c r="D263" s="15">
        <v>0</v>
      </c>
      <c r="E263" s="57" t="s">
        <v>364</v>
      </c>
      <c r="F263" s="15">
        <v>0</v>
      </c>
      <c r="G263" s="15">
        <v>0</v>
      </c>
      <c r="H263" s="57" t="s">
        <v>364</v>
      </c>
      <c r="I263" s="15">
        <v>0</v>
      </c>
      <c r="J263" s="15">
        <v>130</v>
      </c>
      <c r="K263" s="57">
        <v>287.05015384615382</v>
      </c>
      <c r="L263" s="15">
        <v>37316.519999999997</v>
      </c>
      <c r="M263" s="15" t="s">
        <v>364</v>
      </c>
      <c r="N263" s="15" t="s">
        <v>364</v>
      </c>
      <c r="O263" s="15" t="s">
        <v>364</v>
      </c>
      <c r="P263" s="15" t="s">
        <v>364</v>
      </c>
      <c r="Q263" s="15" t="s">
        <v>364</v>
      </c>
      <c r="R263" s="15" t="s">
        <v>364</v>
      </c>
      <c r="S263" s="15" t="s">
        <v>364</v>
      </c>
      <c r="T263" s="15" t="s">
        <v>364</v>
      </c>
      <c r="U263" s="17" t="s">
        <v>364</v>
      </c>
      <c r="V263" s="17" t="s">
        <v>364</v>
      </c>
      <c r="W263" s="17" t="s">
        <v>364</v>
      </c>
      <c r="X263" s="17" t="s">
        <v>364</v>
      </c>
      <c r="Y263" s="17" t="s">
        <v>364</v>
      </c>
      <c r="Z263" s="17" t="s">
        <v>364</v>
      </c>
      <c r="AA263"/>
      <c r="AB263"/>
    </row>
    <row r="264" spans="1:29" hidden="1" outlineLevel="1" x14ac:dyDescent="0.25">
      <c r="A264" s="21" t="s">
        <v>367</v>
      </c>
      <c r="B264" s="21" t="s">
        <v>618</v>
      </c>
      <c r="C264" s="21" t="s">
        <v>363</v>
      </c>
      <c r="D264" s="15">
        <v>0</v>
      </c>
      <c r="E264" s="57" t="s">
        <v>364</v>
      </c>
      <c r="F264" s="15">
        <v>0</v>
      </c>
      <c r="G264" s="15">
        <v>0</v>
      </c>
      <c r="H264" s="57" t="s">
        <v>364</v>
      </c>
      <c r="I264" s="15">
        <v>0</v>
      </c>
      <c r="J264" s="15">
        <v>20</v>
      </c>
      <c r="K264" s="57">
        <v>265.58000000000004</v>
      </c>
      <c r="L264" s="15">
        <v>5311.6000000000013</v>
      </c>
      <c r="M264" s="15" t="s">
        <v>364</v>
      </c>
      <c r="N264" s="15" t="s">
        <v>364</v>
      </c>
      <c r="O264" s="15" t="s">
        <v>364</v>
      </c>
      <c r="P264" s="15" t="s">
        <v>364</v>
      </c>
      <c r="Q264" s="15" t="s">
        <v>364</v>
      </c>
      <c r="R264" s="15" t="s">
        <v>364</v>
      </c>
      <c r="S264" s="15" t="s">
        <v>364</v>
      </c>
      <c r="T264" s="15" t="s">
        <v>364</v>
      </c>
      <c r="U264" s="17" t="s">
        <v>364</v>
      </c>
      <c r="V264" s="17" t="s">
        <v>364</v>
      </c>
      <c r="W264" s="17" t="s">
        <v>364</v>
      </c>
      <c r="X264" s="17" t="s">
        <v>364</v>
      </c>
      <c r="Y264" s="17" t="s">
        <v>364</v>
      </c>
      <c r="Z264" s="17" t="s">
        <v>364</v>
      </c>
      <c r="AA264"/>
      <c r="AB264"/>
    </row>
    <row r="265" spans="1:29" collapsed="1" x14ac:dyDescent="0.25">
      <c r="A265" s="5" t="s">
        <v>208</v>
      </c>
      <c r="B265" s="5" t="s">
        <v>209</v>
      </c>
      <c r="C265" s="5" t="s">
        <v>234</v>
      </c>
      <c r="D265" s="6">
        <v>0</v>
      </c>
      <c r="E265" s="53" t="s">
        <v>364</v>
      </c>
      <c r="F265" s="6">
        <v>0</v>
      </c>
      <c r="G265" s="6">
        <v>0</v>
      </c>
      <c r="H265" s="53" t="s">
        <v>364</v>
      </c>
      <c r="I265" s="6">
        <v>0</v>
      </c>
      <c r="J265" s="6">
        <v>38</v>
      </c>
      <c r="K265" s="53">
        <v>199.56578947368422</v>
      </c>
      <c r="L265" s="6">
        <v>7583.5</v>
      </c>
      <c r="M265" s="6" t="s">
        <v>364</v>
      </c>
      <c r="N265" s="6" t="s">
        <v>364</v>
      </c>
      <c r="O265" s="6" t="s">
        <v>364</v>
      </c>
      <c r="P265" s="6" t="s">
        <v>364</v>
      </c>
      <c r="Q265" s="6" t="s">
        <v>364</v>
      </c>
      <c r="R265" s="6" t="s">
        <v>364</v>
      </c>
      <c r="S265" s="6" t="s">
        <v>364</v>
      </c>
      <c r="T265" s="6" t="s">
        <v>364</v>
      </c>
      <c r="U265" s="8" t="s">
        <v>364</v>
      </c>
      <c r="V265" s="8" t="s">
        <v>364</v>
      </c>
      <c r="W265" s="8" t="s">
        <v>364</v>
      </c>
      <c r="X265" s="8" t="s">
        <v>364</v>
      </c>
      <c r="Y265" s="8" t="s">
        <v>364</v>
      </c>
      <c r="Z265" s="8" t="s">
        <v>364</v>
      </c>
      <c r="AC265" s="3"/>
    </row>
    <row r="266" spans="1:29" hidden="1" outlineLevel="1" x14ac:dyDescent="0.25">
      <c r="A266" s="21" t="s">
        <v>367</v>
      </c>
      <c r="B266" s="21" t="s">
        <v>619</v>
      </c>
      <c r="C266" s="21" t="s">
        <v>362</v>
      </c>
      <c r="D266" s="15">
        <v>0</v>
      </c>
      <c r="E266" s="57" t="s">
        <v>364</v>
      </c>
      <c r="F266" s="15">
        <v>0</v>
      </c>
      <c r="G266" s="15">
        <v>0</v>
      </c>
      <c r="H266" s="57" t="s">
        <v>364</v>
      </c>
      <c r="I266" s="15">
        <v>0</v>
      </c>
      <c r="J266" s="15">
        <v>38</v>
      </c>
      <c r="K266" s="57">
        <v>199.56578947368422</v>
      </c>
      <c r="L266" s="15">
        <v>7583.5</v>
      </c>
      <c r="M266" s="15" t="s">
        <v>364</v>
      </c>
      <c r="N266" s="15" t="s">
        <v>364</v>
      </c>
      <c r="O266" s="15" t="s">
        <v>364</v>
      </c>
      <c r="P266" s="15" t="s">
        <v>364</v>
      </c>
      <c r="Q266" s="15" t="s">
        <v>364</v>
      </c>
      <c r="R266" s="15" t="s">
        <v>364</v>
      </c>
      <c r="S266" s="15" t="s">
        <v>364</v>
      </c>
      <c r="T266" s="15" t="s">
        <v>364</v>
      </c>
      <c r="U266" s="17" t="s">
        <v>364</v>
      </c>
      <c r="V266" s="17" t="s">
        <v>364</v>
      </c>
      <c r="W266" s="17" t="s">
        <v>364</v>
      </c>
      <c r="X266" s="17" t="s">
        <v>364</v>
      </c>
      <c r="Y266" s="17" t="s">
        <v>364</v>
      </c>
      <c r="Z266" s="17" t="s">
        <v>364</v>
      </c>
      <c r="AC266" s="3"/>
    </row>
    <row r="267" spans="1:29" hidden="1" outlineLevel="1" x14ac:dyDescent="0.25">
      <c r="A267" s="21" t="s">
        <v>367</v>
      </c>
      <c r="B267" s="21" t="s">
        <v>620</v>
      </c>
      <c r="C267" s="21" t="s">
        <v>363</v>
      </c>
      <c r="D267" s="15">
        <v>0</v>
      </c>
      <c r="E267" s="57" t="s">
        <v>364</v>
      </c>
      <c r="F267" s="15">
        <v>0</v>
      </c>
      <c r="G267" s="15">
        <v>0</v>
      </c>
      <c r="H267" s="57" t="s">
        <v>364</v>
      </c>
      <c r="I267" s="15">
        <v>0</v>
      </c>
      <c r="J267" s="15">
        <v>0</v>
      </c>
      <c r="K267" s="57" t="s">
        <v>364</v>
      </c>
      <c r="L267" s="15">
        <v>0</v>
      </c>
      <c r="M267" s="15" t="s">
        <v>364</v>
      </c>
      <c r="N267" s="15" t="s">
        <v>364</v>
      </c>
      <c r="O267" s="15" t="s">
        <v>364</v>
      </c>
      <c r="P267" s="15" t="s">
        <v>364</v>
      </c>
      <c r="Q267" s="15" t="s">
        <v>364</v>
      </c>
      <c r="R267" s="15" t="s">
        <v>364</v>
      </c>
      <c r="S267" s="15" t="s">
        <v>364</v>
      </c>
      <c r="T267" s="15" t="s">
        <v>364</v>
      </c>
      <c r="U267" s="17" t="s">
        <v>364</v>
      </c>
      <c r="V267" s="17" t="s">
        <v>364</v>
      </c>
      <c r="W267" s="17" t="s">
        <v>364</v>
      </c>
      <c r="X267" s="17" t="s">
        <v>364</v>
      </c>
      <c r="Y267" s="17" t="s">
        <v>364</v>
      </c>
      <c r="Z267" s="17" t="s">
        <v>364</v>
      </c>
      <c r="AC267" s="3"/>
    </row>
    <row r="268" spans="1:29" collapsed="1" x14ac:dyDescent="0.25">
      <c r="A268" s="5" t="s">
        <v>208</v>
      </c>
      <c r="B268" s="5" t="s">
        <v>44</v>
      </c>
      <c r="C268" s="5" t="s">
        <v>238</v>
      </c>
      <c r="D268" s="6">
        <v>0</v>
      </c>
      <c r="E268" s="53" t="s">
        <v>364</v>
      </c>
      <c r="F268" s="6">
        <v>0</v>
      </c>
      <c r="G268" s="6">
        <v>0</v>
      </c>
      <c r="H268" s="53" t="s">
        <v>364</v>
      </c>
      <c r="I268" s="6">
        <v>0</v>
      </c>
      <c r="J268" s="6">
        <v>8</v>
      </c>
      <c r="K268" s="53">
        <v>445.28750000000002</v>
      </c>
      <c r="L268" s="6">
        <v>3562.3</v>
      </c>
      <c r="M268" s="6" t="s">
        <v>364</v>
      </c>
      <c r="N268" s="6" t="s">
        <v>364</v>
      </c>
      <c r="O268" s="6" t="s">
        <v>364</v>
      </c>
      <c r="P268" s="6" t="s">
        <v>364</v>
      </c>
      <c r="Q268" s="6" t="s">
        <v>364</v>
      </c>
      <c r="R268" s="6" t="s">
        <v>364</v>
      </c>
      <c r="S268" s="6" t="s">
        <v>364</v>
      </c>
      <c r="T268" s="6" t="s">
        <v>364</v>
      </c>
      <c r="U268" s="8" t="s">
        <v>364</v>
      </c>
      <c r="V268" s="8" t="s">
        <v>364</v>
      </c>
      <c r="W268" s="8" t="s">
        <v>364</v>
      </c>
      <c r="X268" s="8" t="s">
        <v>364</v>
      </c>
      <c r="Y268" s="8" t="s">
        <v>364</v>
      </c>
      <c r="Z268" s="8" t="s">
        <v>364</v>
      </c>
      <c r="AC268" s="3"/>
    </row>
    <row r="269" spans="1:29" hidden="1" outlineLevel="1" x14ac:dyDescent="0.25">
      <c r="A269" s="21" t="s">
        <v>367</v>
      </c>
      <c r="B269" s="21" t="s">
        <v>627</v>
      </c>
      <c r="C269" s="21" t="s">
        <v>362</v>
      </c>
      <c r="D269" s="15">
        <v>0</v>
      </c>
      <c r="E269" s="57" t="s">
        <v>364</v>
      </c>
      <c r="F269" s="15">
        <v>0</v>
      </c>
      <c r="G269" s="15">
        <v>0</v>
      </c>
      <c r="H269" s="57" t="s">
        <v>364</v>
      </c>
      <c r="I269" s="15">
        <v>0</v>
      </c>
      <c r="J269" s="15">
        <v>7</v>
      </c>
      <c r="K269" s="57">
        <v>406.57142857142856</v>
      </c>
      <c r="L269" s="15">
        <v>2846</v>
      </c>
      <c r="M269" s="15" t="s">
        <v>364</v>
      </c>
      <c r="N269" s="15" t="s">
        <v>364</v>
      </c>
      <c r="O269" s="15" t="s">
        <v>364</v>
      </c>
      <c r="P269" s="15" t="s">
        <v>364</v>
      </c>
      <c r="Q269" s="15" t="s">
        <v>364</v>
      </c>
      <c r="R269" s="15" t="s">
        <v>364</v>
      </c>
      <c r="S269" s="15" t="s">
        <v>364</v>
      </c>
      <c r="T269" s="15" t="s">
        <v>364</v>
      </c>
      <c r="U269" s="17" t="s">
        <v>364</v>
      </c>
      <c r="V269" s="17" t="s">
        <v>364</v>
      </c>
      <c r="W269" s="17" t="s">
        <v>364</v>
      </c>
      <c r="X269" s="17" t="s">
        <v>364</v>
      </c>
      <c r="Y269" s="17" t="s">
        <v>364</v>
      </c>
      <c r="Z269" s="17" t="s">
        <v>364</v>
      </c>
      <c r="AC269" s="3"/>
    </row>
    <row r="270" spans="1:29" hidden="1" outlineLevel="1" x14ac:dyDescent="0.25">
      <c r="A270" s="21" t="s">
        <v>367</v>
      </c>
      <c r="B270" s="21" t="s">
        <v>628</v>
      </c>
      <c r="C270" s="21" t="s">
        <v>363</v>
      </c>
      <c r="D270" s="15">
        <v>0</v>
      </c>
      <c r="E270" s="57" t="s">
        <v>364</v>
      </c>
      <c r="F270" s="15">
        <v>0</v>
      </c>
      <c r="G270" s="15">
        <v>0</v>
      </c>
      <c r="H270" s="57" t="s">
        <v>364</v>
      </c>
      <c r="I270" s="15">
        <v>0</v>
      </c>
      <c r="J270" s="15">
        <v>1</v>
      </c>
      <c r="K270" s="57">
        <v>716.3</v>
      </c>
      <c r="L270" s="15">
        <v>716.3</v>
      </c>
      <c r="M270" s="15" t="s">
        <v>364</v>
      </c>
      <c r="N270" s="15" t="s">
        <v>364</v>
      </c>
      <c r="O270" s="15" t="s">
        <v>364</v>
      </c>
      <c r="P270" s="15" t="s">
        <v>364</v>
      </c>
      <c r="Q270" s="15" t="s">
        <v>364</v>
      </c>
      <c r="R270" s="15" t="s">
        <v>364</v>
      </c>
      <c r="S270" s="15" t="s">
        <v>364</v>
      </c>
      <c r="T270" s="15" t="s">
        <v>364</v>
      </c>
      <c r="U270" s="17" t="s">
        <v>364</v>
      </c>
      <c r="V270" s="17" t="s">
        <v>364</v>
      </c>
      <c r="W270" s="17" t="s">
        <v>364</v>
      </c>
      <c r="X270" s="17" t="s">
        <v>364</v>
      </c>
      <c r="Y270" s="17" t="s">
        <v>364</v>
      </c>
      <c r="Z270" s="17" t="s">
        <v>364</v>
      </c>
      <c r="AC270" s="3"/>
    </row>
    <row r="271" spans="1:29" collapsed="1" x14ac:dyDescent="0.25">
      <c r="A271" s="5" t="s">
        <v>207</v>
      </c>
      <c r="B271" s="5" t="s">
        <v>213</v>
      </c>
      <c r="C271" s="5" t="s">
        <v>232</v>
      </c>
      <c r="D271" s="6">
        <v>0</v>
      </c>
      <c r="E271" s="53" t="s">
        <v>364</v>
      </c>
      <c r="F271" s="6">
        <v>0</v>
      </c>
      <c r="G271" s="6">
        <v>0</v>
      </c>
      <c r="H271" s="53" t="s">
        <v>364</v>
      </c>
      <c r="I271" s="6">
        <v>0</v>
      </c>
      <c r="J271" s="6">
        <v>2</v>
      </c>
      <c r="K271" s="53">
        <v>6.45</v>
      </c>
      <c r="L271" s="6">
        <v>12.9</v>
      </c>
      <c r="M271" s="6" t="s">
        <v>364</v>
      </c>
      <c r="N271" s="6" t="s">
        <v>364</v>
      </c>
      <c r="O271" s="6" t="s">
        <v>364</v>
      </c>
      <c r="P271" s="6" t="s">
        <v>364</v>
      </c>
      <c r="Q271" s="6" t="s">
        <v>364</v>
      </c>
      <c r="R271" s="6" t="s">
        <v>364</v>
      </c>
      <c r="S271" s="6" t="s">
        <v>364</v>
      </c>
      <c r="T271" s="6" t="s">
        <v>364</v>
      </c>
      <c r="U271" s="8" t="s">
        <v>364</v>
      </c>
      <c r="V271" s="8" t="s">
        <v>364</v>
      </c>
      <c r="W271" s="8" t="s">
        <v>364</v>
      </c>
      <c r="X271" s="8" t="s">
        <v>364</v>
      </c>
      <c r="Y271" s="8" t="s">
        <v>364</v>
      </c>
      <c r="Z271" s="8" t="s">
        <v>364</v>
      </c>
      <c r="AC271" s="3"/>
    </row>
    <row r="272" spans="1:29" hidden="1" outlineLevel="1" x14ac:dyDescent="0.25">
      <c r="A272" s="21" t="s">
        <v>367</v>
      </c>
      <c r="B272" s="21" t="s">
        <v>615</v>
      </c>
      <c r="C272" s="21" t="s">
        <v>362</v>
      </c>
      <c r="D272" s="15">
        <v>0</v>
      </c>
      <c r="E272" s="57" t="s">
        <v>364</v>
      </c>
      <c r="F272" s="15">
        <v>0</v>
      </c>
      <c r="G272" s="15">
        <v>0</v>
      </c>
      <c r="H272" s="57" t="s">
        <v>364</v>
      </c>
      <c r="I272" s="15">
        <v>0</v>
      </c>
      <c r="J272" s="15">
        <v>2</v>
      </c>
      <c r="K272" s="57">
        <v>6.45</v>
      </c>
      <c r="L272" s="15">
        <v>12.9</v>
      </c>
      <c r="M272" s="15" t="s">
        <v>364</v>
      </c>
      <c r="N272" s="15" t="s">
        <v>364</v>
      </c>
      <c r="O272" s="15" t="s">
        <v>364</v>
      </c>
      <c r="P272" s="15" t="s">
        <v>364</v>
      </c>
      <c r="Q272" s="15" t="s">
        <v>364</v>
      </c>
      <c r="R272" s="15" t="s">
        <v>364</v>
      </c>
      <c r="S272" s="15" t="s">
        <v>364</v>
      </c>
      <c r="T272" s="15" t="s">
        <v>364</v>
      </c>
      <c r="U272" s="17" t="s">
        <v>364</v>
      </c>
      <c r="V272" s="17" t="s">
        <v>364</v>
      </c>
      <c r="W272" s="17" t="s">
        <v>364</v>
      </c>
      <c r="X272" s="17" t="s">
        <v>364</v>
      </c>
      <c r="Y272" s="17" t="s">
        <v>364</v>
      </c>
      <c r="Z272" s="17" t="s">
        <v>364</v>
      </c>
      <c r="AC272" s="3"/>
    </row>
    <row r="273" spans="1:29" hidden="1" outlineLevel="1" x14ac:dyDescent="0.25">
      <c r="A273" s="21" t="s">
        <v>367</v>
      </c>
      <c r="B273" s="21" t="s">
        <v>616</v>
      </c>
      <c r="C273" s="21" t="s">
        <v>363</v>
      </c>
      <c r="D273" s="15">
        <v>0</v>
      </c>
      <c r="E273" s="57" t="s">
        <v>364</v>
      </c>
      <c r="F273" s="15">
        <v>0</v>
      </c>
      <c r="G273" s="15">
        <v>0</v>
      </c>
      <c r="H273" s="57" t="s">
        <v>364</v>
      </c>
      <c r="I273" s="15">
        <v>0</v>
      </c>
      <c r="J273" s="15">
        <v>0</v>
      </c>
      <c r="K273" s="57" t="s">
        <v>364</v>
      </c>
      <c r="L273" s="15">
        <v>0</v>
      </c>
      <c r="M273" s="15" t="s">
        <v>364</v>
      </c>
      <c r="N273" s="15" t="s">
        <v>364</v>
      </c>
      <c r="O273" s="15" t="s">
        <v>364</v>
      </c>
      <c r="P273" s="15" t="s">
        <v>364</v>
      </c>
      <c r="Q273" s="15" t="s">
        <v>364</v>
      </c>
      <c r="R273" s="15" t="s">
        <v>364</v>
      </c>
      <c r="S273" s="15" t="s">
        <v>364</v>
      </c>
      <c r="T273" s="15" t="s">
        <v>364</v>
      </c>
      <c r="U273" s="17" t="s">
        <v>364</v>
      </c>
      <c r="V273" s="17" t="s">
        <v>364</v>
      </c>
      <c r="W273" s="17" t="s">
        <v>364</v>
      </c>
      <c r="X273" s="17" t="s">
        <v>364</v>
      </c>
      <c r="Y273" s="17" t="s">
        <v>364</v>
      </c>
      <c r="Z273" s="17" t="s">
        <v>364</v>
      </c>
      <c r="AC273" s="3"/>
    </row>
    <row r="274" spans="1:29" collapsed="1" x14ac:dyDescent="0.25">
      <c r="A274" s="5" t="s">
        <v>207</v>
      </c>
      <c r="B274" s="5" t="s">
        <v>39</v>
      </c>
      <c r="C274" s="5" t="s">
        <v>243</v>
      </c>
      <c r="D274" s="6">
        <v>6</v>
      </c>
      <c r="E274" s="53">
        <v>121</v>
      </c>
      <c r="F274" s="6">
        <v>726</v>
      </c>
      <c r="G274" s="6">
        <v>17</v>
      </c>
      <c r="H274" s="53">
        <v>190</v>
      </c>
      <c r="I274" s="6">
        <v>3230</v>
      </c>
      <c r="J274" s="6">
        <v>0</v>
      </c>
      <c r="K274" s="53" t="s">
        <v>364</v>
      </c>
      <c r="L274" s="6">
        <v>599</v>
      </c>
      <c r="M274" s="6" t="s">
        <v>364</v>
      </c>
      <c r="N274" s="6" t="s">
        <v>364</v>
      </c>
      <c r="O274" s="6" t="s">
        <v>364</v>
      </c>
      <c r="P274" s="6" t="s">
        <v>364</v>
      </c>
      <c r="Q274" s="6" t="s">
        <v>364</v>
      </c>
      <c r="R274" s="6" t="s">
        <v>364</v>
      </c>
      <c r="S274" s="6" t="s">
        <v>364</v>
      </c>
      <c r="T274" s="6" t="s">
        <v>364</v>
      </c>
      <c r="U274" s="8" t="s">
        <v>364</v>
      </c>
      <c r="V274" s="8" t="s">
        <v>364</v>
      </c>
      <c r="W274" s="8">
        <v>-1</v>
      </c>
      <c r="X274" s="8">
        <v>-0.17493112947658401</v>
      </c>
      <c r="Y274" s="8">
        <v>-1</v>
      </c>
      <c r="Z274" s="8">
        <v>-0.81455108359133122</v>
      </c>
      <c r="AC274" s="3"/>
    </row>
    <row r="275" spans="1:29" hidden="1" outlineLevel="1" x14ac:dyDescent="0.25">
      <c r="A275" s="21" t="s">
        <v>367</v>
      </c>
      <c r="B275" s="21" t="s">
        <v>637</v>
      </c>
      <c r="C275" s="21" t="s">
        <v>362</v>
      </c>
      <c r="D275" s="15">
        <v>5</v>
      </c>
      <c r="E275" s="57">
        <v>111.6</v>
      </c>
      <c r="F275" s="15">
        <v>558</v>
      </c>
      <c r="G275" s="15">
        <v>16</v>
      </c>
      <c r="H275" s="57">
        <v>194.75</v>
      </c>
      <c r="I275" s="15">
        <v>3116</v>
      </c>
      <c r="J275" s="15">
        <v>0</v>
      </c>
      <c r="K275" s="57" t="s">
        <v>364</v>
      </c>
      <c r="L275" s="15">
        <v>599</v>
      </c>
      <c r="M275" s="15" t="s">
        <v>364</v>
      </c>
      <c r="N275" s="15" t="s">
        <v>364</v>
      </c>
      <c r="O275" s="15" t="s">
        <v>364</v>
      </c>
      <c r="P275" s="15" t="s">
        <v>364</v>
      </c>
      <c r="Q275" s="15" t="s">
        <v>364</v>
      </c>
      <c r="R275" s="15" t="s">
        <v>364</v>
      </c>
      <c r="S275" s="15" t="s">
        <v>364</v>
      </c>
      <c r="T275" s="15" t="s">
        <v>364</v>
      </c>
      <c r="U275" s="17" t="s">
        <v>364</v>
      </c>
      <c r="V275" s="17" t="s">
        <v>364</v>
      </c>
      <c r="W275" s="17">
        <v>-1</v>
      </c>
      <c r="X275" s="17">
        <v>7.3476702508960573E-2</v>
      </c>
      <c r="Y275" s="17">
        <v>-1</v>
      </c>
      <c r="Z275" s="17">
        <v>-0.80776636713735561</v>
      </c>
      <c r="AC275" s="3"/>
    </row>
    <row r="276" spans="1:29" hidden="1" outlineLevel="1" x14ac:dyDescent="0.25">
      <c r="A276" s="21" t="s">
        <v>367</v>
      </c>
      <c r="B276" s="21" t="s">
        <v>638</v>
      </c>
      <c r="C276" s="21" t="s">
        <v>363</v>
      </c>
      <c r="D276" s="15">
        <v>0</v>
      </c>
      <c r="E276" s="57" t="s">
        <v>364</v>
      </c>
      <c r="F276" s="15">
        <v>167</v>
      </c>
      <c r="G276" s="15">
        <v>0</v>
      </c>
      <c r="H276" s="57" t="s">
        <v>364</v>
      </c>
      <c r="I276" s="15">
        <v>114</v>
      </c>
      <c r="J276" s="15">
        <v>0</v>
      </c>
      <c r="K276" s="57" t="s">
        <v>364</v>
      </c>
      <c r="L276" s="15">
        <v>0</v>
      </c>
      <c r="M276" s="15" t="s">
        <v>364</v>
      </c>
      <c r="N276" s="15" t="s">
        <v>364</v>
      </c>
      <c r="O276" s="15" t="s">
        <v>364</v>
      </c>
      <c r="P276" s="15" t="s">
        <v>364</v>
      </c>
      <c r="Q276" s="15" t="s">
        <v>364</v>
      </c>
      <c r="R276" s="15" t="s">
        <v>364</v>
      </c>
      <c r="S276" s="15" t="s">
        <v>364</v>
      </c>
      <c r="T276" s="15" t="s">
        <v>364</v>
      </c>
      <c r="U276" s="17" t="s">
        <v>364</v>
      </c>
      <c r="V276" s="17" t="s">
        <v>364</v>
      </c>
      <c r="W276" s="17" t="s">
        <v>364</v>
      </c>
      <c r="X276" s="17">
        <v>-1</v>
      </c>
      <c r="Y276" s="17" t="s">
        <v>364</v>
      </c>
      <c r="Z276" s="17">
        <v>-1</v>
      </c>
      <c r="AC276" s="3"/>
    </row>
    <row r="277" spans="1:29" collapsed="1" x14ac:dyDescent="0.25">
      <c r="A277" s="5" t="s">
        <v>208</v>
      </c>
      <c r="B277" s="5" t="s">
        <v>222</v>
      </c>
      <c r="C277" s="5" t="s">
        <v>247</v>
      </c>
      <c r="D277" s="6">
        <v>0</v>
      </c>
      <c r="E277" s="53" t="s">
        <v>364</v>
      </c>
      <c r="F277" s="6">
        <v>0</v>
      </c>
      <c r="G277" s="6">
        <v>0</v>
      </c>
      <c r="H277" s="53" t="s">
        <v>364</v>
      </c>
      <c r="I277" s="6">
        <v>0</v>
      </c>
      <c r="J277" s="6">
        <v>29</v>
      </c>
      <c r="K277" s="53">
        <v>87.241379310344826</v>
      </c>
      <c r="L277" s="6">
        <v>2530</v>
      </c>
      <c r="M277" s="6" t="s">
        <v>364</v>
      </c>
      <c r="N277" s="6" t="s">
        <v>364</v>
      </c>
      <c r="O277" s="6" t="s">
        <v>364</v>
      </c>
      <c r="P277" s="6" t="s">
        <v>364</v>
      </c>
      <c r="Q277" s="6" t="s">
        <v>364</v>
      </c>
      <c r="R277" s="6" t="s">
        <v>364</v>
      </c>
      <c r="S277" s="6" t="s">
        <v>364</v>
      </c>
      <c r="T277" s="6" t="s">
        <v>364</v>
      </c>
      <c r="U277" s="8" t="s">
        <v>364</v>
      </c>
      <c r="V277" s="8" t="s">
        <v>364</v>
      </c>
      <c r="W277" s="8" t="s">
        <v>364</v>
      </c>
      <c r="X277" s="8" t="s">
        <v>364</v>
      </c>
      <c r="Y277" s="8" t="s">
        <v>364</v>
      </c>
      <c r="Z277" s="8" t="s">
        <v>364</v>
      </c>
      <c r="AC277" s="3"/>
    </row>
    <row r="278" spans="1:29" hidden="1" outlineLevel="1" x14ac:dyDescent="0.25">
      <c r="A278" s="21" t="s">
        <v>367</v>
      </c>
      <c r="B278" s="21" t="s">
        <v>645</v>
      </c>
      <c r="C278" s="21" t="s">
        <v>362</v>
      </c>
      <c r="D278" s="15">
        <v>0</v>
      </c>
      <c r="E278" s="57" t="s">
        <v>364</v>
      </c>
      <c r="F278" s="15">
        <v>0</v>
      </c>
      <c r="G278" s="15">
        <v>0</v>
      </c>
      <c r="H278" s="57" t="s">
        <v>364</v>
      </c>
      <c r="I278" s="15">
        <v>0</v>
      </c>
      <c r="J278" s="15">
        <v>27</v>
      </c>
      <c r="K278" s="57">
        <v>93.703703703703709</v>
      </c>
      <c r="L278" s="15">
        <v>2530</v>
      </c>
      <c r="M278" s="15" t="s">
        <v>364</v>
      </c>
      <c r="N278" s="15" t="s">
        <v>364</v>
      </c>
      <c r="O278" s="15" t="s">
        <v>364</v>
      </c>
      <c r="P278" s="15" t="s">
        <v>364</v>
      </c>
      <c r="Q278" s="15" t="s">
        <v>364</v>
      </c>
      <c r="R278" s="15" t="s">
        <v>364</v>
      </c>
      <c r="S278" s="15" t="s">
        <v>364</v>
      </c>
      <c r="T278" s="15" t="s">
        <v>364</v>
      </c>
      <c r="U278" s="17" t="s">
        <v>364</v>
      </c>
      <c r="V278" s="17" t="s">
        <v>364</v>
      </c>
      <c r="W278" s="17" t="s">
        <v>364</v>
      </c>
      <c r="X278" s="17" t="s">
        <v>364</v>
      </c>
      <c r="Y278" s="17" t="s">
        <v>364</v>
      </c>
      <c r="Z278" s="17" t="s">
        <v>364</v>
      </c>
      <c r="AC278" s="3"/>
    </row>
    <row r="279" spans="1:29" hidden="1" outlineLevel="1" x14ac:dyDescent="0.25">
      <c r="A279" s="21" t="s">
        <v>367</v>
      </c>
      <c r="B279" s="21" t="s">
        <v>646</v>
      </c>
      <c r="C279" s="21" t="s">
        <v>363</v>
      </c>
      <c r="D279" s="15">
        <v>0</v>
      </c>
      <c r="E279" s="57" t="s">
        <v>364</v>
      </c>
      <c r="F279" s="15">
        <v>0</v>
      </c>
      <c r="G279" s="15">
        <v>0</v>
      </c>
      <c r="H279" s="57" t="s">
        <v>364</v>
      </c>
      <c r="I279" s="15">
        <v>0</v>
      </c>
      <c r="J279" s="15">
        <v>2</v>
      </c>
      <c r="K279" s="57">
        <v>0</v>
      </c>
      <c r="L279" s="15">
        <v>0</v>
      </c>
      <c r="M279" s="15" t="s">
        <v>364</v>
      </c>
      <c r="N279" s="15" t="s">
        <v>364</v>
      </c>
      <c r="O279" s="15" t="s">
        <v>364</v>
      </c>
      <c r="P279" s="15" t="s">
        <v>364</v>
      </c>
      <c r="Q279" s="15" t="s">
        <v>364</v>
      </c>
      <c r="R279" s="15" t="s">
        <v>364</v>
      </c>
      <c r="S279" s="15" t="s">
        <v>364</v>
      </c>
      <c r="T279" s="15" t="s">
        <v>364</v>
      </c>
      <c r="U279" s="17" t="s">
        <v>364</v>
      </c>
      <c r="V279" s="17" t="s">
        <v>364</v>
      </c>
      <c r="W279" s="17" t="s">
        <v>364</v>
      </c>
      <c r="X279" s="17" t="s">
        <v>364</v>
      </c>
      <c r="Y279" s="17" t="s">
        <v>364</v>
      </c>
      <c r="Z279" s="17" t="s">
        <v>364</v>
      </c>
      <c r="AC279" s="3"/>
    </row>
    <row r="280" spans="1:29" collapsed="1" x14ac:dyDescent="0.25">
      <c r="A280" s="5" t="s">
        <v>208</v>
      </c>
      <c r="B280" s="5" t="s">
        <v>210</v>
      </c>
      <c r="C280" s="5" t="s">
        <v>225</v>
      </c>
      <c r="D280" s="6">
        <v>0</v>
      </c>
      <c r="E280" s="53" t="s">
        <v>364</v>
      </c>
      <c r="F280" s="6">
        <v>0</v>
      </c>
      <c r="G280" s="6">
        <v>0</v>
      </c>
      <c r="H280" s="53" t="s">
        <v>364</v>
      </c>
      <c r="I280" s="6">
        <v>0</v>
      </c>
      <c r="J280" s="6">
        <v>11</v>
      </c>
      <c r="K280" s="53">
        <v>111.36363636363636</v>
      </c>
      <c r="L280" s="6">
        <v>1225</v>
      </c>
      <c r="M280" s="6" t="s">
        <v>364</v>
      </c>
      <c r="N280" s="6" t="s">
        <v>364</v>
      </c>
      <c r="O280" s="6" t="s">
        <v>364</v>
      </c>
      <c r="P280" s="6" t="s">
        <v>364</v>
      </c>
      <c r="Q280" s="6" t="s">
        <v>364</v>
      </c>
      <c r="R280" s="6" t="s">
        <v>364</v>
      </c>
      <c r="S280" s="6" t="s">
        <v>364</v>
      </c>
      <c r="T280" s="6" t="s">
        <v>364</v>
      </c>
      <c r="U280" s="8" t="s">
        <v>364</v>
      </c>
      <c r="V280" s="8" t="s">
        <v>364</v>
      </c>
      <c r="W280" s="8" t="s">
        <v>364</v>
      </c>
      <c r="X280" s="8" t="s">
        <v>364</v>
      </c>
      <c r="Y280" s="8" t="s">
        <v>364</v>
      </c>
      <c r="Z280" s="8" t="s">
        <v>364</v>
      </c>
      <c r="AC280" s="3"/>
    </row>
    <row r="281" spans="1:29" hidden="1" outlineLevel="1" x14ac:dyDescent="0.25">
      <c r="A281" s="21" t="s">
        <v>367</v>
      </c>
      <c r="B281" s="21" t="s">
        <v>601</v>
      </c>
      <c r="C281" s="21" t="s">
        <v>362</v>
      </c>
      <c r="D281" s="15">
        <v>0</v>
      </c>
      <c r="E281" s="57" t="s">
        <v>364</v>
      </c>
      <c r="F281" s="15">
        <v>0</v>
      </c>
      <c r="G281" s="15">
        <v>0</v>
      </c>
      <c r="H281" s="57" t="s">
        <v>364</v>
      </c>
      <c r="I281" s="15">
        <v>0</v>
      </c>
      <c r="J281" s="15">
        <v>11</v>
      </c>
      <c r="K281" s="57">
        <v>111.36363636363636</v>
      </c>
      <c r="L281" s="15">
        <v>1225</v>
      </c>
      <c r="M281" s="15" t="s">
        <v>364</v>
      </c>
      <c r="N281" s="15" t="s">
        <v>364</v>
      </c>
      <c r="O281" s="15" t="s">
        <v>364</v>
      </c>
      <c r="P281" s="15" t="s">
        <v>364</v>
      </c>
      <c r="Q281" s="15" t="s">
        <v>364</v>
      </c>
      <c r="R281" s="15" t="s">
        <v>364</v>
      </c>
      <c r="S281" s="15" t="s">
        <v>364</v>
      </c>
      <c r="T281" s="15" t="s">
        <v>364</v>
      </c>
      <c r="U281" s="17" t="s">
        <v>364</v>
      </c>
      <c r="V281" s="17" t="s">
        <v>364</v>
      </c>
      <c r="W281" s="17" t="s">
        <v>364</v>
      </c>
      <c r="X281" s="17" t="s">
        <v>364</v>
      </c>
      <c r="Y281" s="17" t="s">
        <v>364</v>
      </c>
      <c r="Z281" s="17" t="s">
        <v>364</v>
      </c>
      <c r="AC281" s="3"/>
    </row>
    <row r="282" spans="1:29" hidden="1" outlineLevel="1" x14ac:dyDescent="0.25">
      <c r="A282" s="21" t="s">
        <v>367</v>
      </c>
      <c r="B282" s="21" t="s">
        <v>602</v>
      </c>
      <c r="C282" s="21" t="s">
        <v>363</v>
      </c>
      <c r="D282" s="15">
        <v>0</v>
      </c>
      <c r="E282" s="57" t="s">
        <v>364</v>
      </c>
      <c r="F282" s="15">
        <v>0</v>
      </c>
      <c r="G282" s="15">
        <v>0</v>
      </c>
      <c r="H282" s="57" t="s">
        <v>364</v>
      </c>
      <c r="I282" s="15">
        <v>0</v>
      </c>
      <c r="J282" s="15">
        <v>0</v>
      </c>
      <c r="K282" s="57" t="s">
        <v>364</v>
      </c>
      <c r="L282" s="15">
        <v>0</v>
      </c>
      <c r="M282" s="15" t="s">
        <v>364</v>
      </c>
      <c r="N282" s="15" t="s">
        <v>364</v>
      </c>
      <c r="O282" s="15" t="s">
        <v>364</v>
      </c>
      <c r="P282" s="15" t="s">
        <v>364</v>
      </c>
      <c r="Q282" s="15" t="s">
        <v>364</v>
      </c>
      <c r="R282" s="15" t="s">
        <v>364</v>
      </c>
      <c r="S282" s="15" t="s">
        <v>364</v>
      </c>
      <c r="T282" s="15" t="s">
        <v>364</v>
      </c>
      <c r="U282" s="17" t="s">
        <v>364</v>
      </c>
      <c r="V282" s="17" t="s">
        <v>364</v>
      </c>
      <c r="W282" s="17" t="s">
        <v>364</v>
      </c>
      <c r="X282" s="17" t="s">
        <v>364</v>
      </c>
      <c r="Y282" s="17" t="s">
        <v>364</v>
      </c>
      <c r="Z282" s="17" t="s">
        <v>364</v>
      </c>
      <c r="AC282" s="3"/>
    </row>
    <row r="283" spans="1:29" collapsed="1" x14ac:dyDescent="0.25">
      <c r="A283" s="5" t="s">
        <v>207</v>
      </c>
      <c r="B283" s="5" t="s">
        <v>221</v>
      </c>
      <c r="C283" s="5" t="s">
        <v>250</v>
      </c>
      <c r="D283" s="6">
        <v>0</v>
      </c>
      <c r="E283" s="53" t="s">
        <v>364</v>
      </c>
      <c r="F283" s="6">
        <v>0</v>
      </c>
      <c r="G283" s="6">
        <v>0</v>
      </c>
      <c r="H283" s="53" t="s">
        <v>364</v>
      </c>
      <c r="I283" s="6">
        <v>0</v>
      </c>
      <c r="J283" s="6">
        <v>6</v>
      </c>
      <c r="K283" s="53">
        <v>147.08333333333334</v>
      </c>
      <c r="L283" s="6">
        <v>882.5</v>
      </c>
      <c r="M283" s="6" t="s">
        <v>364</v>
      </c>
      <c r="N283" s="6" t="s">
        <v>364</v>
      </c>
      <c r="O283" s="6" t="s">
        <v>364</v>
      </c>
      <c r="P283" s="6" t="s">
        <v>364</v>
      </c>
      <c r="Q283" s="6" t="s">
        <v>364</v>
      </c>
      <c r="R283" s="6" t="s">
        <v>364</v>
      </c>
      <c r="S283" s="6" t="s">
        <v>364</v>
      </c>
      <c r="T283" s="6" t="s">
        <v>364</v>
      </c>
      <c r="U283" s="8" t="s">
        <v>364</v>
      </c>
      <c r="V283" s="8" t="s">
        <v>364</v>
      </c>
      <c r="W283" s="8" t="s">
        <v>364</v>
      </c>
      <c r="X283" s="8" t="s">
        <v>364</v>
      </c>
      <c r="Y283" s="8" t="s">
        <v>364</v>
      </c>
      <c r="Z283" s="8" t="s">
        <v>364</v>
      </c>
      <c r="AC283" s="3"/>
    </row>
    <row r="284" spans="1:29" hidden="1" outlineLevel="1" x14ac:dyDescent="0.25">
      <c r="A284" s="21" t="s">
        <v>367</v>
      </c>
      <c r="B284" s="21" t="s">
        <v>651</v>
      </c>
      <c r="C284" s="21" t="s">
        <v>362</v>
      </c>
      <c r="D284" s="15">
        <v>0</v>
      </c>
      <c r="E284" s="57" t="s">
        <v>364</v>
      </c>
      <c r="F284" s="15">
        <v>0</v>
      </c>
      <c r="G284" s="15">
        <v>0</v>
      </c>
      <c r="H284" s="57" t="s">
        <v>364</v>
      </c>
      <c r="I284" s="15">
        <v>0</v>
      </c>
      <c r="J284" s="15">
        <v>6</v>
      </c>
      <c r="K284" s="57">
        <v>147.08333333333334</v>
      </c>
      <c r="L284" s="15">
        <v>882.5</v>
      </c>
      <c r="M284" s="15" t="s">
        <v>364</v>
      </c>
      <c r="N284" s="15" t="s">
        <v>364</v>
      </c>
      <c r="O284" s="15" t="s">
        <v>364</v>
      </c>
      <c r="P284" s="15" t="s">
        <v>364</v>
      </c>
      <c r="Q284" s="15" t="s">
        <v>364</v>
      </c>
      <c r="R284" s="15" t="s">
        <v>364</v>
      </c>
      <c r="S284" s="15" t="s">
        <v>364</v>
      </c>
      <c r="T284" s="15" t="s">
        <v>364</v>
      </c>
      <c r="U284" s="17" t="s">
        <v>364</v>
      </c>
      <c r="V284" s="17" t="s">
        <v>364</v>
      </c>
      <c r="W284" s="17" t="s">
        <v>364</v>
      </c>
      <c r="X284" s="17" t="s">
        <v>364</v>
      </c>
      <c r="Y284" s="17" t="s">
        <v>364</v>
      </c>
      <c r="Z284" s="17" t="s">
        <v>364</v>
      </c>
      <c r="AC284" s="3"/>
    </row>
    <row r="285" spans="1:29" hidden="1" outlineLevel="1" x14ac:dyDescent="0.25">
      <c r="A285" s="21" t="s">
        <v>367</v>
      </c>
      <c r="B285" s="21" t="s">
        <v>652</v>
      </c>
      <c r="C285" s="21" t="s">
        <v>363</v>
      </c>
      <c r="D285" s="15">
        <v>0</v>
      </c>
      <c r="E285" s="57" t="s">
        <v>364</v>
      </c>
      <c r="F285" s="15">
        <v>0</v>
      </c>
      <c r="G285" s="15">
        <v>0</v>
      </c>
      <c r="H285" s="57" t="s">
        <v>364</v>
      </c>
      <c r="I285" s="15">
        <v>0</v>
      </c>
      <c r="J285" s="15">
        <v>0</v>
      </c>
      <c r="K285" s="57" t="s">
        <v>364</v>
      </c>
      <c r="L285" s="15">
        <v>0</v>
      </c>
      <c r="M285" s="15" t="s">
        <v>364</v>
      </c>
      <c r="N285" s="15" t="s">
        <v>364</v>
      </c>
      <c r="O285" s="15" t="s">
        <v>364</v>
      </c>
      <c r="P285" s="15" t="s">
        <v>364</v>
      </c>
      <c r="Q285" s="15" t="s">
        <v>364</v>
      </c>
      <c r="R285" s="15" t="s">
        <v>364</v>
      </c>
      <c r="S285" s="15" t="s">
        <v>364</v>
      </c>
      <c r="T285" s="15" t="s">
        <v>364</v>
      </c>
      <c r="U285" s="17" t="s">
        <v>364</v>
      </c>
      <c r="V285" s="17" t="s">
        <v>364</v>
      </c>
      <c r="W285" s="17" t="s">
        <v>364</v>
      </c>
      <c r="X285" s="17" t="s">
        <v>364</v>
      </c>
      <c r="Y285" s="17" t="s">
        <v>364</v>
      </c>
      <c r="Z285" s="17" t="s">
        <v>364</v>
      </c>
      <c r="AC285" s="3"/>
    </row>
    <row r="286" spans="1:29" collapsed="1" x14ac:dyDescent="0.25">
      <c r="A286" s="5" t="s">
        <v>207</v>
      </c>
      <c r="B286" s="5" t="s">
        <v>154</v>
      </c>
      <c r="C286" s="5" t="s">
        <v>263</v>
      </c>
      <c r="D286" s="6">
        <v>0</v>
      </c>
      <c r="E286" s="53" t="s">
        <v>364</v>
      </c>
      <c r="F286" s="6">
        <v>0</v>
      </c>
      <c r="G286" s="6">
        <v>0</v>
      </c>
      <c r="H286" s="53" t="s">
        <v>364</v>
      </c>
      <c r="I286" s="6">
        <v>0</v>
      </c>
      <c r="J286" s="6">
        <v>2</v>
      </c>
      <c r="K286" s="53">
        <v>43.225000000000001</v>
      </c>
      <c r="L286" s="6">
        <v>86.45</v>
      </c>
      <c r="M286" s="6" t="s">
        <v>364</v>
      </c>
      <c r="N286" s="6" t="s">
        <v>364</v>
      </c>
      <c r="O286" s="6" t="s">
        <v>364</v>
      </c>
      <c r="P286" s="6" t="s">
        <v>364</v>
      </c>
      <c r="Q286" s="6" t="s">
        <v>364</v>
      </c>
      <c r="R286" s="6" t="s">
        <v>364</v>
      </c>
      <c r="S286" s="6" t="s">
        <v>364</v>
      </c>
      <c r="T286" s="6" t="s">
        <v>364</v>
      </c>
      <c r="U286" s="8" t="s">
        <v>364</v>
      </c>
      <c r="V286" s="8" t="s">
        <v>364</v>
      </c>
      <c r="W286" s="8" t="s">
        <v>364</v>
      </c>
      <c r="X286" s="8" t="s">
        <v>364</v>
      </c>
      <c r="Y286" s="8" t="s">
        <v>364</v>
      </c>
      <c r="Z286" s="8" t="s">
        <v>364</v>
      </c>
      <c r="AC286" s="3"/>
    </row>
    <row r="287" spans="1:29" hidden="1" outlineLevel="1" x14ac:dyDescent="0.25">
      <c r="A287" s="21" t="s">
        <v>367</v>
      </c>
      <c r="B287" s="21" t="s">
        <v>677</v>
      </c>
      <c r="C287" s="21" t="s">
        <v>362</v>
      </c>
      <c r="D287" s="15">
        <v>0</v>
      </c>
      <c r="E287" s="57" t="s">
        <v>364</v>
      </c>
      <c r="F287" s="15">
        <v>0</v>
      </c>
      <c r="G287" s="15">
        <v>0</v>
      </c>
      <c r="H287" s="57" t="s">
        <v>364</v>
      </c>
      <c r="I287" s="15">
        <v>0</v>
      </c>
      <c r="J287" s="15">
        <v>2</v>
      </c>
      <c r="K287" s="57">
        <v>43.225000000000001</v>
      </c>
      <c r="L287" s="15">
        <v>86.45</v>
      </c>
      <c r="M287" s="15" t="s">
        <v>364</v>
      </c>
      <c r="N287" s="15" t="s">
        <v>364</v>
      </c>
      <c r="O287" s="15" t="s">
        <v>364</v>
      </c>
      <c r="P287" s="15" t="s">
        <v>364</v>
      </c>
      <c r="Q287" s="15" t="s">
        <v>364</v>
      </c>
      <c r="R287" s="15" t="s">
        <v>364</v>
      </c>
      <c r="S287" s="15" t="s">
        <v>364</v>
      </c>
      <c r="T287" s="15" t="s">
        <v>364</v>
      </c>
      <c r="U287" s="17" t="s">
        <v>364</v>
      </c>
      <c r="V287" s="17" t="s">
        <v>364</v>
      </c>
      <c r="W287" s="17" t="s">
        <v>364</v>
      </c>
      <c r="X287" s="17" t="s">
        <v>364</v>
      </c>
      <c r="Y287" s="17" t="s">
        <v>364</v>
      </c>
      <c r="Z287" s="17" t="s">
        <v>364</v>
      </c>
      <c r="AC287" s="3"/>
    </row>
    <row r="288" spans="1:29" hidden="1" outlineLevel="1" x14ac:dyDescent="0.25">
      <c r="A288" s="21" t="s">
        <v>367</v>
      </c>
      <c r="B288" s="21" t="s">
        <v>678</v>
      </c>
      <c r="C288" s="21" t="s">
        <v>363</v>
      </c>
      <c r="D288" s="15">
        <v>0</v>
      </c>
      <c r="E288" s="57" t="s">
        <v>364</v>
      </c>
      <c r="F288" s="15">
        <v>0</v>
      </c>
      <c r="G288" s="15">
        <v>0</v>
      </c>
      <c r="H288" s="57" t="s">
        <v>364</v>
      </c>
      <c r="I288" s="15">
        <v>0</v>
      </c>
      <c r="J288" s="15">
        <v>0</v>
      </c>
      <c r="K288" s="57" t="s">
        <v>364</v>
      </c>
      <c r="L288" s="15">
        <v>0</v>
      </c>
      <c r="M288" s="15" t="s">
        <v>364</v>
      </c>
      <c r="N288" s="15" t="s">
        <v>364</v>
      </c>
      <c r="O288" s="15" t="s">
        <v>364</v>
      </c>
      <c r="P288" s="15" t="s">
        <v>364</v>
      </c>
      <c r="Q288" s="15" t="s">
        <v>364</v>
      </c>
      <c r="R288" s="15" t="s">
        <v>364</v>
      </c>
      <c r="S288" s="15" t="s">
        <v>364</v>
      </c>
      <c r="T288" s="15" t="s">
        <v>364</v>
      </c>
      <c r="U288" s="17" t="s">
        <v>364</v>
      </c>
      <c r="V288" s="17" t="s">
        <v>364</v>
      </c>
      <c r="W288" s="17" t="s">
        <v>364</v>
      </c>
      <c r="X288" s="17" t="s">
        <v>364</v>
      </c>
      <c r="Y288" s="17" t="s">
        <v>364</v>
      </c>
      <c r="Z288" s="17" t="s">
        <v>364</v>
      </c>
      <c r="AC288" s="3"/>
    </row>
    <row r="289" spans="1:29" collapsed="1" x14ac:dyDescent="0.25">
      <c r="A289" s="5" t="s">
        <v>207</v>
      </c>
      <c r="B289" s="5" t="s">
        <v>47</v>
      </c>
      <c r="C289" s="5" t="s">
        <v>270</v>
      </c>
      <c r="D289" s="6">
        <v>0</v>
      </c>
      <c r="E289" s="53" t="s">
        <v>364</v>
      </c>
      <c r="F289" s="6">
        <v>0</v>
      </c>
      <c r="G289" s="6">
        <v>0</v>
      </c>
      <c r="H289" s="53" t="s">
        <v>364</v>
      </c>
      <c r="I289" s="6">
        <v>0</v>
      </c>
      <c r="J289" s="6">
        <v>3</v>
      </c>
      <c r="K289" s="53">
        <v>103.33333333333333</v>
      </c>
      <c r="L289" s="6">
        <v>310</v>
      </c>
      <c r="M289" s="6" t="s">
        <v>364</v>
      </c>
      <c r="N289" s="6" t="s">
        <v>364</v>
      </c>
      <c r="O289" s="6" t="s">
        <v>364</v>
      </c>
      <c r="P289" s="6" t="s">
        <v>364</v>
      </c>
      <c r="Q289" s="6" t="s">
        <v>364</v>
      </c>
      <c r="R289" s="6" t="s">
        <v>364</v>
      </c>
      <c r="S289" s="6" t="s">
        <v>364</v>
      </c>
      <c r="T289" s="6" t="s">
        <v>364</v>
      </c>
      <c r="U289" s="8" t="s">
        <v>364</v>
      </c>
      <c r="V289" s="8" t="s">
        <v>364</v>
      </c>
      <c r="W289" s="8" t="s">
        <v>364</v>
      </c>
      <c r="X289" s="8" t="s">
        <v>364</v>
      </c>
      <c r="Y289" s="8" t="s">
        <v>364</v>
      </c>
      <c r="Z289" s="8" t="s">
        <v>364</v>
      </c>
      <c r="AC289" s="3"/>
    </row>
    <row r="290" spans="1:29" hidden="1" outlineLevel="1" x14ac:dyDescent="0.25">
      <c r="A290" s="21" t="s">
        <v>367</v>
      </c>
      <c r="B290" s="21" t="s">
        <v>691</v>
      </c>
      <c r="C290" s="21" t="s">
        <v>362</v>
      </c>
      <c r="D290" s="15">
        <v>0</v>
      </c>
      <c r="E290" s="57" t="s">
        <v>364</v>
      </c>
      <c r="F290" s="15">
        <v>0</v>
      </c>
      <c r="G290" s="15">
        <v>0</v>
      </c>
      <c r="H290" s="57" t="s">
        <v>364</v>
      </c>
      <c r="I290" s="15">
        <v>0</v>
      </c>
      <c r="J290" s="15">
        <v>3</v>
      </c>
      <c r="K290" s="57">
        <v>103.33333333333333</v>
      </c>
      <c r="L290" s="15">
        <v>310</v>
      </c>
      <c r="M290" s="15" t="s">
        <v>364</v>
      </c>
      <c r="N290" s="15" t="s">
        <v>364</v>
      </c>
      <c r="O290" s="15" t="s">
        <v>364</v>
      </c>
      <c r="P290" s="15" t="s">
        <v>364</v>
      </c>
      <c r="Q290" s="15" t="s">
        <v>364</v>
      </c>
      <c r="R290" s="15" t="s">
        <v>364</v>
      </c>
      <c r="S290" s="15" t="s">
        <v>364</v>
      </c>
      <c r="T290" s="15" t="s">
        <v>364</v>
      </c>
      <c r="U290" s="17" t="s">
        <v>364</v>
      </c>
      <c r="V290" s="17" t="s">
        <v>364</v>
      </c>
      <c r="W290" s="17" t="s">
        <v>364</v>
      </c>
      <c r="X290" s="17" t="s">
        <v>364</v>
      </c>
      <c r="Y290" s="17" t="s">
        <v>364</v>
      </c>
      <c r="Z290" s="17" t="s">
        <v>364</v>
      </c>
      <c r="AC290" s="3"/>
    </row>
    <row r="291" spans="1:29" hidden="1" outlineLevel="1" x14ac:dyDescent="0.25">
      <c r="A291" s="21" t="s">
        <v>367</v>
      </c>
      <c r="B291" s="21" t="s">
        <v>692</v>
      </c>
      <c r="C291" s="21" t="s">
        <v>363</v>
      </c>
      <c r="D291" s="15">
        <v>0</v>
      </c>
      <c r="E291" s="57" t="s">
        <v>364</v>
      </c>
      <c r="F291" s="15">
        <v>0</v>
      </c>
      <c r="G291" s="15">
        <v>0</v>
      </c>
      <c r="H291" s="57" t="s">
        <v>364</v>
      </c>
      <c r="I291" s="15">
        <v>0</v>
      </c>
      <c r="J291" s="15">
        <v>0</v>
      </c>
      <c r="K291" s="57" t="s">
        <v>364</v>
      </c>
      <c r="L291" s="15">
        <v>0</v>
      </c>
      <c r="M291" s="15" t="s">
        <v>364</v>
      </c>
      <c r="N291" s="15" t="s">
        <v>364</v>
      </c>
      <c r="O291" s="15" t="s">
        <v>364</v>
      </c>
      <c r="P291" s="15" t="s">
        <v>364</v>
      </c>
      <c r="Q291" s="15" t="s">
        <v>364</v>
      </c>
      <c r="R291" s="15" t="s">
        <v>364</v>
      </c>
      <c r="S291" s="15" t="s">
        <v>364</v>
      </c>
      <c r="T291" s="15" t="s">
        <v>364</v>
      </c>
      <c r="U291" s="17" t="s">
        <v>364</v>
      </c>
      <c r="V291" s="17" t="s">
        <v>364</v>
      </c>
      <c r="W291" s="17" t="s">
        <v>364</v>
      </c>
      <c r="X291" s="17" t="s">
        <v>364</v>
      </c>
      <c r="Y291" s="17" t="s">
        <v>364</v>
      </c>
      <c r="Z291" s="17" t="s">
        <v>364</v>
      </c>
      <c r="AC291" s="3"/>
    </row>
    <row r="292" spans="1:29" collapsed="1" x14ac:dyDescent="0.25">
      <c r="A292" s="5" t="s">
        <v>207</v>
      </c>
      <c r="B292" s="5" t="s">
        <v>47</v>
      </c>
      <c r="C292" s="5" t="s">
        <v>105</v>
      </c>
      <c r="D292" s="6">
        <v>0</v>
      </c>
      <c r="E292" s="53" t="s">
        <v>364</v>
      </c>
      <c r="F292" s="6">
        <v>0</v>
      </c>
      <c r="G292" s="6">
        <v>0</v>
      </c>
      <c r="H292" s="53" t="s">
        <v>364</v>
      </c>
      <c r="I292" s="6">
        <v>0</v>
      </c>
      <c r="J292" s="6">
        <v>40</v>
      </c>
      <c r="K292" s="53">
        <v>130.01500000000001</v>
      </c>
      <c r="L292" s="6">
        <v>5200.6000000000004</v>
      </c>
      <c r="M292" s="6" t="s">
        <v>364</v>
      </c>
      <c r="N292" s="6" t="s">
        <v>364</v>
      </c>
      <c r="O292" s="6" t="s">
        <v>364</v>
      </c>
      <c r="P292" s="6" t="s">
        <v>364</v>
      </c>
      <c r="Q292" s="6" t="s">
        <v>364</v>
      </c>
      <c r="R292" s="6" t="s">
        <v>364</v>
      </c>
      <c r="S292" s="6" t="s">
        <v>364</v>
      </c>
      <c r="T292" s="6" t="s">
        <v>364</v>
      </c>
      <c r="U292" s="8" t="s">
        <v>364</v>
      </c>
      <c r="V292" s="8" t="s">
        <v>364</v>
      </c>
      <c r="W292" s="8" t="s">
        <v>364</v>
      </c>
      <c r="X292" s="8" t="s">
        <v>364</v>
      </c>
      <c r="Y292" s="8" t="s">
        <v>364</v>
      </c>
      <c r="Z292" s="8" t="s">
        <v>364</v>
      </c>
      <c r="AC292" s="3"/>
    </row>
    <row r="293" spans="1:29" hidden="1" outlineLevel="1" x14ac:dyDescent="0.25">
      <c r="A293" s="21" t="s">
        <v>367</v>
      </c>
      <c r="B293" s="21" t="s">
        <v>508</v>
      </c>
      <c r="C293" s="21" t="s">
        <v>362</v>
      </c>
      <c r="D293" s="15">
        <v>0</v>
      </c>
      <c r="E293" s="57" t="s">
        <v>364</v>
      </c>
      <c r="F293" s="15">
        <v>0</v>
      </c>
      <c r="G293" s="15">
        <v>0</v>
      </c>
      <c r="H293" s="57" t="s">
        <v>364</v>
      </c>
      <c r="I293" s="15">
        <v>0</v>
      </c>
      <c r="J293" s="15">
        <v>37</v>
      </c>
      <c r="K293" s="57">
        <v>132.31081081081081</v>
      </c>
      <c r="L293" s="15">
        <v>4895.5</v>
      </c>
      <c r="M293" s="15" t="s">
        <v>364</v>
      </c>
      <c r="N293" s="15" t="s">
        <v>364</v>
      </c>
      <c r="O293" s="15" t="s">
        <v>364</v>
      </c>
      <c r="P293" s="15" t="s">
        <v>364</v>
      </c>
      <c r="Q293" s="15" t="s">
        <v>364</v>
      </c>
      <c r="R293" s="15" t="s">
        <v>364</v>
      </c>
      <c r="S293" s="15" t="s">
        <v>364</v>
      </c>
      <c r="T293" s="15" t="s">
        <v>364</v>
      </c>
      <c r="U293" s="17" t="s">
        <v>364</v>
      </c>
      <c r="V293" s="17" t="s">
        <v>364</v>
      </c>
      <c r="W293" s="17" t="s">
        <v>364</v>
      </c>
      <c r="X293" s="17" t="s">
        <v>364</v>
      </c>
      <c r="Y293" s="17" t="s">
        <v>364</v>
      </c>
      <c r="Z293" s="17" t="s">
        <v>364</v>
      </c>
      <c r="AC293" s="3"/>
    </row>
    <row r="294" spans="1:29" hidden="1" outlineLevel="1" x14ac:dyDescent="0.25">
      <c r="A294" s="21" t="s">
        <v>367</v>
      </c>
      <c r="B294" s="21" t="s">
        <v>509</v>
      </c>
      <c r="C294" s="21" t="s">
        <v>363</v>
      </c>
      <c r="D294" s="15">
        <v>0</v>
      </c>
      <c r="E294" s="57" t="s">
        <v>364</v>
      </c>
      <c r="F294" s="15">
        <v>0</v>
      </c>
      <c r="G294" s="15">
        <v>0</v>
      </c>
      <c r="H294" s="57" t="s">
        <v>364</v>
      </c>
      <c r="I294" s="15">
        <v>0</v>
      </c>
      <c r="J294" s="15">
        <v>3</v>
      </c>
      <c r="K294" s="57">
        <v>101.7</v>
      </c>
      <c r="L294" s="15">
        <v>305.10000000000002</v>
      </c>
      <c r="M294" s="15" t="s">
        <v>364</v>
      </c>
      <c r="N294" s="15" t="s">
        <v>364</v>
      </c>
      <c r="O294" s="15" t="s">
        <v>364</v>
      </c>
      <c r="P294" s="15" t="s">
        <v>364</v>
      </c>
      <c r="Q294" s="15" t="s">
        <v>364</v>
      </c>
      <c r="R294" s="15" t="s">
        <v>364</v>
      </c>
      <c r="S294" s="15" t="s">
        <v>364</v>
      </c>
      <c r="T294" s="15" t="s">
        <v>364</v>
      </c>
      <c r="U294" s="17" t="s">
        <v>364</v>
      </c>
      <c r="V294" s="17" t="s">
        <v>364</v>
      </c>
      <c r="W294" s="17" t="s">
        <v>364</v>
      </c>
      <c r="X294" s="17" t="s">
        <v>364</v>
      </c>
      <c r="Y294" s="17" t="s">
        <v>364</v>
      </c>
      <c r="Z294" s="17" t="s">
        <v>364</v>
      </c>
      <c r="AC294" s="3"/>
    </row>
    <row r="295" spans="1:29" collapsed="1" x14ac:dyDescent="0.25">
      <c r="A295" s="5" t="s">
        <v>208</v>
      </c>
      <c r="B295" s="5" t="s">
        <v>45</v>
      </c>
      <c r="C295" s="5" t="s">
        <v>718</v>
      </c>
      <c r="D295" s="6">
        <v>0</v>
      </c>
      <c r="E295" s="53" t="s">
        <v>364</v>
      </c>
      <c r="F295" s="6">
        <v>0</v>
      </c>
      <c r="G295" s="6">
        <v>0</v>
      </c>
      <c r="H295" s="53" t="s">
        <v>364</v>
      </c>
      <c r="I295" s="6">
        <v>0</v>
      </c>
      <c r="J295" s="6">
        <v>4</v>
      </c>
      <c r="K295" s="53">
        <v>318.17</v>
      </c>
      <c r="L295" s="6">
        <v>1272.68</v>
      </c>
      <c r="M295" s="6" t="s">
        <v>364</v>
      </c>
      <c r="N295" s="6" t="s">
        <v>364</v>
      </c>
      <c r="O295" s="6" t="s">
        <v>364</v>
      </c>
      <c r="P295" s="6" t="s">
        <v>364</v>
      </c>
      <c r="Q295" s="6" t="s">
        <v>364</v>
      </c>
      <c r="R295" s="6" t="s">
        <v>364</v>
      </c>
      <c r="S295" s="6" t="s">
        <v>364</v>
      </c>
      <c r="T295" s="6" t="s">
        <v>364</v>
      </c>
      <c r="U295" s="8" t="s">
        <v>364</v>
      </c>
      <c r="V295" s="8" t="s">
        <v>364</v>
      </c>
      <c r="W295" s="8" t="s">
        <v>364</v>
      </c>
      <c r="X295" s="8" t="s">
        <v>364</v>
      </c>
      <c r="Y295" s="8" t="s">
        <v>364</v>
      </c>
      <c r="Z295" s="8" t="s">
        <v>364</v>
      </c>
      <c r="AC295" s="3"/>
    </row>
    <row r="296" spans="1:29" hidden="1" outlineLevel="1" x14ac:dyDescent="0.25">
      <c r="A296" s="21" t="s">
        <v>367</v>
      </c>
      <c r="B296" s="21" t="s">
        <v>719</v>
      </c>
      <c r="C296" s="21" t="s">
        <v>362</v>
      </c>
      <c r="D296" s="15">
        <v>0</v>
      </c>
      <c r="E296" s="57" t="s">
        <v>364</v>
      </c>
      <c r="F296" s="15">
        <v>0</v>
      </c>
      <c r="G296" s="15">
        <v>0</v>
      </c>
      <c r="H296" s="57" t="s">
        <v>364</v>
      </c>
      <c r="I296" s="15">
        <v>0</v>
      </c>
      <c r="J296" s="15">
        <v>4</v>
      </c>
      <c r="K296" s="57">
        <v>318.17</v>
      </c>
      <c r="L296" s="15">
        <v>1272.68</v>
      </c>
      <c r="M296" s="15" t="s">
        <v>364</v>
      </c>
      <c r="N296" s="15" t="s">
        <v>364</v>
      </c>
      <c r="O296" s="15" t="s">
        <v>364</v>
      </c>
      <c r="P296" s="15" t="s">
        <v>364</v>
      </c>
      <c r="Q296" s="15" t="s">
        <v>364</v>
      </c>
      <c r="R296" s="15" t="s">
        <v>364</v>
      </c>
      <c r="S296" s="15" t="s">
        <v>364</v>
      </c>
      <c r="T296" s="15" t="s">
        <v>364</v>
      </c>
      <c r="U296" s="17" t="s">
        <v>364</v>
      </c>
      <c r="V296" s="17" t="s">
        <v>364</v>
      </c>
      <c r="W296" s="17" t="s">
        <v>364</v>
      </c>
      <c r="X296" s="17" t="s">
        <v>364</v>
      </c>
      <c r="Y296" s="17" t="s">
        <v>364</v>
      </c>
      <c r="Z296" s="17" t="s">
        <v>364</v>
      </c>
      <c r="AC296" s="3"/>
    </row>
    <row r="297" spans="1:29" hidden="1" outlineLevel="1" x14ac:dyDescent="0.25">
      <c r="A297" s="21" t="s">
        <v>367</v>
      </c>
      <c r="B297" s="21" t="s">
        <v>720</v>
      </c>
      <c r="C297" s="21" t="s">
        <v>363</v>
      </c>
      <c r="D297" s="15">
        <v>0</v>
      </c>
      <c r="E297" s="57" t="s">
        <v>364</v>
      </c>
      <c r="F297" s="15">
        <v>0</v>
      </c>
      <c r="G297" s="15">
        <v>0</v>
      </c>
      <c r="H297" s="57" t="s">
        <v>364</v>
      </c>
      <c r="I297" s="15">
        <v>0</v>
      </c>
      <c r="J297" s="15">
        <v>0</v>
      </c>
      <c r="K297" s="57" t="s">
        <v>364</v>
      </c>
      <c r="L297" s="15">
        <v>0</v>
      </c>
      <c r="M297" s="15" t="s">
        <v>364</v>
      </c>
      <c r="N297" s="15" t="s">
        <v>364</v>
      </c>
      <c r="O297" s="15" t="s">
        <v>364</v>
      </c>
      <c r="P297" s="15" t="s">
        <v>364</v>
      </c>
      <c r="Q297" s="15" t="s">
        <v>364</v>
      </c>
      <c r="R297" s="15" t="s">
        <v>364</v>
      </c>
      <c r="S297" s="15" t="s">
        <v>364</v>
      </c>
      <c r="T297" s="15" t="s">
        <v>364</v>
      </c>
      <c r="U297" s="17" t="s">
        <v>364</v>
      </c>
      <c r="V297" s="17" t="s">
        <v>364</v>
      </c>
      <c r="W297" s="17" t="s">
        <v>364</v>
      </c>
      <c r="X297" s="17" t="s">
        <v>364</v>
      </c>
      <c r="Y297" s="17" t="s">
        <v>364</v>
      </c>
      <c r="Z297" s="17" t="s">
        <v>364</v>
      </c>
      <c r="AC297" s="3"/>
    </row>
    <row r="298" spans="1:29" collapsed="1" x14ac:dyDescent="0.25">
      <c r="A298" s="5" t="s">
        <v>208</v>
      </c>
      <c r="B298" s="5" t="s">
        <v>210</v>
      </c>
      <c r="C298" s="5" t="s">
        <v>342</v>
      </c>
      <c r="D298" s="6">
        <v>0</v>
      </c>
      <c r="E298" s="53" t="s">
        <v>364</v>
      </c>
      <c r="F298" s="6">
        <v>0</v>
      </c>
      <c r="G298" s="6">
        <v>0</v>
      </c>
      <c r="H298" s="53" t="s">
        <v>364</v>
      </c>
      <c r="I298" s="6">
        <v>0</v>
      </c>
      <c r="J298" s="6">
        <v>6</v>
      </c>
      <c r="K298" s="53">
        <v>144.66666666666666</v>
      </c>
      <c r="L298" s="6">
        <v>868</v>
      </c>
      <c r="M298" s="6" t="s">
        <v>364</v>
      </c>
      <c r="N298" s="6" t="s">
        <v>364</v>
      </c>
      <c r="O298" s="6" t="s">
        <v>364</v>
      </c>
      <c r="P298" s="6" t="s">
        <v>364</v>
      </c>
      <c r="Q298" s="6" t="s">
        <v>364</v>
      </c>
      <c r="R298" s="6" t="s">
        <v>364</v>
      </c>
      <c r="S298" s="6" t="s">
        <v>364</v>
      </c>
      <c r="T298" s="6" t="s">
        <v>364</v>
      </c>
      <c r="U298" s="8" t="s">
        <v>364</v>
      </c>
      <c r="V298" s="8" t="s">
        <v>364</v>
      </c>
      <c r="W298" s="8" t="s">
        <v>364</v>
      </c>
      <c r="X298" s="8" t="s">
        <v>364</v>
      </c>
      <c r="Y298" s="8" t="s">
        <v>364</v>
      </c>
      <c r="Z298" s="8" t="s">
        <v>364</v>
      </c>
      <c r="AC298" s="3"/>
    </row>
    <row r="299" spans="1:29" hidden="1" outlineLevel="1" x14ac:dyDescent="0.25">
      <c r="A299" s="21" t="s">
        <v>367</v>
      </c>
      <c r="B299" s="21" t="s">
        <v>707</v>
      </c>
      <c r="C299" s="21" t="s">
        <v>362</v>
      </c>
      <c r="D299" s="15">
        <v>0</v>
      </c>
      <c r="E299" s="57" t="s">
        <v>364</v>
      </c>
      <c r="F299" s="15">
        <v>0</v>
      </c>
      <c r="G299" s="15">
        <v>0</v>
      </c>
      <c r="H299" s="57" t="s">
        <v>364</v>
      </c>
      <c r="I299" s="15">
        <v>0</v>
      </c>
      <c r="J299" s="15">
        <v>6</v>
      </c>
      <c r="K299" s="57">
        <v>144.66666666666666</v>
      </c>
      <c r="L299" s="15">
        <v>868</v>
      </c>
      <c r="M299" s="15" t="s">
        <v>364</v>
      </c>
      <c r="N299" s="15" t="s">
        <v>364</v>
      </c>
      <c r="O299" s="15" t="s">
        <v>364</v>
      </c>
      <c r="P299" s="15" t="s">
        <v>364</v>
      </c>
      <c r="Q299" s="15" t="s">
        <v>364</v>
      </c>
      <c r="R299" s="15" t="s">
        <v>364</v>
      </c>
      <c r="S299" s="15" t="s">
        <v>364</v>
      </c>
      <c r="T299" s="15" t="s">
        <v>364</v>
      </c>
      <c r="U299" s="17" t="s">
        <v>364</v>
      </c>
      <c r="V299" s="17" t="s">
        <v>364</v>
      </c>
      <c r="W299" s="17" t="s">
        <v>364</v>
      </c>
      <c r="X299" s="17" t="s">
        <v>364</v>
      </c>
      <c r="Y299" s="17" t="s">
        <v>364</v>
      </c>
      <c r="Z299" s="17" t="s">
        <v>364</v>
      </c>
      <c r="AC299" s="3"/>
    </row>
    <row r="300" spans="1:29" hidden="1" outlineLevel="1" x14ac:dyDescent="0.25">
      <c r="A300" s="21" t="s">
        <v>367</v>
      </c>
      <c r="B300" s="21" t="s">
        <v>708</v>
      </c>
      <c r="C300" s="21" t="s">
        <v>363</v>
      </c>
      <c r="D300" s="15">
        <v>0</v>
      </c>
      <c r="E300" s="57" t="s">
        <v>364</v>
      </c>
      <c r="F300" s="15">
        <v>0</v>
      </c>
      <c r="G300" s="15">
        <v>0</v>
      </c>
      <c r="H300" s="57" t="s">
        <v>364</v>
      </c>
      <c r="I300" s="15">
        <v>0</v>
      </c>
      <c r="J300" s="15">
        <v>0</v>
      </c>
      <c r="K300" s="57" t="s">
        <v>364</v>
      </c>
      <c r="L300" s="15">
        <v>0</v>
      </c>
      <c r="M300" s="15" t="s">
        <v>364</v>
      </c>
      <c r="N300" s="15" t="s">
        <v>364</v>
      </c>
      <c r="O300" s="15" t="s">
        <v>364</v>
      </c>
      <c r="P300" s="15" t="s">
        <v>364</v>
      </c>
      <c r="Q300" s="15" t="s">
        <v>364</v>
      </c>
      <c r="R300" s="15" t="s">
        <v>364</v>
      </c>
      <c r="S300" s="15" t="s">
        <v>364</v>
      </c>
      <c r="T300" s="15" t="s">
        <v>364</v>
      </c>
      <c r="U300" s="17" t="s">
        <v>364</v>
      </c>
      <c r="V300" s="17" t="s">
        <v>364</v>
      </c>
      <c r="W300" s="17" t="s">
        <v>364</v>
      </c>
      <c r="X300" s="17" t="s">
        <v>364</v>
      </c>
      <c r="Y300" s="17" t="s">
        <v>364</v>
      </c>
      <c r="Z300" s="17" t="s">
        <v>364</v>
      </c>
      <c r="AC300" s="3"/>
    </row>
    <row r="301" spans="1:29" collapsed="1" x14ac:dyDescent="0.25">
      <c r="A301" s="5" t="s">
        <v>208</v>
      </c>
      <c r="B301" s="5" t="s">
        <v>41</v>
      </c>
      <c r="C301" s="5" t="s">
        <v>726</v>
      </c>
      <c r="D301" s="6">
        <v>0</v>
      </c>
      <c r="E301" s="53" t="s">
        <v>364</v>
      </c>
      <c r="F301" s="6">
        <v>0</v>
      </c>
      <c r="G301" s="6">
        <v>0</v>
      </c>
      <c r="H301" s="53" t="s">
        <v>364</v>
      </c>
      <c r="I301" s="6">
        <v>0</v>
      </c>
      <c r="J301" s="6">
        <v>1</v>
      </c>
      <c r="K301" s="53">
        <v>0</v>
      </c>
      <c r="L301" s="6">
        <v>0</v>
      </c>
      <c r="M301" s="6" t="s">
        <v>364</v>
      </c>
      <c r="N301" s="6" t="s">
        <v>364</v>
      </c>
      <c r="O301" s="6" t="s">
        <v>364</v>
      </c>
      <c r="P301" s="6" t="s">
        <v>364</v>
      </c>
      <c r="Q301" s="6" t="s">
        <v>364</v>
      </c>
      <c r="R301" s="6" t="s">
        <v>364</v>
      </c>
      <c r="S301" s="6" t="s">
        <v>364</v>
      </c>
      <c r="T301" s="6" t="s">
        <v>364</v>
      </c>
      <c r="U301" s="8" t="s">
        <v>364</v>
      </c>
      <c r="V301" s="8" t="s">
        <v>364</v>
      </c>
      <c r="W301" s="8" t="s">
        <v>364</v>
      </c>
      <c r="X301" s="8" t="s">
        <v>364</v>
      </c>
      <c r="Y301" s="8" t="s">
        <v>364</v>
      </c>
      <c r="Z301" s="8" t="s">
        <v>364</v>
      </c>
      <c r="AC301" s="3"/>
    </row>
    <row r="302" spans="1:29" hidden="1" outlineLevel="1" x14ac:dyDescent="0.25">
      <c r="A302" s="21" t="s">
        <v>367</v>
      </c>
      <c r="B302" s="21" t="s">
        <v>727</v>
      </c>
      <c r="C302" s="21" t="s">
        <v>362</v>
      </c>
      <c r="D302" s="15">
        <v>0</v>
      </c>
      <c r="E302" s="57" t="s">
        <v>364</v>
      </c>
      <c r="F302" s="15">
        <v>0</v>
      </c>
      <c r="G302" s="15">
        <v>0</v>
      </c>
      <c r="H302" s="57" t="s">
        <v>364</v>
      </c>
      <c r="I302" s="15">
        <v>0</v>
      </c>
      <c r="J302" s="15">
        <v>1</v>
      </c>
      <c r="K302" s="57">
        <v>0</v>
      </c>
      <c r="L302" s="15">
        <v>0</v>
      </c>
      <c r="M302" s="15" t="s">
        <v>364</v>
      </c>
      <c r="N302" s="15" t="s">
        <v>364</v>
      </c>
      <c r="O302" s="15" t="s">
        <v>364</v>
      </c>
      <c r="P302" s="15" t="s">
        <v>364</v>
      </c>
      <c r="Q302" s="15" t="s">
        <v>364</v>
      </c>
      <c r="R302" s="15" t="s">
        <v>364</v>
      </c>
      <c r="S302" s="15" t="s">
        <v>364</v>
      </c>
      <c r="T302" s="15" t="s">
        <v>364</v>
      </c>
      <c r="U302" s="17" t="s">
        <v>364</v>
      </c>
      <c r="V302" s="17" t="s">
        <v>364</v>
      </c>
      <c r="W302" s="17" t="s">
        <v>364</v>
      </c>
      <c r="X302" s="17" t="s">
        <v>364</v>
      </c>
      <c r="Y302" s="17" t="s">
        <v>364</v>
      </c>
      <c r="Z302" s="17" t="s">
        <v>364</v>
      </c>
      <c r="AC302" s="3"/>
    </row>
    <row r="303" spans="1:29" hidden="1" outlineLevel="1" x14ac:dyDescent="0.25">
      <c r="A303" s="21" t="s">
        <v>367</v>
      </c>
      <c r="B303" s="21" t="s">
        <v>728</v>
      </c>
      <c r="C303" s="21" t="s">
        <v>363</v>
      </c>
      <c r="D303" s="15">
        <v>0</v>
      </c>
      <c r="E303" s="57" t="s">
        <v>364</v>
      </c>
      <c r="F303" s="15">
        <v>0</v>
      </c>
      <c r="G303" s="15">
        <v>0</v>
      </c>
      <c r="H303" s="57" t="s">
        <v>364</v>
      </c>
      <c r="I303" s="15">
        <v>0</v>
      </c>
      <c r="J303" s="15">
        <v>0</v>
      </c>
      <c r="K303" s="57" t="s">
        <v>364</v>
      </c>
      <c r="L303" s="15">
        <v>0</v>
      </c>
      <c r="M303" s="15" t="s">
        <v>364</v>
      </c>
      <c r="N303" s="15" t="s">
        <v>364</v>
      </c>
      <c r="O303" s="15" t="s">
        <v>364</v>
      </c>
      <c r="P303" s="15" t="s">
        <v>364</v>
      </c>
      <c r="Q303" s="15" t="s">
        <v>364</v>
      </c>
      <c r="R303" s="15" t="s">
        <v>364</v>
      </c>
      <c r="S303" s="15" t="s">
        <v>364</v>
      </c>
      <c r="T303" s="15" t="s">
        <v>364</v>
      </c>
      <c r="U303" s="17" t="s">
        <v>364</v>
      </c>
      <c r="V303" s="17" t="s">
        <v>364</v>
      </c>
      <c r="W303" s="17" t="s">
        <v>364</v>
      </c>
      <c r="X303" s="17" t="s">
        <v>364</v>
      </c>
      <c r="Y303" s="17" t="s">
        <v>364</v>
      </c>
      <c r="Z303" s="17" t="s">
        <v>364</v>
      </c>
      <c r="AC303" s="3"/>
    </row>
  </sheetData>
  <mergeCells count="50">
    <mergeCell ref="W116:X116"/>
    <mergeCell ref="Y116:Z116"/>
    <mergeCell ref="D116:F116"/>
    <mergeCell ref="G116:I116"/>
    <mergeCell ref="J116:L116"/>
    <mergeCell ref="M116:O116"/>
    <mergeCell ref="P116:T116"/>
    <mergeCell ref="U116:V116"/>
    <mergeCell ref="D115:F115"/>
    <mergeCell ref="G115:I115"/>
    <mergeCell ref="J115:L115"/>
    <mergeCell ref="M115:O115"/>
    <mergeCell ref="P115:T115"/>
    <mergeCell ref="S22:U22"/>
    <mergeCell ref="V22:Z22"/>
    <mergeCell ref="AA22:AB22"/>
    <mergeCell ref="AC22:AD22"/>
    <mergeCell ref="AE22:AF22"/>
    <mergeCell ref="D22:F22"/>
    <mergeCell ref="G22:I22"/>
    <mergeCell ref="J22:L22"/>
    <mergeCell ref="M22:O22"/>
    <mergeCell ref="P22:R22"/>
    <mergeCell ref="AC8:AD8"/>
    <mergeCell ref="AE8:AF8"/>
    <mergeCell ref="AG8:AH8"/>
    <mergeCell ref="D21:F21"/>
    <mergeCell ref="G21:I21"/>
    <mergeCell ref="J21:L21"/>
    <mergeCell ref="M21:O21"/>
    <mergeCell ref="P21:R21"/>
    <mergeCell ref="S21:U21"/>
    <mergeCell ref="V21:Z21"/>
    <mergeCell ref="R7:T7"/>
    <mergeCell ref="U7:W7"/>
    <mergeCell ref="X7:AB7"/>
    <mergeCell ref="C8:C9"/>
    <mergeCell ref="D8:F8"/>
    <mergeCell ref="G8:I8"/>
    <mergeCell ref="J8:N8"/>
    <mergeCell ref="O8:Q8"/>
    <mergeCell ref="R8:T8"/>
    <mergeCell ref="U8:W8"/>
    <mergeCell ref="O7:Q7"/>
    <mergeCell ref="X8:AB8"/>
    <mergeCell ref="C1:C2"/>
    <mergeCell ref="D1:H2"/>
    <mergeCell ref="D7:F7"/>
    <mergeCell ref="G7:I7"/>
    <mergeCell ref="J7:N7"/>
  </mergeCells>
  <conditionalFormatting sqref="N9">
    <cfRule type="duplicateValues" dxfId="15" priority="5"/>
    <cfRule type="duplicateValues" dxfId="14" priority="6"/>
  </conditionalFormatting>
  <conditionalFormatting sqref="A118:B300">
    <cfRule type="containsText" dxfId="13" priority="3" operator="containsText" text="Credit">
      <formula>NOT(ISERROR(SEARCH("Credit",A118)))</formula>
    </cfRule>
    <cfRule type="containsText" dxfId="12" priority="4" operator="containsText" text="Cash">
      <formula>NOT(ISERROR(SEARCH("Cash",A118)))</formula>
    </cfRule>
  </conditionalFormatting>
  <conditionalFormatting sqref="A301:B303">
    <cfRule type="containsText" dxfId="11" priority="1" operator="containsText" text="Credit">
      <formula>NOT(ISERROR(SEARCH("Credit",A301)))</formula>
    </cfRule>
    <cfRule type="containsText" dxfId="10" priority="2" operator="containsText" text="Cash">
      <formula>NOT(ISERROR(SEARCH("Cash",A301)))</formula>
    </cfRule>
  </conditionalFormatting>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86F35-9B21-4DB6-9B21-3E0143D605F6}">
  <sheetPr codeName="Sheet7">
    <outlinePr summaryBelow="0"/>
  </sheetPr>
  <dimension ref="A1:AK113"/>
  <sheetViews>
    <sheetView showGridLines="0" topLeftCell="A40" zoomScale="90" zoomScaleNormal="90" workbookViewId="0"/>
  </sheetViews>
  <sheetFormatPr defaultRowHeight="15" outlineLevelRow="1" x14ac:dyDescent="0.25"/>
  <cols>
    <col min="1" max="1" width="5.140625" bestFit="1" customWidth="1"/>
    <col min="2" max="2" width="13.85546875" bestFit="1" customWidth="1"/>
    <col min="3" max="3" width="43.85546875" style="3" bestFit="1" customWidth="1"/>
    <col min="4" max="4" width="4.42578125" style="3" bestFit="1" customWidth="1"/>
    <col min="5" max="5" width="6.42578125" style="3" bestFit="1" customWidth="1"/>
    <col min="6" max="6" width="7.85546875" style="3" bestFit="1" customWidth="1"/>
    <col min="7" max="7" width="4.42578125" style="3" bestFit="1" customWidth="1"/>
    <col min="8" max="8" width="6.42578125" style="3" bestFit="1" customWidth="1"/>
    <col min="9" max="9" width="7.85546875" style="3" bestFit="1" customWidth="1"/>
    <col min="10" max="10" width="4.42578125" style="3" bestFit="1" customWidth="1"/>
    <col min="11" max="11" width="6.42578125" style="3" bestFit="1" customWidth="1"/>
    <col min="12" max="12" width="7.85546875" style="3" bestFit="1" customWidth="1"/>
    <col min="13" max="13" width="6.85546875" style="3" bestFit="1" customWidth="1"/>
    <col min="14" max="14" width="6.42578125" style="3" bestFit="1" customWidth="1"/>
    <col min="15" max="15" width="7.85546875" style="3" bestFit="1" customWidth="1"/>
    <col min="16" max="16" width="6.28515625" style="3" bestFit="1" customWidth="1"/>
    <col min="17" max="17" width="6.42578125" style="3" bestFit="1" customWidth="1"/>
    <col min="18" max="18" width="9.140625" style="3" bestFit="1" customWidth="1"/>
    <col min="19" max="19" width="11.28515625" style="3" bestFit="1" customWidth="1"/>
    <col min="20" max="20" width="12.5703125" style="3" bestFit="1" customWidth="1"/>
    <col min="21" max="21" width="9.140625" style="3" bestFit="1" customWidth="1"/>
    <col min="22" max="22" width="7.5703125" style="3" bestFit="1" customWidth="1"/>
    <col min="23" max="23" width="7.28515625" style="3" bestFit="1" customWidth="1"/>
    <col min="24" max="24" width="8.28515625" style="3" bestFit="1" customWidth="1"/>
    <col min="25" max="25" width="12" style="3" bestFit="1" customWidth="1"/>
    <col min="26" max="26" width="13.42578125" style="3" bestFit="1" customWidth="1"/>
    <col min="27" max="27" width="7.5703125" bestFit="1" customWidth="1"/>
    <col min="28" max="28" width="7.85546875" bestFit="1" customWidth="1"/>
    <col min="29" max="29" width="8.85546875" customWidth="1"/>
    <col min="30" max="30" width="7.85546875" bestFit="1" customWidth="1"/>
    <col min="31" max="31" width="7.5703125" bestFit="1" customWidth="1"/>
    <col min="32" max="32" width="7.85546875" bestFit="1" customWidth="1"/>
    <col min="33" max="33" width="7.5703125" bestFit="1" customWidth="1"/>
    <col min="34" max="38" width="7.85546875" bestFit="1" customWidth="1"/>
  </cols>
  <sheetData>
    <row r="1" spans="3:37" ht="15" customHeight="1" x14ac:dyDescent="0.25">
      <c r="C1" s="112" t="s">
        <v>0</v>
      </c>
      <c r="D1" s="114" t="s">
        <v>725</v>
      </c>
      <c r="E1" s="115"/>
      <c r="F1" s="115"/>
      <c r="G1" s="115"/>
      <c r="H1" s="115"/>
      <c r="I1"/>
      <c r="J1"/>
      <c r="K1" s="9">
        <v>0.47826086956521741</v>
      </c>
      <c r="L1" s="87">
        <v>4.3478260869565216E-2</v>
      </c>
      <c r="M1" s="87">
        <v>3.7037037037037035E-2</v>
      </c>
      <c r="AA1" s="3"/>
      <c r="AB1" s="3"/>
      <c r="AC1" s="3"/>
    </row>
    <row r="2" spans="3:37" ht="24.75" customHeight="1" x14ac:dyDescent="0.25">
      <c r="C2" s="113"/>
      <c r="D2" s="114"/>
      <c r="E2" s="115"/>
      <c r="F2" s="115"/>
      <c r="G2" s="115"/>
      <c r="H2" s="115"/>
      <c r="I2"/>
      <c r="J2"/>
      <c r="AA2" s="3"/>
      <c r="AB2" s="3"/>
      <c r="AC2" s="3"/>
    </row>
    <row r="3" spans="3:37" x14ac:dyDescent="0.25">
      <c r="C3"/>
      <c r="D3"/>
      <c r="E3"/>
      <c r="F3"/>
      <c r="G3"/>
      <c r="H3"/>
      <c r="I3"/>
      <c r="J3"/>
      <c r="K3"/>
      <c r="L3"/>
      <c r="M3"/>
      <c r="N3"/>
      <c r="O3"/>
      <c r="P3"/>
      <c r="Q3"/>
      <c r="R3"/>
      <c r="S3"/>
      <c r="T3"/>
      <c r="U3"/>
      <c r="V3"/>
      <c r="W3"/>
      <c r="X3"/>
      <c r="Y3"/>
      <c r="Z3"/>
    </row>
    <row r="4" spans="3:37" x14ac:dyDescent="0.25">
      <c r="C4"/>
      <c r="D4"/>
      <c r="E4"/>
      <c r="F4"/>
      <c r="G4"/>
      <c r="H4"/>
      <c r="I4"/>
      <c r="J4"/>
      <c r="K4"/>
      <c r="L4"/>
      <c r="M4"/>
      <c r="N4"/>
      <c r="O4"/>
      <c r="P4"/>
      <c r="Q4"/>
      <c r="R4"/>
      <c r="S4"/>
      <c r="T4"/>
      <c r="U4"/>
      <c r="V4"/>
      <c r="W4"/>
      <c r="X4"/>
      <c r="Y4"/>
      <c r="Z4"/>
    </row>
    <row r="5" spans="3:37" x14ac:dyDescent="0.25">
      <c r="C5"/>
      <c r="D5"/>
      <c r="E5"/>
      <c r="F5"/>
      <c r="G5"/>
      <c r="H5"/>
      <c r="I5"/>
      <c r="J5"/>
      <c r="K5"/>
      <c r="L5"/>
      <c r="M5"/>
      <c r="N5"/>
      <c r="O5"/>
      <c r="P5"/>
      <c r="Q5"/>
      <c r="R5"/>
      <c r="S5"/>
      <c r="T5"/>
      <c r="U5"/>
      <c r="V5"/>
      <c r="W5"/>
      <c r="X5"/>
      <c r="Y5"/>
      <c r="Z5"/>
    </row>
    <row r="6" spans="3:37" x14ac:dyDescent="0.25">
      <c r="C6" s="33"/>
      <c r="D6" s="34"/>
      <c r="E6" s="34"/>
      <c r="F6" s="34"/>
      <c r="G6" s="34"/>
      <c r="AA6" s="3"/>
      <c r="AB6" s="3"/>
      <c r="AC6" s="3"/>
    </row>
    <row r="7" spans="3:37" x14ac:dyDescent="0.25">
      <c r="D7" s="118" t="s">
        <v>25</v>
      </c>
      <c r="E7" s="118"/>
      <c r="F7" s="118"/>
      <c r="G7" s="118" t="s">
        <v>26</v>
      </c>
      <c r="H7" s="118"/>
      <c r="I7" s="118"/>
      <c r="J7" s="118" t="s">
        <v>27</v>
      </c>
      <c r="K7" s="118"/>
      <c r="L7" s="118"/>
      <c r="M7" s="119" t="s">
        <v>28</v>
      </c>
      <c r="N7" s="120"/>
      <c r="O7" s="121"/>
      <c r="P7" s="119" t="s">
        <v>1</v>
      </c>
      <c r="Q7" s="120"/>
      <c r="R7" s="121"/>
      <c r="S7" s="119" t="s">
        <v>2</v>
      </c>
      <c r="T7" s="120"/>
      <c r="U7" s="121"/>
      <c r="V7" s="119" t="s">
        <v>3</v>
      </c>
      <c r="W7" s="120"/>
      <c r="X7" s="120"/>
      <c r="Y7" s="120"/>
      <c r="Z7" s="120"/>
    </row>
    <row r="8" spans="3:37" x14ac:dyDescent="0.25">
      <c r="C8" s="116" t="s">
        <v>4</v>
      </c>
      <c r="D8" s="124" t="s">
        <v>20</v>
      </c>
      <c r="E8" s="125"/>
      <c r="F8" s="126"/>
      <c r="G8" s="124" t="s">
        <v>5</v>
      </c>
      <c r="H8" s="125"/>
      <c r="I8" s="126"/>
      <c r="J8" s="134" t="s">
        <v>17</v>
      </c>
      <c r="K8" s="135"/>
      <c r="L8" s="145"/>
      <c r="M8" s="124" t="s">
        <v>17</v>
      </c>
      <c r="N8" s="125"/>
      <c r="O8" s="126"/>
      <c r="P8" s="124" t="s">
        <v>17</v>
      </c>
      <c r="Q8" s="125"/>
      <c r="R8" s="126"/>
      <c r="S8" s="124" t="s">
        <v>17</v>
      </c>
      <c r="T8" s="125"/>
      <c r="U8" s="126"/>
      <c r="V8" s="134" t="s">
        <v>17</v>
      </c>
      <c r="W8" s="135"/>
      <c r="X8" s="135"/>
      <c r="Y8" s="135"/>
      <c r="Z8" s="145"/>
      <c r="AA8" s="127" t="s">
        <v>6</v>
      </c>
      <c r="AB8" s="128"/>
      <c r="AC8" s="127" t="s">
        <v>7</v>
      </c>
      <c r="AD8" s="129"/>
      <c r="AE8" s="127" t="s">
        <v>8</v>
      </c>
      <c r="AF8" s="129"/>
      <c r="AG8" s="127" t="s">
        <v>597</v>
      </c>
      <c r="AH8" s="129"/>
    </row>
    <row r="9" spans="3:37" collapsed="1" x14ac:dyDescent="0.25">
      <c r="C9" s="117"/>
      <c r="D9" s="4" t="s">
        <v>9</v>
      </c>
      <c r="E9" s="4" t="s">
        <v>10</v>
      </c>
      <c r="F9" s="4" t="s">
        <v>11</v>
      </c>
      <c r="G9" s="4" t="s">
        <v>9</v>
      </c>
      <c r="H9" s="4" t="s">
        <v>10</v>
      </c>
      <c r="I9" s="4" t="s">
        <v>11</v>
      </c>
      <c r="J9" s="4" t="s">
        <v>9</v>
      </c>
      <c r="K9" s="4" t="s">
        <v>10</v>
      </c>
      <c r="L9" s="4" t="s">
        <v>11</v>
      </c>
      <c r="M9" s="4" t="s">
        <v>9</v>
      </c>
      <c r="N9" s="4" t="s">
        <v>10</v>
      </c>
      <c r="O9" s="4" t="s">
        <v>11</v>
      </c>
      <c r="P9" s="4" t="s">
        <v>9</v>
      </c>
      <c r="Q9" s="4" t="s">
        <v>10</v>
      </c>
      <c r="R9" s="4" t="s">
        <v>11</v>
      </c>
      <c r="S9" s="4" t="s">
        <v>9</v>
      </c>
      <c r="T9" s="4" t="s">
        <v>10</v>
      </c>
      <c r="U9" s="4" t="s">
        <v>11</v>
      </c>
      <c r="V9" s="4" t="s">
        <v>9</v>
      </c>
      <c r="W9" s="4" t="s">
        <v>10</v>
      </c>
      <c r="X9" s="4" t="s">
        <v>11</v>
      </c>
      <c r="Y9" s="4" t="s">
        <v>14</v>
      </c>
      <c r="Z9" s="4" t="s">
        <v>15</v>
      </c>
      <c r="AA9" s="4" t="s">
        <v>16</v>
      </c>
      <c r="AB9" s="4" t="s">
        <v>11</v>
      </c>
      <c r="AC9" s="4" t="s">
        <v>16</v>
      </c>
      <c r="AD9" s="4" t="s">
        <v>11</v>
      </c>
      <c r="AE9" s="4" t="s">
        <v>16</v>
      </c>
      <c r="AF9" s="4" t="s">
        <v>11</v>
      </c>
      <c r="AG9" s="4" t="s">
        <v>16</v>
      </c>
      <c r="AH9" s="4" t="s">
        <v>11</v>
      </c>
    </row>
    <row r="10" spans="3:37" hidden="1" outlineLevel="1" x14ac:dyDescent="0.25">
      <c r="C10" s="5" t="s">
        <v>207</v>
      </c>
      <c r="D10" s="6">
        <v>125.30434782608695</v>
      </c>
      <c r="E10" s="53">
        <v>406.56680083275484</v>
      </c>
      <c r="F10" s="6">
        <v>50944.587826086929</v>
      </c>
      <c r="G10" s="6">
        <v>144.33333333333331</v>
      </c>
      <c r="H10" s="53">
        <v>385.50588914549633</v>
      </c>
      <c r="I10" s="6">
        <v>55641.349999999962</v>
      </c>
      <c r="J10" s="6">
        <v>148</v>
      </c>
      <c r="K10" s="53">
        <v>443.15770270270275</v>
      </c>
      <c r="L10" s="6">
        <v>65587.340000000011</v>
      </c>
      <c r="M10" s="6">
        <v>178.99551851054667</v>
      </c>
      <c r="N10" s="53">
        <v>483.26259930099945</v>
      </c>
      <c r="O10" s="6">
        <v>86501.839538636952</v>
      </c>
      <c r="P10" s="6">
        <v>3404</v>
      </c>
      <c r="Q10" s="6">
        <v>443.15770270270281</v>
      </c>
      <c r="R10" s="6">
        <v>1508508.8200000003</v>
      </c>
      <c r="S10" s="6">
        <v>3270.985552666667</v>
      </c>
      <c r="T10" s="6">
        <v>482.12666435327992</v>
      </c>
      <c r="U10" s="6">
        <v>1577029.3536549499</v>
      </c>
      <c r="V10" s="6">
        <v>-30.995518510546674</v>
      </c>
      <c r="W10" s="6">
        <v>-40.104896598296705</v>
      </c>
      <c r="X10" s="6">
        <v>-20914.499538636941</v>
      </c>
      <c r="Y10" s="6">
        <v>-5935.5246965479128</v>
      </c>
      <c r="Z10" s="6">
        <v>-14978.974842089028</v>
      </c>
      <c r="AA10" s="8">
        <v>0.82683634334275036</v>
      </c>
      <c r="AB10" s="8">
        <v>0.75821901996320828</v>
      </c>
      <c r="AC10" s="8">
        <v>0.18112421929215825</v>
      </c>
      <c r="AD10" s="8">
        <v>0.28742507887000796</v>
      </c>
      <c r="AE10" s="8">
        <v>2.5404157043880042E-2</v>
      </c>
      <c r="AF10" s="8">
        <v>0.17875177363597497</v>
      </c>
      <c r="AG10" s="8" t="s">
        <v>364</v>
      </c>
      <c r="AH10" s="8" t="s">
        <v>364</v>
      </c>
    </row>
    <row r="11" spans="3:37" hidden="1" outlineLevel="1" x14ac:dyDescent="0.25">
      <c r="C11" s="5" t="s">
        <v>208</v>
      </c>
      <c r="D11" s="6">
        <v>142.69565217391303</v>
      </c>
      <c r="E11" s="53">
        <v>375.89283363802559</v>
      </c>
      <c r="F11" s="6">
        <v>53638.273043478257</v>
      </c>
      <c r="G11" s="6">
        <v>141.25925925925924</v>
      </c>
      <c r="H11" s="53">
        <v>410.12994231777662</v>
      </c>
      <c r="I11" s="6">
        <v>57934.651851851842</v>
      </c>
      <c r="J11" s="6">
        <v>192</v>
      </c>
      <c r="K11" s="53">
        <v>735.1156249999998</v>
      </c>
      <c r="L11" s="6">
        <v>141142.19999999995</v>
      </c>
      <c r="M11" s="6">
        <v>149.95763272463768</v>
      </c>
      <c r="N11" s="53">
        <v>496.91194267605579</v>
      </c>
      <c r="O11" s="6">
        <v>74515.738596302181</v>
      </c>
      <c r="P11" s="6">
        <v>4416</v>
      </c>
      <c r="Q11" s="6">
        <v>735.11562499999968</v>
      </c>
      <c r="R11" s="6">
        <v>3246270.5999999987</v>
      </c>
      <c r="S11" s="6">
        <v>4116.8969257425742</v>
      </c>
      <c r="T11" s="6">
        <v>483.2625993009994</v>
      </c>
      <c r="U11" s="6">
        <v>1989542.3093886499</v>
      </c>
      <c r="V11" s="6">
        <v>42.042367275362324</v>
      </c>
      <c r="W11" s="6">
        <v>238.20368232394401</v>
      </c>
      <c r="X11" s="6">
        <v>66626.461403697773</v>
      </c>
      <c r="Y11" s="6">
        <v>45735.10700619725</v>
      </c>
      <c r="Z11" s="6">
        <v>20891.354397500527</v>
      </c>
      <c r="AA11" s="8">
        <v>1.2803616362267025</v>
      </c>
      <c r="AB11" s="8">
        <v>1.894126028390519</v>
      </c>
      <c r="AC11" s="8">
        <v>0.34552102376599647</v>
      </c>
      <c r="AD11" s="8">
        <v>1.6313710712795046</v>
      </c>
      <c r="AE11" s="8">
        <v>0.35920293654955449</v>
      </c>
      <c r="AF11" s="8">
        <v>1.4362310894854966</v>
      </c>
      <c r="AG11" s="8" t="s">
        <v>364</v>
      </c>
      <c r="AH11" s="8" t="s">
        <v>364</v>
      </c>
    </row>
    <row r="12" spans="3:37" x14ac:dyDescent="0.25">
      <c r="C12" s="5" t="s">
        <v>0</v>
      </c>
      <c r="D12" s="6">
        <v>268</v>
      </c>
      <c r="E12" s="53">
        <v>390.2345554834522</v>
      </c>
      <c r="F12" s="6">
        <v>104582.86086956519</v>
      </c>
      <c r="G12" s="6">
        <v>285.59259259259255</v>
      </c>
      <c r="H12" s="53">
        <v>397.68539099987044</v>
      </c>
      <c r="I12" s="6">
        <v>113576.00185185188</v>
      </c>
      <c r="J12" s="6">
        <v>340</v>
      </c>
      <c r="K12" s="53">
        <v>608.02805882352925</v>
      </c>
      <c r="L12" s="6">
        <v>206729.53999999995</v>
      </c>
      <c r="M12" s="6">
        <v>328.95315123518435</v>
      </c>
      <c r="N12" s="53">
        <v>489.48483250680266</v>
      </c>
      <c r="O12" s="6">
        <v>161017.57813493913</v>
      </c>
      <c r="P12" s="6">
        <v>7820</v>
      </c>
      <c r="Q12" s="6">
        <v>608.02805882352925</v>
      </c>
      <c r="R12" s="6">
        <v>4754779.419999999</v>
      </c>
      <c r="S12" s="6">
        <v>7387.8824784092412</v>
      </c>
      <c r="T12" s="6">
        <v>482.75966401289503</v>
      </c>
      <c r="U12" s="6">
        <v>3566571.6630435996</v>
      </c>
      <c r="V12" s="6">
        <v>11.04684876481565</v>
      </c>
      <c r="W12" s="6">
        <v>118.54322631672659</v>
      </c>
      <c r="X12" s="6">
        <v>45711.961865060817</v>
      </c>
      <c r="Y12" s="6">
        <v>40304.696947687044</v>
      </c>
      <c r="Z12" s="6">
        <v>5407.2649173737682</v>
      </c>
      <c r="AA12" s="8">
        <v>1.033581829884699</v>
      </c>
      <c r="AB12" s="8">
        <v>1.283894233129953</v>
      </c>
      <c r="AC12" s="8">
        <v>0.26865671641791045</v>
      </c>
      <c r="AD12" s="8">
        <v>0.9767057267426561</v>
      </c>
      <c r="AE12" s="8">
        <v>0.19050706782518498</v>
      </c>
      <c r="AF12" s="8">
        <v>0.82018680556881385</v>
      </c>
      <c r="AG12" s="8" t="s">
        <v>364</v>
      </c>
      <c r="AH12" s="8" t="s">
        <v>364</v>
      </c>
    </row>
    <row r="13" spans="3:37" x14ac:dyDescent="0.25">
      <c r="C13" s="41"/>
      <c r="D13" s="42"/>
      <c r="E13" s="43"/>
      <c r="F13" s="42"/>
      <c r="G13" s="42"/>
      <c r="H13" s="43"/>
      <c r="I13" s="42"/>
      <c r="J13" s="42"/>
      <c r="K13" s="44"/>
      <c r="L13" s="42"/>
      <c r="M13" s="42"/>
      <c r="N13" s="43"/>
      <c r="O13" s="42"/>
      <c r="P13" s="42"/>
      <c r="Q13" s="43"/>
      <c r="R13" s="42"/>
      <c r="S13" s="42"/>
      <c r="T13" s="43"/>
      <c r="U13" s="42"/>
      <c r="V13" s="45"/>
      <c r="W13" s="45"/>
      <c r="X13" s="45"/>
      <c r="Y13" s="42"/>
      <c r="Z13" s="42"/>
      <c r="AA13" s="42"/>
      <c r="AB13" s="46"/>
      <c r="AC13" s="46"/>
      <c r="AD13" s="47"/>
      <c r="AE13" s="47"/>
      <c r="AF13" s="47"/>
      <c r="AG13" s="47"/>
      <c r="AH13" s="47"/>
      <c r="AI13" s="47"/>
      <c r="AJ13" s="47"/>
      <c r="AK13" s="47"/>
    </row>
    <row r="14" spans="3:37" x14ac:dyDescent="0.25">
      <c r="C14" s="41"/>
      <c r="D14" s="68"/>
      <c r="E14" s="69"/>
      <c r="F14" s="68"/>
      <c r="G14" s="68"/>
      <c r="H14" s="69"/>
      <c r="I14" s="68"/>
      <c r="J14" s="68"/>
      <c r="K14" s="68"/>
      <c r="L14" s="68"/>
      <c r="M14" s="68"/>
      <c r="N14" s="68"/>
      <c r="O14" s="68"/>
      <c r="P14" s="68"/>
      <c r="Q14" s="69"/>
      <c r="R14" s="50"/>
      <c r="S14" s="70"/>
      <c r="T14" s="69"/>
      <c r="U14" s="68"/>
      <c r="V14" s="49"/>
      <c r="W14" s="49"/>
      <c r="X14" s="50"/>
      <c r="Y14" s="50"/>
      <c r="Z14" s="50"/>
      <c r="AA14" s="50"/>
      <c r="AB14" s="50"/>
      <c r="AC14" s="50"/>
      <c r="AD14" s="50"/>
      <c r="AE14" s="50"/>
    </row>
    <row r="15" spans="3:37" x14ac:dyDescent="0.25">
      <c r="C15" s="24"/>
      <c r="D15" s="118" t="s">
        <v>25</v>
      </c>
      <c r="E15" s="118"/>
      <c r="F15" s="118"/>
      <c r="G15" s="118" t="s">
        <v>26</v>
      </c>
      <c r="H15" s="118"/>
      <c r="I15" s="118"/>
      <c r="J15" s="118" t="s">
        <v>27</v>
      </c>
      <c r="K15" s="118"/>
      <c r="L15" s="118"/>
      <c r="M15" s="118" t="s">
        <v>28</v>
      </c>
      <c r="N15" s="118"/>
      <c r="O15" s="118"/>
      <c r="P15" s="119" t="s">
        <v>32</v>
      </c>
      <c r="Q15" s="120"/>
      <c r="R15" s="121"/>
      <c r="S15" s="119" t="s">
        <v>2</v>
      </c>
      <c r="T15" s="120"/>
      <c r="U15" s="121"/>
      <c r="V15" s="119" t="s">
        <v>3</v>
      </c>
      <c r="W15" s="120"/>
      <c r="X15" s="120"/>
      <c r="Y15" s="120"/>
      <c r="Z15" s="120"/>
    </row>
    <row r="16" spans="3:37" x14ac:dyDescent="0.25">
      <c r="D16" s="133" t="s">
        <v>20</v>
      </c>
      <c r="E16" s="133" t="s">
        <v>5</v>
      </c>
      <c r="F16" s="133" t="s">
        <v>5</v>
      </c>
      <c r="G16" s="133" t="s">
        <v>5</v>
      </c>
      <c r="H16" s="133" t="s">
        <v>5</v>
      </c>
      <c r="I16" s="133" t="s">
        <v>5</v>
      </c>
      <c r="J16" s="133" t="s">
        <v>17</v>
      </c>
      <c r="K16" s="133" t="s">
        <v>5</v>
      </c>
      <c r="L16" s="133" t="s">
        <v>5</v>
      </c>
      <c r="M16" s="133" t="s">
        <v>17</v>
      </c>
      <c r="N16" s="133" t="s">
        <v>5</v>
      </c>
      <c r="O16" s="133" t="s">
        <v>5</v>
      </c>
      <c r="P16" s="133" t="s">
        <v>17</v>
      </c>
      <c r="Q16" s="133" t="s">
        <v>5</v>
      </c>
      <c r="R16" s="133" t="s">
        <v>5</v>
      </c>
      <c r="S16" s="133" t="s">
        <v>17</v>
      </c>
      <c r="T16" s="133" t="s">
        <v>5</v>
      </c>
      <c r="U16" s="133" t="s">
        <v>5</v>
      </c>
      <c r="V16" s="134" t="s">
        <v>17</v>
      </c>
      <c r="W16" s="135"/>
      <c r="X16" s="135"/>
      <c r="Y16" s="135"/>
      <c r="Z16" s="145"/>
      <c r="AA16" s="127" t="s">
        <v>6</v>
      </c>
      <c r="AB16" s="128"/>
      <c r="AC16" s="127" t="s">
        <v>7</v>
      </c>
      <c r="AD16" s="129"/>
      <c r="AE16" s="127" t="s">
        <v>8</v>
      </c>
      <c r="AF16" s="129"/>
    </row>
    <row r="17" spans="3:32" x14ac:dyDescent="0.25">
      <c r="C17" s="97" t="s">
        <v>33</v>
      </c>
      <c r="D17" s="4" t="s">
        <v>9</v>
      </c>
      <c r="E17" s="4" t="s">
        <v>10</v>
      </c>
      <c r="F17" s="4" t="s">
        <v>11</v>
      </c>
      <c r="G17" s="4" t="s">
        <v>9</v>
      </c>
      <c r="H17" s="4" t="s">
        <v>10</v>
      </c>
      <c r="I17" s="4" t="s">
        <v>11</v>
      </c>
      <c r="J17" s="4" t="s">
        <v>9</v>
      </c>
      <c r="K17" s="4" t="s">
        <v>10</v>
      </c>
      <c r="L17" s="4" t="s">
        <v>11</v>
      </c>
      <c r="M17" s="4" t="s">
        <v>9</v>
      </c>
      <c r="N17" s="4" t="s">
        <v>10</v>
      </c>
      <c r="O17" s="4" t="s">
        <v>11</v>
      </c>
      <c r="P17" s="4" t="s">
        <v>9</v>
      </c>
      <c r="Q17" s="4" t="s">
        <v>10</v>
      </c>
      <c r="R17" s="4" t="s">
        <v>11</v>
      </c>
      <c r="S17" s="4" t="s">
        <v>9</v>
      </c>
      <c r="T17" s="4" t="s">
        <v>10</v>
      </c>
      <c r="U17" s="4" t="s">
        <v>11</v>
      </c>
      <c r="V17" s="4" t="s">
        <v>9</v>
      </c>
      <c r="W17" s="4" t="s">
        <v>10</v>
      </c>
      <c r="X17" s="4" t="s">
        <v>11</v>
      </c>
      <c r="Y17" s="4" t="s">
        <v>14</v>
      </c>
      <c r="Z17" s="4" t="s">
        <v>15</v>
      </c>
      <c r="AA17" s="4" t="s">
        <v>16</v>
      </c>
      <c r="AB17" s="4" t="s">
        <v>11</v>
      </c>
      <c r="AC17" s="4" t="s">
        <v>16</v>
      </c>
      <c r="AD17" s="4" t="s">
        <v>11</v>
      </c>
      <c r="AE17" s="4" t="s">
        <v>16</v>
      </c>
      <c r="AF17" s="4" t="s">
        <v>11</v>
      </c>
    </row>
    <row r="18" spans="3:32" x14ac:dyDescent="0.25">
      <c r="C18" s="91" t="s">
        <v>209</v>
      </c>
      <c r="D18" s="6">
        <v>16.531190926275993</v>
      </c>
      <c r="E18" s="53">
        <v>278.8850440251573</v>
      </c>
      <c r="F18" s="6">
        <v>4610.301909262761</v>
      </c>
      <c r="G18" s="6">
        <v>10.64573268921095</v>
      </c>
      <c r="H18" s="53">
        <v>373.28853577371052</v>
      </c>
      <c r="I18" s="6">
        <v>3973.9299677938816</v>
      </c>
      <c r="J18" s="6">
        <v>73</v>
      </c>
      <c r="K18" s="53">
        <v>317.26287671232882</v>
      </c>
      <c r="L18" s="6">
        <v>23160.190000000002</v>
      </c>
      <c r="M18" s="6">
        <v>39.166521739130431</v>
      </c>
      <c r="N18" s="53">
        <v>405.17707859973581</v>
      </c>
      <c r="O18" s="6">
        <v>15869.376857173913</v>
      </c>
      <c r="P18" s="6">
        <v>1679</v>
      </c>
      <c r="Q18" s="53">
        <v>317.26287671232882</v>
      </c>
      <c r="R18" s="6">
        <v>532684.37000000011</v>
      </c>
      <c r="S18" s="6">
        <v>965.08742574257417</v>
      </c>
      <c r="T18" s="6">
        <v>458.89694125300099</v>
      </c>
      <c r="U18" s="6">
        <v>442875.66771499999</v>
      </c>
      <c r="V18" s="6">
        <v>33.833478260869569</v>
      </c>
      <c r="W18" s="6">
        <v>-87.914201887406989</v>
      </c>
      <c r="X18" s="6">
        <v>7290.8131428260895</v>
      </c>
      <c r="Y18" s="92">
        <v>-6417.7367377807104</v>
      </c>
      <c r="Z18" s="6">
        <v>13708.549880606803</v>
      </c>
      <c r="AA18" s="88">
        <v>1.8638366839470268</v>
      </c>
      <c r="AB18" s="88">
        <v>1.4594265552103391</v>
      </c>
      <c r="AC18" s="88">
        <v>3.4158947970268723</v>
      </c>
      <c r="AD18" s="88">
        <v>4.0235733919003964</v>
      </c>
      <c r="AE18" s="88">
        <v>5.8572076841627592</v>
      </c>
      <c r="AF18" s="88">
        <v>4.8280317438148836</v>
      </c>
    </row>
    <row r="19" spans="3:32" s="16" customFormat="1" ht="15" customHeight="1" x14ac:dyDescent="0.25">
      <c r="C19" s="91" t="s">
        <v>210</v>
      </c>
      <c r="D19" s="6">
        <v>6.9659735349716447</v>
      </c>
      <c r="E19" s="53">
        <v>215.34985074626866</v>
      </c>
      <c r="F19" s="6">
        <v>1500.1213610586012</v>
      </c>
      <c r="G19" s="6">
        <v>5.5619967793880836</v>
      </c>
      <c r="H19" s="53">
        <v>275.99012738853509</v>
      </c>
      <c r="I19" s="6">
        <v>1535.056199677939</v>
      </c>
      <c r="J19" s="6">
        <v>13</v>
      </c>
      <c r="K19" s="53">
        <v>158.09846153846152</v>
      </c>
      <c r="L19" s="6">
        <v>2055.2799999999997</v>
      </c>
      <c r="M19" s="6">
        <v>19.557391304347824</v>
      </c>
      <c r="N19" s="53">
        <v>240.57077777777783</v>
      </c>
      <c r="O19" s="6">
        <v>4704.9368373913048</v>
      </c>
      <c r="P19" s="6">
        <v>299</v>
      </c>
      <c r="Q19" s="53">
        <v>158.09846153846152</v>
      </c>
      <c r="R19" s="6">
        <v>47271.439999999995</v>
      </c>
      <c r="S19" s="6">
        <v>449.82</v>
      </c>
      <c r="T19" s="6">
        <v>240.57077777777783</v>
      </c>
      <c r="U19" s="6">
        <v>108213.54726000002</v>
      </c>
      <c r="V19" s="6">
        <v>-6.5573913043478242</v>
      </c>
      <c r="W19" s="6">
        <v>-82.472316239316314</v>
      </c>
      <c r="X19" s="6">
        <v>-2649.6568373913051</v>
      </c>
      <c r="Y19" s="92">
        <v>-1072.140111111112</v>
      </c>
      <c r="Z19" s="6">
        <v>-1577.5167262801931</v>
      </c>
      <c r="AA19" s="88">
        <v>0.66471032857587486</v>
      </c>
      <c r="AB19" s="88">
        <v>0.43683476973934648</v>
      </c>
      <c r="AC19" s="88">
        <v>0.866214382632293</v>
      </c>
      <c r="AD19" s="88">
        <v>0.37007581743228812</v>
      </c>
      <c r="AE19" s="88">
        <v>1.3372900984365954</v>
      </c>
      <c r="AF19" s="88">
        <v>0.33889560553627007</v>
      </c>
    </row>
    <row r="20" spans="3:32" s="16" customFormat="1" ht="15" customHeight="1" x14ac:dyDescent="0.25">
      <c r="C20" s="91" t="s">
        <v>211</v>
      </c>
      <c r="D20" s="6">
        <v>1.4971644612476369</v>
      </c>
      <c r="E20" s="53">
        <v>226.30500000000004</v>
      </c>
      <c r="F20" s="6">
        <v>338.81580340264651</v>
      </c>
      <c r="G20" s="6">
        <v>0</v>
      </c>
      <c r="H20" s="53" t="s">
        <v>364</v>
      </c>
      <c r="I20" s="6">
        <v>0</v>
      </c>
      <c r="J20" s="6">
        <v>9</v>
      </c>
      <c r="K20" s="53">
        <v>365.42777777777775</v>
      </c>
      <c r="L20" s="6">
        <v>3288.85</v>
      </c>
      <c r="M20" s="6">
        <v>3.6217391304347823</v>
      </c>
      <c r="N20" s="53">
        <v>255.70170000000002</v>
      </c>
      <c r="O20" s="6">
        <v>926.08485260869566</v>
      </c>
      <c r="P20" s="6">
        <v>207</v>
      </c>
      <c r="Q20" s="53">
        <v>365.42777777777781</v>
      </c>
      <c r="R20" s="6">
        <v>75643.55</v>
      </c>
      <c r="S20" s="6">
        <v>83.3</v>
      </c>
      <c r="T20" s="6">
        <v>255.70170000000002</v>
      </c>
      <c r="U20" s="6">
        <v>21299.95161</v>
      </c>
      <c r="V20" s="6">
        <v>5.3782608695652172</v>
      </c>
      <c r="W20" s="6">
        <v>109.72607777777773</v>
      </c>
      <c r="X20" s="6">
        <v>2362.7651473913043</v>
      </c>
      <c r="Y20" s="92">
        <v>987.53469999999959</v>
      </c>
      <c r="Z20" s="6">
        <v>1375.2304473913043</v>
      </c>
      <c r="AA20" s="88">
        <v>2.4849939975990396</v>
      </c>
      <c r="AB20" s="88">
        <v>3.5513484436502902</v>
      </c>
      <c r="AC20" s="88">
        <v>5.0113636363636367</v>
      </c>
      <c r="AD20" s="88">
        <v>8.706896688321093</v>
      </c>
      <c r="AE20" s="88" t="s">
        <v>364</v>
      </c>
      <c r="AF20" s="88" t="s">
        <v>364</v>
      </c>
    </row>
    <row r="21" spans="3:32" x14ac:dyDescent="0.25">
      <c r="C21" s="91" t="s">
        <v>212</v>
      </c>
      <c r="D21" s="6">
        <v>2.0793950850661626E-2</v>
      </c>
      <c r="E21" s="53">
        <v>451</v>
      </c>
      <c r="F21" s="6">
        <v>9.3780718336483933</v>
      </c>
      <c r="G21" s="6">
        <v>0</v>
      </c>
      <c r="H21" s="53" t="s">
        <v>364</v>
      </c>
      <c r="I21" s="6">
        <v>0</v>
      </c>
      <c r="J21" s="6">
        <v>0</v>
      </c>
      <c r="K21" s="53" t="s">
        <v>364</v>
      </c>
      <c r="L21" s="6">
        <v>0</v>
      </c>
      <c r="M21" s="6">
        <v>6.6251956521739128</v>
      </c>
      <c r="N21" s="53">
        <v>794.5367</v>
      </c>
      <c r="O21" s="6">
        <v>5263.9610903326084</v>
      </c>
      <c r="P21" s="6">
        <v>0</v>
      </c>
      <c r="Q21" s="53" t="s">
        <v>364</v>
      </c>
      <c r="R21" s="6">
        <v>0</v>
      </c>
      <c r="S21" s="6">
        <v>152.37950000000001</v>
      </c>
      <c r="T21" s="6">
        <v>794.5367</v>
      </c>
      <c r="U21" s="6">
        <v>121071.10507765001</v>
      </c>
      <c r="V21" s="6">
        <v>-6.6251956521739128</v>
      </c>
      <c r="W21" s="6">
        <v>0</v>
      </c>
      <c r="X21" s="6">
        <v>-5263.9610903326084</v>
      </c>
      <c r="Y21" s="92">
        <v>0</v>
      </c>
      <c r="Z21" s="6">
        <v>-5263.9610903326084</v>
      </c>
      <c r="AA21" s="88">
        <v>0</v>
      </c>
      <c r="AB21" s="88">
        <v>0</v>
      </c>
      <c r="AC21" s="88">
        <v>-1</v>
      </c>
      <c r="AD21" s="88">
        <v>-1</v>
      </c>
      <c r="AE21" s="88" t="s">
        <v>364</v>
      </c>
      <c r="AF21" s="88" t="s">
        <v>364</v>
      </c>
    </row>
    <row r="22" spans="3:32" ht="15" customHeight="1" x14ac:dyDescent="0.25">
      <c r="C22" s="91" t="s">
        <v>46</v>
      </c>
      <c r="D22" s="6">
        <v>10.792060491493384</v>
      </c>
      <c r="E22" s="53">
        <v>414.2278805394987</v>
      </c>
      <c r="F22" s="6">
        <v>4470.372344045365</v>
      </c>
      <c r="G22" s="6">
        <v>11.814814814814815</v>
      </c>
      <c r="H22" s="53">
        <v>367.60805097451225</v>
      </c>
      <c r="I22" s="6">
        <v>4343.2210466988672</v>
      </c>
      <c r="J22" s="6">
        <v>26</v>
      </c>
      <c r="K22" s="53">
        <v>620.55230769230775</v>
      </c>
      <c r="L22" s="6">
        <v>16134.36</v>
      </c>
      <c r="M22" s="6">
        <v>27.62869565217391</v>
      </c>
      <c r="N22" s="53">
        <v>444.50760079312624</v>
      </c>
      <c r="O22" s="6">
        <v>12281.165217391303</v>
      </c>
      <c r="P22" s="6">
        <v>598</v>
      </c>
      <c r="Q22" s="53">
        <v>620.55230769230775</v>
      </c>
      <c r="R22" s="6">
        <v>371090.28</v>
      </c>
      <c r="S22" s="6">
        <v>635.45999999999992</v>
      </c>
      <c r="T22" s="6">
        <v>444.5076007931263</v>
      </c>
      <c r="U22" s="6">
        <v>282466.8</v>
      </c>
      <c r="V22" s="6">
        <v>-1.62869565217391</v>
      </c>
      <c r="W22" s="6">
        <v>176.04470689918151</v>
      </c>
      <c r="X22" s="6">
        <v>3853.194782608698</v>
      </c>
      <c r="Y22" s="92">
        <v>4577.1623793787194</v>
      </c>
      <c r="Z22" s="6">
        <v>-723.9675967700208</v>
      </c>
      <c r="AA22" s="88">
        <v>0.94105057753438459</v>
      </c>
      <c r="AB22" s="88">
        <v>1.3137483059956074</v>
      </c>
      <c r="AC22" s="88">
        <v>1.4091784901033455</v>
      </c>
      <c r="AD22" s="88">
        <v>2.609175871332357</v>
      </c>
      <c r="AE22" s="88">
        <v>1.2006269592476488</v>
      </c>
      <c r="AF22" s="88">
        <v>2.7148374044335535</v>
      </c>
    </row>
    <row r="23" spans="3:32" ht="15" customHeight="1" x14ac:dyDescent="0.25">
      <c r="C23" s="91" t="s">
        <v>45</v>
      </c>
      <c r="D23" s="6">
        <v>0</v>
      </c>
      <c r="E23" s="53" t="s">
        <v>364</v>
      </c>
      <c r="F23" s="6">
        <v>0</v>
      </c>
      <c r="G23" s="6">
        <v>0</v>
      </c>
      <c r="H23" s="53" t="s">
        <v>364</v>
      </c>
      <c r="I23" s="6">
        <v>0</v>
      </c>
      <c r="J23" s="6">
        <v>1</v>
      </c>
      <c r="K23" s="53">
        <v>1299</v>
      </c>
      <c r="L23" s="6">
        <v>1299</v>
      </c>
      <c r="M23" s="6">
        <v>7.527219681159421</v>
      </c>
      <c r="N23" s="53">
        <v>449.99999999999994</v>
      </c>
      <c r="O23" s="6">
        <v>3387.2488565217391</v>
      </c>
      <c r="P23" s="6">
        <v>23</v>
      </c>
      <c r="Q23" s="53">
        <v>1299</v>
      </c>
      <c r="R23" s="6">
        <v>29877</v>
      </c>
      <c r="S23" s="6">
        <v>173.12605266666668</v>
      </c>
      <c r="T23" s="6">
        <v>450</v>
      </c>
      <c r="U23" s="6">
        <v>77906.723700000002</v>
      </c>
      <c r="V23" s="6">
        <v>-6.527219681159421</v>
      </c>
      <c r="W23" s="6">
        <v>849</v>
      </c>
      <c r="X23" s="6">
        <v>-2088.2488565217391</v>
      </c>
      <c r="Y23" s="92">
        <v>849</v>
      </c>
      <c r="Z23" s="6">
        <v>-2937.2488565217391</v>
      </c>
      <c r="AA23" s="88">
        <v>0.13285117777324781</v>
      </c>
      <c r="AB23" s="88">
        <v>0.38349706650544207</v>
      </c>
      <c r="AC23" s="88" t="s">
        <v>364</v>
      </c>
      <c r="AD23" s="88" t="s">
        <v>364</v>
      </c>
      <c r="AE23" s="88" t="s">
        <v>364</v>
      </c>
      <c r="AF23" s="88" t="s">
        <v>364</v>
      </c>
    </row>
    <row r="24" spans="3:32" x14ac:dyDescent="0.25">
      <c r="C24" s="91" t="s">
        <v>213</v>
      </c>
      <c r="D24" s="6">
        <v>0</v>
      </c>
      <c r="E24" s="53" t="s">
        <v>364</v>
      </c>
      <c r="F24" s="6">
        <v>0</v>
      </c>
      <c r="G24" s="6">
        <v>0</v>
      </c>
      <c r="H24" s="53" t="s">
        <v>364</v>
      </c>
      <c r="I24" s="6">
        <v>0</v>
      </c>
      <c r="J24" s="6">
        <v>0</v>
      </c>
      <c r="K24" s="53" t="s">
        <v>364</v>
      </c>
      <c r="L24" s="6">
        <v>0</v>
      </c>
      <c r="M24" s="6">
        <v>0</v>
      </c>
      <c r="N24" s="53" t="s">
        <v>364</v>
      </c>
      <c r="O24" s="6">
        <v>0</v>
      </c>
      <c r="P24" s="6">
        <v>0</v>
      </c>
      <c r="Q24" s="53" t="s">
        <v>364</v>
      </c>
      <c r="R24" s="6">
        <v>0</v>
      </c>
      <c r="S24" s="6">
        <v>0</v>
      </c>
      <c r="T24" s="6" t="s">
        <v>364</v>
      </c>
      <c r="U24" s="6">
        <v>0</v>
      </c>
      <c r="V24" s="6">
        <v>0</v>
      </c>
      <c r="W24" s="6">
        <v>0</v>
      </c>
      <c r="X24" s="6">
        <v>0</v>
      </c>
      <c r="Y24" s="92">
        <v>0</v>
      </c>
      <c r="Z24" s="6">
        <v>0</v>
      </c>
      <c r="AA24" s="88" t="s">
        <v>364</v>
      </c>
      <c r="AB24" s="88" t="s">
        <v>364</v>
      </c>
      <c r="AC24" s="88" t="s">
        <v>364</v>
      </c>
      <c r="AD24" s="88" t="s">
        <v>364</v>
      </c>
      <c r="AE24" s="88" t="s">
        <v>364</v>
      </c>
      <c r="AF24" s="88" t="s">
        <v>364</v>
      </c>
    </row>
    <row r="25" spans="3:32" ht="15" customHeight="1" x14ac:dyDescent="0.25">
      <c r="C25" s="91" t="s">
        <v>42</v>
      </c>
      <c r="D25" s="6">
        <v>13.724007561436673</v>
      </c>
      <c r="E25" s="53">
        <v>404.9268333333336</v>
      </c>
      <c r="F25" s="6">
        <v>5557.2189224952781</v>
      </c>
      <c r="G25" s="6">
        <v>16.491143317230275</v>
      </c>
      <c r="H25" s="53">
        <v>364.0797744360903</v>
      </c>
      <c r="I25" s="6">
        <v>6004.0917391304365</v>
      </c>
      <c r="J25" s="6">
        <v>32</v>
      </c>
      <c r="K25" s="53">
        <v>315.59562500000004</v>
      </c>
      <c r="L25" s="6">
        <v>10099.060000000001</v>
      </c>
      <c r="M25" s="6">
        <v>38.929130434782607</v>
      </c>
      <c r="N25" s="53">
        <v>418.78578962551796</v>
      </c>
      <c r="O25" s="6">
        <v>16302.966628565217</v>
      </c>
      <c r="P25" s="6">
        <v>736</v>
      </c>
      <c r="Q25" s="53">
        <v>315.59562500000004</v>
      </c>
      <c r="R25" s="6">
        <v>232278.38000000003</v>
      </c>
      <c r="S25" s="6">
        <v>895.37</v>
      </c>
      <c r="T25" s="6">
        <v>418.78578962551796</v>
      </c>
      <c r="U25" s="6">
        <v>374968.23245700001</v>
      </c>
      <c r="V25" s="6">
        <v>-6.929130434782607</v>
      </c>
      <c r="W25" s="6">
        <v>-103.19016462551792</v>
      </c>
      <c r="X25" s="6">
        <v>-6203.9066285652152</v>
      </c>
      <c r="Y25" s="92">
        <v>-3302.0852680165735</v>
      </c>
      <c r="Z25" s="6">
        <v>-2901.8213605486426</v>
      </c>
      <c r="AA25" s="88">
        <v>0.82200654478037016</v>
      </c>
      <c r="AB25" s="88">
        <v>0.61946149005205897</v>
      </c>
      <c r="AC25" s="88">
        <v>1.3316804407713498</v>
      </c>
      <c r="AD25" s="88">
        <v>0.81728669337096504</v>
      </c>
      <c r="AE25" s="88">
        <v>0.94043550434527867</v>
      </c>
      <c r="AF25" s="88">
        <v>0.68202959561417908</v>
      </c>
    </row>
    <row r="26" spans="3:32" ht="15" customHeight="1" x14ac:dyDescent="0.25">
      <c r="C26" s="91" t="s">
        <v>39</v>
      </c>
      <c r="D26" s="6">
        <v>12.996219281663516</v>
      </c>
      <c r="E26" s="53">
        <v>482.37619199999909</v>
      </c>
      <c r="F26" s="6">
        <v>6269.0667674858105</v>
      </c>
      <c r="G26" s="6">
        <v>13.568438003220612</v>
      </c>
      <c r="H26" s="53">
        <v>450.28377284595263</v>
      </c>
      <c r="I26" s="6">
        <v>6109.6474557165811</v>
      </c>
      <c r="J26" s="6">
        <v>31</v>
      </c>
      <c r="K26" s="53">
        <v>380.68967741935478</v>
      </c>
      <c r="L26" s="6">
        <v>11801.379999999997</v>
      </c>
      <c r="M26" s="6">
        <v>17.391304347826086</v>
      </c>
      <c r="N26" s="53">
        <v>510</v>
      </c>
      <c r="O26" s="6">
        <v>8869.565217391304</v>
      </c>
      <c r="P26" s="6">
        <v>713</v>
      </c>
      <c r="Q26" s="53">
        <v>380.68967741935472</v>
      </c>
      <c r="R26" s="6">
        <v>271431.73999999993</v>
      </c>
      <c r="S26" s="6">
        <v>400</v>
      </c>
      <c r="T26" s="6">
        <v>510</v>
      </c>
      <c r="U26" s="6">
        <v>204000</v>
      </c>
      <c r="V26" s="6">
        <v>13.608695652173914</v>
      </c>
      <c r="W26" s="6">
        <v>-129.31032258064522</v>
      </c>
      <c r="X26" s="6">
        <v>2931.8147826086933</v>
      </c>
      <c r="Y26" s="92">
        <v>-4008.6200000000017</v>
      </c>
      <c r="Z26" s="6">
        <v>6940.434782608696</v>
      </c>
      <c r="AA26" s="88">
        <v>1.7825000000000002</v>
      </c>
      <c r="AB26" s="88">
        <v>1.330547745098039</v>
      </c>
      <c r="AC26" s="88">
        <v>1.385309090909091</v>
      </c>
      <c r="AD26" s="88">
        <v>0.88247795687984099</v>
      </c>
      <c r="AE26" s="88">
        <v>1.2847139805364347</v>
      </c>
      <c r="AF26" s="88">
        <v>0.93159754069899126</v>
      </c>
    </row>
    <row r="27" spans="3:32" x14ac:dyDescent="0.25">
      <c r="C27" s="91" t="s">
        <v>48</v>
      </c>
      <c r="D27" s="6">
        <v>3.1398865784499055</v>
      </c>
      <c r="E27" s="53">
        <v>434.28172185430464</v>
      </c>
      <c r="F27" s="6">
        <v>1363.5953497164462</v>
      </c>
      <c r="G27" s="6">
        <v>3.6843800322061191</v>
      </c>
      <c r="H27" s="53">
        <v>439.10701923076903</v>
      </c>
      <c r="I27" s="6">
        <v>1617.8371336553937</v>
      </c>
      <c r="J27" s="6">
        <v>6</v>
      </c>
      <c r="K27" s="53">
        <v>267.78166666666669</v>
      </c>
      <c r="L27" s="6">
        <v>1606.69</v>
      </c>
      <c r="M27" s="6">
        <v>19.782608695652172</v>
      </c>
      <c r="N27" s="53">
        <v>460.32334923076917</v>
      </c>
      <c r="O27" s="6">
        <v>9106.3966913043459</v>
      </c>
      <c r="P27" s="6">
        <v>138</v>
      </c>
      <c r="Q27" s="53">
        <v>267.78166666666669</v>
      </c>
      <c r="R27" s="6">
        <v>36953.870000000003</v>
      </c>
      <c r="S27" s="6">
        <v>455</v>
      </c>
      <c r="T27" s="6">
        <v>460.32334923076917</v>
      </c>
      <c r="U27" s="6">
        <v>209447.12389999998</v>
      </c>
      <c r="V27" s="6">
        <v>-13.782608695652172</v>
      </c>
      <c r="W27" s="6">
        <v>-192.54168256410247</v>
      </c>
      <c r="X27" s="6">
        <v>-7499.7066913043454</v>
      </c>
      <c r="Y27" s="92">
        <v>-1155.2500953846147</v>
      </c>
      <c r="Z27" s="6">
        <v>-6344.4565959197307</v>
      </c>
      <c r="AA27" s="88">
        <v>0.30329670329670333</v>
      </c>
      <c r="AB27" s="88">
        <v>0.17643531843217641</v>
      </c>
      <c r="AC27" s="88">
        <v>0.91089704996989762</v>
      </c>
      <c r="AD27" s="88">
        <v>0.17827477215590706</v>
      </c>
      <c r="AE27" s="88">
        <v>0.62849650349650354</v>
      </c>
      <c r="AF27" s="88">
        <v>-6.890145752933393E-3</v>
      </c>
    </row>
    <row r="28" spans="3:32" x14ac:dyDescent="0.25">
      <c r="C28" s="91" t="s">
        <v>147</v>
      </c>
      <c r="D28" s="6">
        <v>5.8223062381852557</v>
      </c>
      <c r="E28" s="53">
        <v>681.78099999999995</v>
      </c>
      <c r="F28" s="6">
        <v>3969.5377693761816</v>
      </c>
      <c r="G28" s="6">
        <v>6.5362318840579707</v>
      </c>
      <c r="H28" s="53">
        <v>694.00910569105656</v>
      </c>
      <c r="I28" s="6">
        <v>4536.2044444444418</v>
      </c>
      <c r="J28" s="6">
        <v>15</v>
      </c>
      <c r="K28" s="53">
        <v>1463.1706666666666</v>
      </c>
      <c r="L28" s="6">
        <v>21947.56</v>
      </c>
      <c r="M28" s="6">
        <v>18.677826086956522</v>
      </c>
      <c r="N28" s="53">
        <v>879.18368365650963</v>
      </c>
      <c r="O28" s="6">
        <v>16421.239941826087</v>
      </c>
      <c r="P28" s="6">
        <v>345</v>
      </c>
      <c r="Q28" s="53">
        <v>1463.1706666666666</v>
      </c>
      <c r="R28" s="6">
        <v>504793.88</v>
      </c>
      <c r="S28" s="6">
        <v>429.59000000000003</v>
      </c>
      <c r="T28" s="6">
        <v>879.18368365650952</v>
      </c>
      <c r="U28" s="6">
        <v>377688.51866199996</v>
      </c>
      <c r="V28" s="6">
        <v>-3.6778260869565216</v>
      </c>
      <c r="W28" s="6">
        <v>583.98698301015702</v>
      </c>
      <c r="X28" s="6">
        <v>5526.3200581739147</v>
      </c>
      <c r="Y28" s="92">
        <v>8759.8047451523562</v>
      </c>
      <c r="Z28" s="6">
        <v>-3233.484686978441</v>
      </c>
      <c r="AA28" s="88">
        <v>0.80309131963034519</v>
      </c>
      <c r="AB28" s="88">
        <v>1.3365348827342798</v>
      </c>
      <c r="AC28" s="88">
        <v>1.5762987012987011</v>
      </c>
      <c r="AD28" s="88">
        <v>4.5289963907936546</v>
      </c>
      <c r="AE28" s="88">
        <v>1.29490022172949</v>
      </c>
      <c r="AF28" s="88">
        <v>3.8383092668760792</v>
      </c>
    </row>
    <row r="29" spans="3:32" x14ac:dyDescent="0.25">
      <c r="C29" s="91" t="s">
        <v>214</v>
      </c>
      <c r="D29" s="6">
        <v>0.95652173913043481</v>
      </c>
      <c r="E29" s="53">
        <v>369.45217391304351</v>
      </c>
      <c r="F29" s="6">
        <v>353.38903591682424</v>
      </c>
      <c r="G29" s="6">
        <v>1.3285024154589371</v>
      </c>
      <c r="H29" s="53">
        <v>357.13933333333335</v>
      </c>
      <c r="I29" s="6">
        <v>474.46046698872789</v>
      </c>
      <c r="J29" s="6">
        <v>0</v>
      </c>
      <c r="K29" s="53" t="s">
        <v>364</v>
      </c>
      <c r="L29" s="6">
        <v>0</v>
      </c>
      <c r="M29" s="6">
        <v>4.0356521739130429</v>
      </c>
      <c r="N29" s="53">
        <v>452.62139999999994</v>
      </c>
      <c r="O29" s="6">
        <v>1826.6225368695648</v>
      </c>
      <c r="P29" s="6">
        <v>0</v>
      </c>
      <c r="Q29" s="53" t="s">
        <v>364</v>
      </c>
      <c r="R29" s="6">
        <v>0</v>
      </c>
      <c r="S29" s="6">
        <v>92.82</v>
      </c>
      <c r="T29" s="6">
        <v>452.62139999999994</v>
      </c>
      <c r="U29" s="6">
        <v>42012.318347999993</v>
      </c>
      <c r="V29" s="6">
        <v>-4.0356521739130429</v>
      </c>
      <c r="W29" s="6">
        <v>0</v>
      </c>
      <c r="X29" s="6">
        <v>-1826.6225368695648</v>
      </c>
      <c r="Y29" s="92">
        <v>0</v>
      </c>
      <c r="Z29" s="6">
        <v>-1826.6225368695648</v>
      </c>
      <c r="AA29" s="88">
        <v>0</v>
      </c>
      <c r="AB29" s="88">
        <v>0</v>
      </c>
      <c r="AC29" s="88">
        <v>-1</v>
      </c>
      <c r="AD29" s="88">
        <v>-1</v>
      </c>
      <c r="AE29" s="88">
        <v>-1</v>
      </c>
      <c r="AF29" s="88">
        <v>-1</v>
      </c>
    </row>
    <row r="30" spans="3:32" x14ac:dyDescent="0.25">
      <c r="C30" s="91" t="s">
        <v>215</v>
      </c>
      <c r="D30" s="6">
        <v>0</v>
      </c>
      <c r="E30" s="53" t="s">
        <v>364</v>
      </c>
      <c r="F30" s="6">
        <v>0</v>
      </c>
      <c r="G30" s="6">
        <v>0</v>
      </c>
      <c r="H30" s="53" t="s">
        <v>364</v>
      </c>
      <c r="I30" s="6">
        <v>0</v>
      </c>
      <c r="J30" s="6">
        <v>2</v>
      </c>
      <c r="K30" s="53">
        <v>22600</v>
      </c>
      <c r="L30" s="6">
        <v>45200</v>
      </c>
      <c r="M30" s="6">
        <v>4.6546706844597505</v>
      </c>
      <c r="N30" s="53">
        <v>1212</v>
      </c>
      <c r="O30" s="6">
        <v>5641.4608695652178</v>
      </c>
      <c r="P30" s="6">
        <v>46</v>
      </c>
      <c r="Q30" s="53">
        <v>22600</v>
      </c>
      <c r="R30" s="6">
        <v>1039600</v>
      </c>
      <c r="S30" s="6">
        <v>0</v>
      </c>
      <c r="T30" s="6" t="s">
        <v>364</v>
      </c>
      <c r="U30" s="6">
        <v>0</v>
      </c>
      <c r="V30" s="6">
        <v>-2.6546706844597505</v>
      </c>
      <c r="W30" s="6">
        <v>21388</v>
      </c>
      <c r="X30" s="6">
        <v>39558.53913043478</v>
      </c>
      <c r="Y30" s="92">
        <v>42776</v>
      </c>
      <c r="Z30" s="6">
        <v>-3217.4608695652178</v>
      </c>
      <c r="AA30" s="88">
        <v>0.42967593962710859</v>
      </c>
      <c r="AB30" s="88">
        <v>8.0121091052579647</v>
      </c>
      <c r="AC30" s="88" t="s">
        <v>364</v>
      </c>
      <c r="AD30" s="88" t="s">
        <v>364</v>
      </c>
      <c r="AE30" s="88" t="s">
        <v>364</v>
      </c>
      <c r="AF30" s="88" t="s">
        <v>364</v>
      </c>
    </row>
    <row r="31" spans="3:32" x14ac:dyDescent="0.25">
      <c r="C31" s="91" t="s">
        <v>216</v>
      </c>
      <c r="D31" s="6">
        <v>4.2835538752362954</v>
      </c>
      <c r="E31" s="53">
        <v>479.80946601941736</v>
      </c>
      <c r="F31" s="6">
        <v>2055.2896975425328</v>
      </c>
      <c r="G31" s="6">
        <v>6.6956521739130439</v>
      </c>
      <c r="H31" s="53">
        <v>722.83346560846564</v>
      </c>
      <c r="I31" s="6">
        <v>4839.8414653784221</v>
      </c>
      <c r="J31" s="6">
        <v>14</v>
      </c>
      <c r="K31" s="53">
        <v>745.92785714285708</v>
      </c>
      <c r="L31" s="6">
        <v>10442.99</v>
      </c>
      <c r="M31" s="6">
        <v>17.022173913043474</v>
      </c>
      <c r="N31" s="53">
        <v>697.8114252279637</v>
      </c>
      <c r="O31" s="6">
        <v>11878.267438739131</v>
      </c>
      <c r="P31" s="6">
        <v>322</v>
      </c>
      <c r="Q31" s="53">
        <v>745.92785714285708</v>
      </c>
      <c r="R31" s="6">
        <v>240188.77</v>
      </c>
      <c r="S31" s="6">
        <v>391.51</v>
      </c>
      <c r="T31" s="6">
        <v>697.81142522796358</v>
      </c>
      <c r="U31" s="6">
        <v>273200.15109100001</v>
      </c>
      <c r="V31" s="6">
        <v>-3.0221739130434742</v>
      </c>
      <c r="W31" s="6">
        <v>48.116431914893383</v>
      </c>
      <c r="X31" s="6">
        <v>-1435.277438739131</v>
      </c>
      <c r="Y31" s="92">
        <v>673.63004680850736</v>
      </c>
      <c r="Z31" s="6">
        <v>-2108.9074855476388</v>
      </c>
      <c r="AA31" s="88">
        <v>0.82245664223136083</v>
      </c>
      <c r="AB31" s="88">
        <v>0.87916777879085328</v>
      </c>
      <c r="AC31" s="88">
        <v>2.2683142100617824</v>
      </c>
      <c r="AD31" s="88">
        <v>4.0810306753770353</v>
      </c>
      <c r="AE31" s="88">
        <v>1.0909090909090908</v>
      </c>
      <c r="AF31" s="88">
        <v>1.1577132380685271</v>
      </c>
    </row>
    <row r="32" spans="3:32" x14ac:dyDescent="0.25">
      <c r="C32" s="91" t="s">
        <v>50</v>
      </c>
      <c r="D32" s="6">
        <v>4.2211720226843097</v>
      </c>
      <c r="E32" s="53">
        <v>266.56167487684729</v>
      </c>
      <c r="F32" s="6">
        <v>1125.2026843100189</v>
      </c>
      <c r="G32" s="6">
        <v>3.0821256038647342</v>
      </c>
      <c r="H32" s="53">
        <v>296.23563218390802</v>
      </c>
      <c r="I32" s="6">
        <v>913.03542673107881</v>
      </c>
      <c r="J32" s="6">
        <v>45</v>
      </c>
      <c r="K32" s="53">
        <v>333.01066666666668</v>
      </c>
      <c r="L32" s="6">
        <v>14985.48</v>
      </c>
      <c r="M32" s="6">
        <v>26.05086956521739</v>
      </c>
      <c r="N32" s="53">
        <v>348.67533955137941</v>
      </c>
      <c r="O32" s="6">
        <v>9083.295791260869</v>
      </c>
      <c r="P32" s="6">
        <v>1035</v>
      </c>
      <c r="Q32" s="53">
        <v>333.01066666666662</v>
      </c>
      <c r="R32" s="6">
        <v>344666.04</v>
      </c>
      <c r="S32" s="6">
        <v>599.17000000000007</v>
      </c>
      <c r="T32" s="6">
        <v>348.67533955137941</v>
      </c>
      <c r="U32" s="6">
        <v>208915.80319900002</v>
      </c>
      <c r="V32" s="6">
        <v>18.94913043478261</v>
      </c>
      <c r="W32" s="6">
        <v>-15.664672884712729</v>
      </c>
      <c r="X32" s="6">
        <v>5902.1842087391306</v>
      </c>
      <c r="Y32" s="92">
        <v>-704.91027981207276</v>
      </c>
      <c r="Z32" s="6">
        <v>6607.0944885512044</v>
      </c>
      <c r="AA32" s="88">
        <v>1.7273895555518468</v>
      </c>
      <c r="AB32" s="88">
        <v>1.649784433357073</v>
      </c>
      <c r="AC32" s="88">
        <v>9.6605463502015247</v>
      </c>
      <c r="AD32" s="88">
        <v>12.318027239856068</v>
      </c>
      <c r="AE32" s="88">
        <v>13.600313479623825</v>
      </c>
      <c r="AF32" s="88">
        <v>15.412813305231969</v>
      </c>
    </row>
    <row r="33" spans="3:32" x14ac:dyDescent="0.25">
      <c r="C33" s="91" t="s">
        <v>217</v>
      </c>
      <c r="D33" s="6">
        <v>1.7674858223062382</v>
      </c>
      <c r="E33" s="53">
        <v>525.56870588235267</v>
      </c>
      <c r="F33" s="6">
        <v>928.9352362948955</v>
      </c>
      <c r="G33" s="6">
        <v>5.632850241545893</v>
      </c>
      <c r="H33" s="53">
        <v>475.29088050314471</v>
      </c>
      <c r="I33" s="6">
        <v>2677.2423510466988</v>
      </c>
      <c r="J33" s="6">
        <v>8</v>
      </c>
      <c r="K33" s="53">
        <v>820.75625000000014</v>
      </c>
      <c r="L33" s="6">
        <v>6566.0500000000011</v>
      </c>
      <c r="M33" s="6">
        <v>11.385195652173913</v>
      </c>
      <c r="N33" s="53">
        <v>627.6074846852988</v>
      </c>
      <c r="O33" s="6">
        <v>7145.4340059108699</v>
      </c>
      <c r="P33" s="6">
        <v>184</v>
      </c>
      <c r="Q33" s="53">
        <v>820.75625000000014</v>
      </c>
      <c r="R33" s="6">
        <v>151019.15000000002</v>
      </c>
      <c r="S33" s="6">
        <v>261.85950000000003</v>
      </c>
      <c r="T33" s="6">
        <v>627.6074846852988</v>
      </c>
      <c r="U33" s="6">
        <v>164344.98213595001</v>
      </c>
      <c r="V33" s="6">
        <v>-3.3851956521739126</v>
      </c>
      <c r="W33" s="6">
        <v>193.14876531470134</v>
      </c>
      <c r="X33" s="6">
        <v>-579.38400591086884</v>
      </c>
      <c r="Y33" s="92">
        <v>1545.1901225176107</v>
      </c>
      <c r="Z33" s="6">
        <v>-2124.5741284284791</v>
      </c>
      <c r="AA33" s="88">
        <v>0.70266688815949019</v>
      </c>
      <c r="AB33" s="88">
        <v>0.91891549128694083</v>
      </c>
      <c r="AC33" s="88">
        <v>3.5262032085561499</v>
      </c>
      <c r="AD33" s="88">
        <v>6.0683614351728314</v>
      </c>
      <c r="AE33" s="88">
        <v>0.42024013722126946</v>
      </c>
      <c r="AF33" s="88">
        <v>1.4525422576827713</v>
      </c>
    </row>
    <row r="34" spans="3:32" x14ac:dyDescent="0.25">
      <c r="C34" s="91" t="s">
        <v>40</v>
      </c>
      <c r="D34" s="6">
        <v>4.8657844990548202</v>
      </c>
      <c r="E34" s="53">
        <v>200.2718803418804</v>
      </c>
      <c r="F34" s="6">
        <v>974.47981096408341</v>
      </c>
      <c r="G34" s="6">
        <v>4.5523349436392913</v>
      </c>
      <c r="H34" s="53">
        <v>179.76708171206221</v>
      </c>
      <c r="I34" s="6">
        <v>818.35996779388051</v>
      </c>
      <c r="J34" s="6">
        <v>18</v>
      </c>
      <c r="K34" s="53">
        <v>178.94444444444446</v>
      </c>
      <c r="L34" s="6">
        <v>3221</v>
      </c>
      <c r="M34" s="6">
        <v>14.590434782608694</v>
      </c>
      <c r="N34" s="53">
        <v>203.77760000000001</v>
      </c>
      <c r="O34" s="6">
        <v>2973.2037829565215</v>
      </c>
      <c r="P34" s="6">
        <v>414</v>
      </c>
      <c r="Q34" s="53">
        <v>178.94444444444446</v>
      </c>
      <c r="R34" s="6">
        <v>74083</v>
      </c>
      <c r="S34" s="6">
        <v>335.58</v>
      </c>
      <c r="T34" s="6">
        <v>203.77759999999998</v>
      </c>
      <c r="U34" s="6">
        <v>68383.687007999994</v>
      </c>
      <c r="V34" s="6">
        <v>3.4095652173913056</v>
      </c>
      <c r="W34" s="6">
        <v>-24.83315555555555</v>
      </c>
      <c r="X34" s="6">
        <v>247.79621704347846</v>
      </c>
      <c r="Y34" s="92">
        <v>-446.99679999999989</v>
      </c>
      <c r="Z34" s="6">
        <v>694.79301704347859</v>
      </c>
      <c r="AA34" s="88">
        <v>1.233684963347041</v>
      </c>
      <c r="AB34" s="88">
        <v>1.0833431662047304</v>
      </c>
      <c r="AC34" s="88">
        <v>2.6993006993006996</v>
      </c>
      <c r="AD34" s="88">
        <v>2.3053532395025855</v>
      </c>
      <c r="AE34" s="88">
        <v>2.9540148567385924</v>
      </c>
      <c r="AF34" s="88">
        <v>2.9359207766273214</v>
      </c>
    </row>
    <row r="35" spans="3:32" x14ac:dyDescent="0.25">
      <c r="C35" s="91" t="s">
        <v>52</v>
      </c>
      <c r="D35" s="6">
        <v>3.9924385633270321</v>
      </c>
      <c r="E35" s="53">
        <v>498.35026041666669</v>
      </c>
      <c r="F35" s="6">
        <v>1989.6327977315691</v>
      </c>
      <c r="G35" s="6">
        <v>5.119162640901771</v>
      </c>
      <c r="H35" s="53">
        <v>520.90435986159173</v>
      </c>
      <c r="I35" s="6">
        <v>2666.5941384863127</v>
      </c>
      <c r="J35" s="6">
        <v>13</v>
      </c>
      <c r="K35" s="53">
        <v>563.60384615384623</v>
      </c>
      <c r="L35" s="6">
        <v>7326.85</v>
      </c>
      <c r="M35" s="6">
        <v>21.143043478260868</v>
      </c>
      <c r="N35" s="53">
        <v>504.16966863394282</v>
      </c>
      <c r="O35" s="6">
        <v>10659.681224347827</v>
      </c>
      <c r="P35" s="6">
        <v>299</v>
      </c>
      <c r="Q35" s="53">
        <v>563.60384615384623</v>
      </c>
      <c r="R35" s="6">
        <v>168517.55000000002</v>
      </c>
      <c r="S35" s="6">
        <v>351.05</v>
      </c>
      <c r="T35" s="6">
        <v>541.84199999999998</v>
      </c>
      <c r="U35" s="6">
        <v>190213.6341</v>
      </c>
      <c r="V35" s="6">
        <v>-8.1430434782608678</v>
      </c>
      <c r="W35" s="6">
        <v>59.434177519903415</v>
      </c>
      <c r="X35" s="6">
        <v>-3332.8312243478267</v>
      </c>
      <c r="Y35" s="92">
        <v>772.64430775874439</v>
      </c>
      <c r="Z35" s="6">
        <v>-4105.4755321065713</v>
      </c>
      <c r="AA35" s="88">
        <v>0.61485944600958276</v>
      </c>
      <c r="AB35" s="88">
        <v>0.68734231782322985</v>
      </c>
      <c r="AC35" s="88">
        <v>2.2561553030303032</v>
      </c>
      <c r="AD35" s="88">
        <v>2.6825136820992941</v>
      </c>
      <c r="AE35" s="88">
        <v>1.5394778232148476</v>
      </c>
      <c r="AF35" s="88">
        <v>1.7476434805932159</v>
      </c>
    </row>
    <row r="36" spans="3:32" x14ac:dyDescent="0.25">
      <c r="C36" s="91" t="s">
        <v>218</v>
      </c>
      <c r="D36" s="6">
        <v>0</v>
      </c>
      <c r="E36" s="53" t="s">
        <v>364</v>
      </c>
      <c r="F36" s="6">
        <v>0</v>
      </c>
      <c r="G36" s="6">
        <v>0</v>
      </c>
      <c r="H36" s="53" t="s">
        <v>364</v>
      </c>
      <c r="I36" s="6">
        <v>0</v>
      </c>
      <c r="J36" s="6">
        <v>0</v>
      </c>
      <c r="K36" s="53" t="s">
        <v>364</v>
      </c>
      <c r="L36" s="6">
        <v>0</v>
      </c>
      <c r="M36" s="6">
        <v>2.8973913043478259</v>
      </c>
      <c r="N36" s="53">
        <v>734.77499999999998</v>
      </c>
      <c r="O36" s="6">
        <v>2128.9306956521737</v>
      </c>
      <c r="P36" s="6">
        <v>0</v>
      </c>
      <c r="Q36" s="53" t="s">
        <v>364</v>
      </c>
      <c r="R36" s="6">
        <v>0</v>
      </c>
      <c r="S36" s="6">
        <v>66.64</v>
      </c>
      <c r="T36" s="6">
        <v>734.77499999999998</v>
      </c>
      <c r="U36" s="6">
        <v>48965.405999999995</v>
      </c>
      <c r="V36" s="6">
        <v>-2.8973913043478259</v>
      </c>
      <c r="W36" s="6">
        <v>0</v>
      </c>
      <c r="X36" s="6">
        <v>-2128.9306956521737</v>
      </c>
      <c r="Y36" s="92">
        <v>0</v>
      </c>
      <c r="Z36" s="6">
        <v>-2128.9306956521737</v>
      </c>
      <c r="AA36" s="88">
        <v>0</v>
      </c>
      <c r="AB36" s="88">
        <v>0</v>
      </c>
      <c r="AC36" s="88" t="s">
        <v>364</v>
      </c>
      <c r="AD36" s="88" t="s">
        <v>364</v>
      </c>
      <c r="AE36" s="88" t="s">
        <v>364</v>
      </c>
      <c r="AF36" s="88" t="s">
        <v>364</v>
      </c>
    </row>
    <row r="37" spans="3:32" x14ac:dyDescent="0.25">
      <c r="C37" s="91" t="s">
        <v>41</v>
      </c>
      <c r="D37" s="6">
        <v>2.2457466918714553</v>
      </c>
      <c r="E37" s="53">
        <v>686.11370370370389</v>
      </c>
      <c r="F37" s="6">
        <v>1540.8375803402648</v>
      </c>
      <c r="G37" s="6">
        <v>2.4444444444444442</v>
      </c>
      <c r="H37" s="53">
        <v>282.03442028985506</v>
      </c>
      <c r="I37" s="6">
        <v>689.4174718196457</v>
      </c>
      <c r="J37" s="6">
        <v>7</v>
      </c>
      <c r="K37" s="53">
        <v>1868.3571428571429</v>
      </c>
      <c r="L37" s="6">
        <v>13078.5</v>
      </c>
      <c r="M37" s="6">
        <v>13.572173913043478</v>
      </c>
      <c r="N37" s="53">
        <v>679.77465583034336</v>
      </c>
      <c r="O37" s="6">
        <v>9226.0198506086945</v>
      </c>
      <c r="P37" s="6">
        <v>161</v>
      </c>
      <c r="Q37" s="53">
        <v>1868.3571428571429</v>
      </c>
      <c r="R37" s="6">
        <v>300805.5</v>
      </c>
      <c r="S37" s="6">
        <v>312.15999999999997</v>
      </c>
      <c r="T37" s="6">
        <v>679.77465583034348</v>
      </c>
      <c r="U37" s="6">
        <v>212198.45656399999</v>
      </c>
      <c r="V37" s="6">
        <v>-6.5721739130434784</v>
      </c>
      <c r="W37" s="6">
        <v>1188.5824870267995</v>
      </c>
      <c r="X37" s="6">
        <v>3852.4801493913055</v>
      </c>
      <c r="Y37" s="92">
        <v>8320.0774091875974</v>
      </c>
      <c r="Z37" s="6">
        <v>-4467.5972597962918</v>
      </c>
      <c r="AA37" s="88">
        <v>0.51576114812916452</v>
      </c>
      <c r="AB37" s="88">
        <v>1.4175668610920162</v>
      </c>
      <c r="AC37" s="88">
        <v>2.1170033670033677</v>
      </c>
      <c r="AD37" s="88">
        <v>7.4879160314300357</v>
      </c>
      <c r="AE37" s="88">
        <v>1.8636363636363638</v>
      </c>
      <c r="AF37" s="88">
        <v>17.970363436657124</v>
      </c>
    </row>
    <row r="38" spans="3:32" x14ac:dyDescent="0.25">
      <c r="C38" s="91" t="s">
        <v>219</v>
      </c>
      <c r="D38" s="6">
        <v>2.5368620037807181</v>
      </c>
      <c r="E38" s="53">
        <v>427.34959016393373</v>
      </c>
      <c r="F38" s="6">
        <v>1084.1269376181456</v>
      </c>
      <c r="G38" s="6">
        <v>2.2141706924315621</v>
      </c>
      <c r="H38" s="53">
        <v>361.49983999999984</v>
      </c>
      <c r="I38" s="6">
        <v>800.42235104669851</v>
      </c>
      <c r="J38" s="6">
        <v>17</v>
      </c>
      <c r="K38" s="53">
        <v>733.25941176470599</v>
      </c>
      <c r="L38" s="6">
        <v>12465.410000000002</v>
      </c>
      <c r="M38" s="6">
        <v>14.693913043478261</v>
      </c>
      <c r="N38" s="53">
        <v>409.51459999999992</v>
      </c>
      <c r="O38" s="6">
        <v>6017.3719224347815</v>
      </c>
      <c r="P38" s="6">
        <v>391</v>
      </c>
      <c r="Q38" s="53">
        <v>733.25941176470599</v>
      </c>
      <c r="R38" s="6">
        <v>286704.43000000005</v>
      </c>
      <c r="S38" s="6">
        <v>337.96</v>
      </c>
      <c r="T38" s="6">
        <v>409.51459999999992</v>
      </c>
      <c r="U38" s="6">
        <v>138399.55421599996</v>
      </c>
      <c r="V38" s="6">
        <v>2.3060869565217388</v>
      </c>
      <c r="W38" s="6">
        <v>323.74481176470607</v>
      </c>
      <c r="X38" s="6">
        <v>6448.0380775652202</v>
      </c>
      <c r="Y38" s="92">
        <v>5503.6618000000035</v>
      </c>
      <c r="Z38" s="6">
        <v>944.37627756521704</v>
      </c>
      <c r="AA38" s="88">
        <v>1.1569416498993963</v>
      </c>
      <c r="AB38" s="88">
        <v>2.0715704730706057</v>
      </c>
      <c r="AC38" s="88">
        <v>5.7011922503725785</v>
      </c>
      <c r="AD38" s="88">
        <v>10.498109278039731</v>
      </c>
      <c r="AE38" s="88">
        <v>6.6778181818181812</v>
      </c>
      <c r="AF38" s="88">
        <v>14.573540623521071</v>
      </c>
    </row>
    <row r="39" spans="3:32" x14ac:dyDescent="0.25">
      <c r="C39" s="91" t="s">
        <v>220</v>
      </c>
      <c r="D39" s="6">
        <v>0</v>
      </c>
      <c r="E39" s="53" t="s">
        <v>364</v>
      </c>
      <c r="F39" s="6">
        <v>0</v>
      </c>
      <c r="G39" s="6">
        <v>0</v>
      </c>
      <c r="H39" s="53" t="s">
        <v>364</v>
      </c>
      <c r="I39" s="6">
        <v>0</v>
      </c>
      <c r="J39" s="6">
        <v>0</v>
      </c>
      <c r="K39" s="53" t="s">
        <v>364</v>
      </c>
      <c r="L39" s="6">
        <v>0</v>
      </c>
      <c r="M39" s="6">
        <v>0</v>
      </c>
      <c r="N39" s="53" t="s">
        <v>364</v>
      </c>
      <c r="O39" s="6">
        <v>0</v>
      </c>
      <c r="P39" s="6">
        <v>0</v>
      </c>
      <c r="Q39" s="53" t="s">
        <v>364</v>
      </c>
      <c r="R39" s="6">
        <v>0</v>
      </c>
      <c r="S39" s="6">
        <v>0</v>
      </c>
      <c r="T39" s="6" t="s">
        <v>364</v>
      </c>
      <c r="U39" s="6">
        <v>0</v>
      </c>
      <c r="V39" s="6">
        <v>0</v>
      </c>
      <c r="W39" s="6">
        <v>0</v>
      </c>
      <c r="X39" s="6">
        <v>0</v>
      </c>
      <c r="Y39" s="92">
        <v>0</v>
      </c>
      <c r="Z39" s="6">
        <v>0</v>
      </c>
      <c r="AA39" s="88" t="s">
        <v>364</v>
      </c>
      <c r="AB39" s="88" t="s">
        <v>364</v>
      </c>
      <c r="AC39" s="88" t="s">
        <v>364</v>
      </c>
      <c r="AD39" s="88" t="s">
        <v>364</v>
      </c>
      <c r="AE39" s="88" t="s">
        <v>364</v>
      </c>
      <c r="AF39" s="88" t="s">
        <v>364</v>
      </c>
    </row>
    <row r="40" spans="3:32" x14ac:dyDescent="0.25">
      <c r="C40" s="91" t="s">
        <v>221</v>
      </c>
      <c r="D40" s="6">
        <v>0</v>
      </c>
      <c r="E40" s="53" t="s">
        <v>364</v>
      </c>
      <c r="F40" s="6">
        <v>0</v>
      </c>
      <c r="G40" s="6">
        <v>0</v>
      </c>
      <c r="H40" s="53" t="s">
        <v>364</v>
      </c>
      <c r="I40" s="6">
        <v>0</v>
      </c>
      <c r="J40" s="6">
        <v>2</v>
      </c>
      <c r="K40" s="53">
        <v>201.25</v>
      </c>
      <c r="L40" s="6">
        <v>402.5</v>
      </c>
      <c r="M40" s="6">
        <v>0</v>
      </c>
      <c r="N40" s="53" t="s">
        <v>364</v>
      </c>
      <c r="O40" s="6">
        <v>0</v>
      </c>
      <c r="P40" s="6">
        <v>46</v>
      </c>
      <c r="Q40" s="53">
        <v>201.25</v>
      </c>
      <c r="R40" s="6">
        <v>9257.5</v>
      </c>
      <c r="S40" s="6">
        <v>0</v>
      </c>
      <c r="T40" s="6" t="s">
        <v>364</v>
      </c>
      <c r="U40" s="6">
        <v>0</v>
      </c>
      <c r="V40" s="6">
        <v>2</v>
      </c>
      <c r="W40" s="6">
        <v>0</v>
      </c>
      <c r="X40" s="6">
        <v>402.5</v>
      </c>
      <c r="Y40" s="92">
        <v>0</v>
      </c>
      <c r="Z40" s="6">
        <v>0</v>
      </c>
      <c r="AA40" s="88" t="s">
        <v>364</v>
      </c>
      <c r="AB40" s="88" t="s">
        <v>364</v>
      </c>
      <c r="AC40" s="88" t="s">
        <v>364</v>
      </c>
      <c r="AD40" s="88" t="s">
        <v>364</v>
      </c>
      <c r="AE40" s="88" t="s">
        <v>364</v>
      </c>
      <c r="AF40" s="88" t="s">
        <v>364</v>
      </c>
    </row>
    <row r="41" spans="3:32" x14ac:dyDescent="0.25">
      <c r="C41" s="91" t="s">
        <v>153</v>
      </c>
      <c r="D41" s="6">
        <v>0</v>
      </c>
      <c r="E41" s="53" t="s">
        <v>364</v>
      </c>
      <c r="F41" s="6">
        <v>0</v>
      </c>
      <c r="G41" s="6">
        <v>0</v>
      </c>
      <c r="H41" s="53" t="s">
        <v>364</v>
      </c>
      <c r="I41" s="6">
        <v>0</v>
      </c>
      <c r="J41" s="6">
        <v>0</v>
      </c>
      <c r="K41" s="53" t="s">
        <v>364</v>
      </c>
      <c r="L41" s="6">
        <v>0</v>
      </c>
      <c r="M41" s="6">
        <v>0</v>
      </c>
      <c r="N41" s="53" t="s">
        <v>364</v>
      </c>
      <c r="O41" s="6">
        <v>0</v>
      </c>
      <c r="P41" s="6">
        <v>0</v>
      </c>
      <c r="Q41" s="53" t="s">
        <v>364</v>
      </c>
      <c r="R41" s="6">
        <v>0</v>
      </c>
      <c r="S41" s="6">
        <v>0</v>
      </c>
      <c r="T41" s="6" t="s">
        <v>364</v>
      </c>
      <c r="U41" s="6">
        <v>0</v>
      </c>
      <c r="V41" s="6">
        <v>0</v>
      </c>
      <c r="W41" s="6">
        <v>0</v>
      </c>
      <c r="X41" s="6">
        <v>0</v>
      </c>
      <c r="Y41" s="92">
        <v>0</v>
      </c>
      <c r="Z41" s="6">
        <v>0</v>
      </c>
      <c r="AA41" s="88" t="s">
        <v>364</v>
      </c>
      <c r="AB41" s="88" t="s">
        <v>364</v>
      </c>
      <c r="AC41" s="88" t="s">
        <v>364</v>
      </c>
      <c r="AD41" s="88" t="s">
        <v>364</v>
      </c>
      <c r="AE41" s="88" t="s">
        <v>364</v>
      </c>
      <c r="AF41" s="88" t="s">
        <v>364</v>
      </c>
    </row>
    <row r="42" spans="3:32" x14ac:dyDescent="0.25">
      <c r="C42" s="91" t="s">
        <v>49</v>
      </c>
      <c r="D42" s="6">
        <v>0</v>
      </c>
      <c r="E42" s="53" t="s">
        <v>364</v>
      </c>
      <c r="F42" s="6">
        <v>1008.2446124763715</v>
      </c>
      <c r="G42" s="6">
        <v>0</v>
      </c>
      <c r="H42" s="53" t="s">
        <v>364</v>
      </c>
      <c r="I42" s="6">
        <v>813.62748792270577</v>
      </c>
      <c r="J42" s="6">
        <v>0</v>
      </c>
      <c r="K42" s="53" t="s">
        <v>364</v>
      </c>
      <c r="L42" s="6">
        <v>990.3900000000001</v>
      </c>
      <c r="M42" s="6">
        <v>0</v>
      </c>
      <c r="N42" s="53" t="s">
        <v>364</v>
      </c>
      <c r="O42" s="6">
        <v>0</v>
      </c>
      <c r="P42" s="6">
        <v>0</v>
      </c>
      <c r="Q42" s="53" t="s">
        <v>364</v>
      </c>
      <c r="R42" s="6">
        <v>22778.97</v>
      </c>
      <c r="S42" s="6">
        <v>0</v>
      </c>
      <c r="T42" s="6" t="s">
        <v>364</v>
      </c>
      <c r="U42" s="6">
        <v>0</v>
      </c>
      <c r="V42" s="6">
        <v>0</v>
      </c>
      <c r="W42" s="6">
        <v>0</v>
      </c>
      <c r="X42" s="6">
        <v>990.3900000000001</v>
      </c>
      <c r="Y42" s="92">
        <v>0</v>
      </c>
      <c r="Z42" s="6">
        <v>0</v>
      </c>
      <c r="AA42" s="88" t="s">
        <v>364</v>
      </c>
      <c r="AB42" s="88" t="s">
        <v>364</v>
      </c>
      <c r="AC42" s="88" t="s">
        <v>364</v>
      </c>
      <c r="AD42" s="88">
        <v>-1.7708611834303042E-2</v>
      </c>
      <c r="AE42" s="88" t="s">
        <v>364</v>
      </c>
      <c r="AF42" s="88">
        <v>0.21725238478433351</v>
      </c>
    </row>
    <row r="43" spans="3:32" x14ac:dyDescent="0.25">
      <c r="C43" s="91" t="s">
        <v>44</v>
      </c>
      <c r="D43" s="6">
        <v>0</v>
      </c>
      <c r="E43" s="53" t="s">
        <v>364</v>
      </c>
      <c r="F43" s="6">
        <v>0</v>
      </c>
      <c r="G43" s="6">
        <v>0</v>
      </c>
      <c r="H43" s="53" t="s">
        <v>364</v>
      </c>
      <c r="I43" s="6">
        <v>0</v>
      </c>
      <c r="J43" s="6">
        <v>0</v>
      </c>
      <c r="K43" s="53" t="s">
        <v>364</v>
      </c>
      <c r="L43" s="6">
        <v>0</v>
      </c>
      <c r="M43" s="6">
        <v>0</v>
      </c>
      <c r="N43" s="53" t="s">
        <v>364</v>
      </c>
      <c r="O43" s="6">
        <v>0</v>
      </c>
      <c r="P43" s="6">
        <v>0</v>
      </c>
      <c r="Q43" s="53" t="s">
        <v>364</v>
      </c>
      <c r="R43" s="6">
        <v>0</v>
      </c>
      <c r="S43" s="6">
        <v>0</v>
      </c>
      <c r="T43" s="6" t="s">
        <v>364</v>
      </c>
      <c r="U43" s="6">
        <v>0</v>
      </c>
      <c r="V43" s="6">
        <v>0</v>
      </c>
      <c r="W43" s="6">
        <v>0</v>
      </c>
      <c r="X43" s="6">
        <v>0</v>
      </c>
      <c r="Y43" s="92">
        <v>0</v>
      </c>
      <c r="Z43" s="6">
        <v>0</v>
      </c>
      <c r="AA43" s="88" t="s">
        <v>364</v>
      </c>
      <c r="AB43" s="88" t="s">
        <v>364</v>
      </c>
      <c r="AC43" s="88" t="s">
        <v>364</v>
      </c>
      <c r="AD43" s="88" t="s">
        <v>364</v>
      </c>
      <c r="AE43" s="88" t="s">
        <v>364</v>
      </c>
      <c r="AF43" s="88" t="s">
        <v>364</v>
      </c>
    </row>
    <row r="44" spans="3:32" x14ac:dyDescent="0.25">
      <c r="C44" s="91" t="s">
        <v>222</v>
      </c>
      <c r="D44" s="6">
        <v>0</v>
      </c>
      <c r="E44" s="53" t="s">
        <v>364</v>
      </c>
      <c r="F44" s="6">
        <v>0</v>
      </c>
      <c r="G44" s="6">
        <v>0</v>
      </c>
      <c r="H44" s="53" t="s">
        <v>364</v>
      </c>
      <c r="I44" s="6">
        <v>0</v>
      </c>
      <c r="J44" s="6">
        <v>3</v>
      </c>
      <c r="K44" s="53">
        <v>0</v>
      </c>
      <c r="L44" s="6">
        <v>0</v>
      </c>
      <c r="M44" s="6">
        <v>0</v>
      </c>
      <c r="N44" s="53" t="s">
        <v>364</v>
      </c>
      <c r="O44" s="6">
        <v>0</v>
      </c>
      <c r="P44" s="6">
        <v>69</v>
      </c>
      <c r="Q44" s="53">
        <v>0</v>
      </c>
      <c r="R44" s="6">
        <v>0</v>
      </c>
      <c r="S44" s="6">
        <v>0</v>
      </c>
      <c r="T44" s="6" t="s">
        <v>364</v>
      </c>
      <c r="U44" s="6">
        <v>0</v>
      </c>
      <c r="V44" s="6">
        <v>3</v>
      </c>
      <c r="W44" s="6">
        <v>0</v>
      </c>
      <c r="X44" s="6">
        <v>0</v>
      </c>
      <c r="Y44" s="92">
        <v>0</v>
      </c>
      <c r="Z44" s="6">
        <v>0</v>
      </c>
      <c r="AA44" s="88" t="s">
        <v>364</v>
      </c>
      <c r="AB44" s="88" t="s">
        <v>364</v>
      </c>
      <c r="AC44" s="88" t="s">
        <v>364</v>
      </c>
      <c r="AD44" s="88" t="s">
        <v>364</v>
      </c>
      <c r="AE44" s="88" t="s">
        <v>364</v>
      </c>
      <c r="AF44" s="88" t="s">
        <v>364</v>
      </c>
    </row>
    <row r="45" spans="3:32" x14ac:dyDescent="0.25">
      <c r="C45" s="91" t="s">
        <v>223</v>
      </c>
      <c r="D45" s="6">
        <v>0</v>
      </c>
      <c r="E45" s="53" t="s">
        <v>364</v>
      </c>
      <c r="F45" s="6">
        <v>0</v>
      </c>
      <c r="G45" s="6">
        <v>0</v>
      </c>
      <c r="H45" s="53" t="s">
        <v>364</v>
      </c>
      <c r="I45" s="6">
        <v>0</v>
      </c>
      <c r="J45" s="6">
        <v>0</v>
      </c>
      <c r="K45" s="53" t="s">
        <v>364</v>
      </c>
      <c r="L45" s="6">
        <v>0</v>
      </c>
      <c r="M45" s="6">
        <v>0</v>
      </c>
      <c r="N45" s="53" t="s">
        <v>364</v>
      </c>
      <c r="O45" s="6">
        <v>0</v>
      </c>
      <c r="P45" s="6">
        <v>0</v>
      </c>
      <c r="Q45" s="53" t="s">
        <v>364</v>
      </c>
      <c r="R45" s="6">
        <v>0</v>
      </c>
      <c r="S45" s="6">
        <v>0</v>
      </c>
      <c r="T45" s="6" t="s">
        <v>364</v>
      </c>
      <c r="U45" s="6">
        <v>0</v>
      </c>
      <c r="V45" s="6">
        <v>0</v>
      </c>
      <c r="W45" s="6">
        <v>0</v>
      </c>
      <c r="X45" s="6">
        <v>0</v>
      </c>
      <c r="Y45" s="92">
        <v>0</v>
      </c>
      <c r="Z45" s="6">
        <v>0</v>
      </c>
      <c r="AA45" s="88" t="s">
        <v>364</v>
      </c>
      <c r="AB45" s="88" t="s">
        <v>364</v>
      </c>
      <c r="AC45" s="88" t="s">
        <v>364</v>
      </c>
      <c r="AD45" s="88" t="s">
        <v>364</v>
      </c>
      <c r="AE45" s="88" t="s">
        <v>364</v>
      </c>
      <c r="AF45" s="88" t="s">
        <v>364</v>
      </c>
    </row>
    <row r="46" spans="3:32" x14ac:dyDescent="0.25">
      <c r="C46" s="91" t="s">
        <v>47</v>
      </c>
      <c r="D46" s="6">
        <v>0</v>
      </c>
      <c r="E46" s="53" t="s">
        <v>364</v>
      </c>
      <c r="F46" s="6">
        <v>0</v>
      </c>
      <c r="G46" s="6">
        <v>0</v>
      </c>
      <c r="H46" s="53" t="s">
        <v>364</v>
      </c>
      <c r="I46" s="6">
        <v>0</v>
      </c>
      <c r="J46" s="6">
        <v>5</v>
      </c>
      <c r="K46" s="53">
        <v>131.6</v>
      </c>
      <c r="L46" s="6">
        <v>658</v>
      </c>
      <c r="M46" s="6">
        <v>0</v>
      </c>
      <c r="N46" s="53" t="s">
        <v>364</v>
      </c>
      <c r="O46" s="6">
        <v>0</v>
      </c>
      <c r="P46" s="6">
        <v>115</v>
      </c>
      <c r="Q46" s="53">
        <v>131.6</v>
      </c>
      <c r="R46" s="6">
        <v>15134</v>
      </c>
      <c r="S46" s="6">
        <v>0</v>
      </c>
      <c r="T46" s="6" t="s">
        <v>364</v>
      </c>
      <c r="U46" s="6">
        <v>0</v>
      </c>
      <c r="V46" s="6">
        <v>5</v>
      </c>
      <c r="W46" s="6">
        <v>0</v>
      </c>
      <c r="X46" s="6">
        <v>658</v>
      </c>
      <c r="Y46" s="92">
        <v>0</v>
      </c>
      <c r="Z46" s="6">
        <v>0</v>
      </c>
      <c r="AA46" s="88" t="s">
        <v>364</v>
      </c>
      <c r="AB46" s="88" t="s">
        <v>364</v>
      </c>
      <c r="AC46" s="88" t="s">
        <v>364</v>
      </c>
      <c r="AD46" s="88" t="s">
        <v>364</v>
      </c>
      <c r="AE46" s="88" t="s">
        <v>364</v>
      </c>
      <c r="AF46" s="88" t="s">
        <v>364</v>
      </c>
    </row>
    <row r="47" spans="3:32" ht="15" customHeight="1" x14ac:dyDescent="0.25">
      <c r="C47" s="91" t="s">
        <v>154</v>
      </c>
      <c r="D47" s="6">
        <v>0</v>
      </c>
      <c r="E47" s="53" t="s">
        <v>364</v>
      </c>
      <c r="F47" s="6">
        <v>0</v>
      </c>
      <c r="G47" s="6">
        <v>0</v>
      </c>
      <c r="H47" s="53" t="s">
        <v>364</v>
      </c>
      <c r="I47" s="6">
        <v>0</v>
      </c>
      <c r="J47" s="6">
        <v>0</v>
      </c>
      <c r="K47" s="53" t="s">
        <v>364</v>
      </c>
      <c r="L47" s="6">
        <v>0</v>
      </c>
      <c r="M47" s="6">
        <v>0</v>
      </c>
      <c r="N47" s="53" t="s">
        <v>364</v>
      </c>
      <c r="O47" s="6">
        <v>0</v>
      </c>
      <c r="P47" s="6">
        <v>0</v>
      </c>
      <c r="Q47" s="53" t="s">
        <v>364</v>
      </c>
      <c r="R47" s="6">
        <v>0</v>
      </c>
      <c r="S47" s="6">
        <v>0</v>
      </c>
      <c r="T47" s="6" t="s">
        <v>364</v>
      </c>
      <c r="U47" s="6">
        <v>0</v>
      </c>
      <c r="V47" s="6">
        <v>0</v>
      </c>
      <c r="W47" s="6">
        <v>0</v>
      </c>
      <c r="X47" s="6">
        <v>0</v>
      </c>
      <c r="Y47" s="92">
        <v>0</v>
      </c>
      <c r="Z47" s="6">
        <v>0</v>
      </c>
      <c r="AA47" s="88" t="s">
        <v>364</v>
      </c>
      <c r="AB47" s="88" t="s">
        <v>364</v>
      </c>
      <c r="AC47" s="88" t="s">
        <v>364</v>
      </c>
      <c r="AD47" s="88" t="s">
        <v>364</v>
      </c>
      <c r="AE47" s="88" t="s">
        <v>364</v>
      </c>
      <c r="AF47" s="88" t="s">
        <v>364</v>
      </c>
    </row>
    <row r="48" spans="3:32" x14ac:dyDescent="0.25">
      <c r="C48"/>
      <c r="D48"/>
      <c r="E48"/>
      <c r="F48"/>
      <c r="G48"/>
      <c r="H48"/>
      <c r="I48"/>
      <c r="J48"/>
      <c r="K48"/>
      <c r="L48"/>
      <c r="M48"/>
      <c r="N48"/>
      <c r="O48"/>
      <c r="P48"/>
      <c r="Q48"/>
      <c r="R48"/>
      <c r="S48"/>
      <c r="T48"/>
      <c r="U48"/>
      <c r="V48"/>
      <c r="W48"/>
      <c r="X48"/>
      <c r="Y48"/>
      <c r="Z48"/>
    </row>
    <row r="49" spans="1:28" x14ac:dyDescent="0.25">
      <c r="A49" s="71"/>
      <c r="B49" s="71"/>
      <c r="C49" s="72">
        <v>0.47826086956521741</v>
      </c>
      <c r="D49" s="144" t="s">
        <v>25</v>
      </c>
      <c r="E49" s="144"/>
      <c r="F49" s="144"/>
      <c r="G49" s="144" t="s">
        <v>26</v>
      </c>
      <c r="H49" s="144"/>
      <c r="I49" s="144"/>
      <c r="J49" s="144" t="s">
        <v>27</v>
      </c>
      <c r="K49" s="144"/>
      <c r="L49" s="144"/>
      <c r="M49" s="144" t="s">
        <v>28</v>
      </c>
      <c r="N49" s="144"/>
      <c r="O49" s="144"/>
      <c r="P49" s="136" t="s">
        <v>3</v>
      </c>
      <c r="Q49" s="137"/>
      <c r="R49" s="137"/>
      <c r="S49" s="137"/>
      <c r="T49" s="137"/>
      <c r="U49" s="61"/>
      <c r="V49" s="61"/>
      <c r="W49" s="61"/>
      <c r="X49" s="61"/>
      <c r="Y49" s="61"/>
      <c r="Z49" s="61"/>
    </row>
    <row r="50" spans="1:28" x14ac:dyDescent="0.25">
      <c r="A50" s="71"/>
      <c r="B50" s="71"/>
      <c r="C50" s="71"/>
      <c r="D50" s="141" t="s">
        <v>20</v>
      </c>
      <c r="E50" s="141" t="s">
        <v>5</v>
      </c>
      <c r="F50" s="141" t="s">
        <v>5</v>
      </c>
      <c r="G50" s="141" t="s">
        <v>5</v>
      </c>
      <c r="H50" s="141" t="s">
        <v>5</v>
      </c>
      <c r="I50" s="141" t="s">
        <v>5</v>
      </c>
      <c r="J50" s="141" t="s">
        <v>17</v>
      </c>
      <c r="K50" s="141" t="s">
        <v>5</v>
      </c>
      <c r="L50" s="141" t="s">
        <v>5</v>
      </c>
      <c r="M50" s="141" t="s">
        <v>17</v>
      </c>
      <c r="N50" s="141" t="s">
        <v>5</v>
      </c>
      <c r="O50" s="141" t="s">
        <v>5</v>
      </c>
      <c r="P50" s="146" t="s">
        <v>17</v>
      </c>
      <c r="Q50" s="147"/>
      <c r="R50" s="147"/>
      <c r="S50" s="147"/>
      <c r="T50" s="148"/>
      <c r="U50" s="139" t="s">
        <v>6</v>
      </c>
      <c r="V50" s="149"/>
      <c r="W50" s="139" t="s">
        <v>7</v>
      </c>
      <c r="X50" s="140"/>
      <c r="Y50" s="139" t="s">
        <v>8</v>
      </c>
      <c r="Z50" s="140"/>
    </row>
    <row r="51" spans="1:28" x14ac:dyDescent="0.25">
      <c r="A51" s="18" t="s">
        <v>4</v>
      </c>
      <c r="B51" s="19" t="s">
        <v>33</v>
      </c>
      <c r="C51" s="19" t="s">
        <v>34</v>
      </c>
      <c r="D51" s="20" t="s">
        <v>9</v>
      </c>
      <c r="E51" s="20" t="s">
        <v>10</v>
      </c>
      <c r="F51" s="20" t="s">
        <v>11</v>
      </c>
      <c r="G51" s="20" t="s">
        <v>9</v>
      </c>
      <c r="H51" s="20" t="s">
        <v>10</v>
      </c>
      <c r="I51" s="20" t="s">
        <v>11</v>
      </c>
      <c r="J51" s="20" t="s">
        <v>9</v>
      </c>
      <c r="K51" s="20" t="s">
        <v>10</v>
      </c>
      <c r="L51" s="20" t="s">
        <v>11</v>
      </c>
      <c r="M51" s="20" t="s">
        <v>9</v>
      </c>
      <c r="N51" s="20" t="s">
        <v>10</v>
      </c>
      <c r="O51" s="20" t="s">
        <v>11</v>
      </c>
      <c r="P51" s="20" t="s">
        <v>9</v>
      </c>
      <c r="Q51" s="20" t="s">
        <v>10</v>
      </c>
      <c r="R51" s="20" t="s">
        <v>11</v>
      </c>
      <c r="S51" s="20" t="s">
        <v>14</v>
      </c>
      <c r="T51" s="20" t="s">
        <v>15</v>
      </c>
      <c r="U51" s="20" t="s">
        <v>16</v>
      </c>
      <c r="V51" s="20" t="s">
        <v>11</v>
      </c>
      <c r="W51" s="20" t="s">
        <v>16</v>
      </c>
      <c r="X51" s="20" t="s">
        <v>11</v>
      </c>
      <c r="Y51" s="20" t="s">
        <v>16</v>
      </c>
      <c r="Z51" s="20" t="s">
        <v>11</v>
      </c>
      <c r="AA51" s="62"/>
    </row>
    <row r="52" spans="1:28" x14ac:dyDescent="0.25">
      <c r="A52" s="21" t="s">
        <v>208</v>
      </c>
      <c r="B52" s="21" t="s">
        <v>209</v>
      </c>
      <c r="C52" s="21" t="s">
        <v>224</v>
      </c>
      <c r="D52" s="15">
        <v>0</v>
      </c>
      <c r="E52" s="57" t="s">
        <v>364</v>
      </c>
      <c r="F52" s="15">
        <v>0</v>
      </c>
      <c r="G52" s="15">
        <v>0</v>
      </c>
      <c r="H52" s="57" t="s">
        <v>364</v>
      </c>
      <c r="I52" s="15">
        <v>0</v>
      </c>
      <c r="J52" s="15">
        <v>23</v>
      </c>
      <c r="K52" s="57">
        <v>312.74086956521739</v>
      </c>
      <c r="L52" s="15">
        <v>7193.04</v>
      </c>
      <c r="M52" s="15">
        <v>9.364782608695652</v>
      </c>
      <c r="N52" s="15">
        <v>424.21009999999995</v>
      </c>
      <c r="O52" s="15">
        <v>3972.6353669130431</v>
      </c>
      <c r="P52" s="15">
        <v>13.635217391304348</v>
      </c>
      <c r="Q52" s="15">
        <v>-111.46923043478256</v>
      </c>
      <c r="R52" s="15">
        <v>3220.4046330869569</v>
      </c>
      <c r="S52" s="15">
        <v>-2563.7922999999987</v>
      </c>
      <c r="T52" s="15">
        <v>5784.1969330869561</v>
      </c>
      <c r="U52" s="17">
        <v>2.4560100283207205</v>
      </c>
      <c r="V52" s="17">
        <v>1.8106469221687942</v>
      </c>
      <c r="W52" s="17" t="s">
        <v>364</v>
      </c>
      <c r="X52" s="17" t="s">
        <v>364</v>
      </c>
      <c r="Y52" s="17" t="s">
        <v>364</v>
      </c>
      <c r="Z52" s="17" t="s">
        <v>364</v>
      </c>
      <c r="AA52" s="86"/>
      <c r="AB52" s="86"/>
    </row>
    <row r="53" spans="1:28" x14ac:dyDescent="0.25">
      <c r="A53" s="21" t="s">
        <v>208</v>
      </c>
      <c r="B53" s="21" t="s">
        <v>210</v>
      </c>
      <c r="C53" s="21" t="s">
        <v>226</v>
      </c>
      <c r="D53" s="15">
        <v>9.8260869565217384</v>
      </c>
      <c r="E53" s="57">
        <v>225.56902654867261</v>
      </c>
      <c r="F53" s="15">
        <v>2216.4608695652178</v>
      </c>
      <c r="G53" s="15">
        <v>7.6296296296296289</v>
      </c>
      <c r="H53" s="57">
        <v>268.60970873786414</v>
      </c>
      <c r="I53" s="15">
        <v>2049.3925925925928</v>
      </c>
      <c r="J53" s="15">
        <v>4</v>
      </c>
      <c r="K53" s="57">
        <v>76.25</v>
      </c>
      <c r="L53" s="15">
        <v>305</v>
      </c>
      <c r="M53" s="15">
        <v>8.0713043478260857</v>
      </c>
      <c r="N53" s="15">
        <v>276.2754000000001</v>
      </c>
      <c r="O53" s="15">
        <v>2229.9028372173916</v>
      </c>
      <c r="P53" s="15">
        <v>-4.0713043478260857</v>
      </c>
      <c r="Q53" s="15">
        <v>-200.0254000000001</v>
      </c>
      <c r="R53" s="15">
        <v>-1924.9028372173916</v>
      </c>
      <c r="S53" s="15">
        <v>-800.10160000000042</v>
      </c>
      <c r="T53" s="15">
        <v>-1124.8012372173914</v>
      </c>
      <c r="U53" s="17">
        <v>0.49558284852402507</v>
      </c>
      <c r="V53" s="17">
        <v>0.13677725993684889</v>
      </c>
      <c r="W53" s="17">
        <v>-0.59292035398230081</v>
      </c>
      <c r="X53" s="17">
        <v>-0.86239323951618918</v>
      </c>
      <c r="Y53" s="17">
        <v>-0.47572815533980578</v>
      </c>
      <c r="Z53" s="17">
        <v>-0.85117541602209146</v>
      </c>
      <c r="AA53" s="86"/>
      <c r="AB53" s="86"/>
    </row>
    <row r="54" spans="1:28" x14ac:dyDescent="0.25">
      <c r="A54" s="21" t="s">
        <v>208</v>
      </c>
      <c r="B54" s="21" t="s">
        <v>211</v>
      </c>
      <c r="C54" s="21" t="s">
        <v>227</v>
      </c>
      <c r="D54" s="15">
        <v>3.1304347826086953</v>
      </c>
      <c r="E54" s="57">
        <v>226.30500000000001</v>
      </c>
      <c r="F54" s="15">
        <v>708.43304347826086</v>
      </c>
      <c r="G54" s="15">
        <v>0</v>
      </c>
      <c r="H54" s="57" t="s">
        <v>364</v>
      </c>
      <c r="I54" s="15">
        <v>0</v>
      </c>
      <c r="J54" s="15">
        <v>9</v>
      </c>
      <c r="K54" s="57">
        <v>365.42777777777775</v>
      </c>
      <c r="L54" s="15">
        <v>3288.85</v>
      </c>
      <c r="M54" s="15">
        <v>3.6217391304347823</v>
      </c>
      <c r="N54" s="15">
        <v>255.70170000000002</v>
      </c>
      <c r="O54" s="15">
        <v>926.08485260869566</v>
      </c>
      <c r="P54" s="15">
        <v>5.3782608695652172</v>
      </c>
      <c r="Q54" s="15">
        <v>109.72607777777773</v>
      </c>
      <c r="R54" s="15">
        <v>2362.7651473913043</v>
      </c>
      <c r="S54" s="15">
        <v>987.53469999999959</v>
      </c>
      <c r="T54" s="15">
        <v>1375.2304473913043</v>
      </c>
      <c r="U54" s="17">
        <v>2.4849939975990396</v>
      </c>
      <c r="V54" s="17">
        <v>3.5513484436502902</v>
      </c>
      <c r="W54" s="17">
        <v>1.8750000000000002</v>
      </c>
      <c r="X54" s="17">
        <v>3.6424288509361751</v>
      </c>
      <c r="Y54" s="17" t="s">
        <v>364</v>
      </c>
      <c r="Z54" s="17" t="s">
        <v>364</v>
      </c>
      <c r="AA54" s="86"/>
      <c r="AB54" s="86"/>
    </row>
    <row r="55" spans="1:28" x14ac:dyDescent="0.25">
      <c r="A55" s="21" t="s">
        <v>208</v>
      </c>
      <c r="B55" s="21" t="s">
        <v>212</v>
      </c>
      <c r="C55" s="21" t="s">
        <v>228</v>
      </c>
      <c r="D55" s="15">
        <v>4.3478260869565216E-2</v>
      </c>
      <c r="E55" s="57">
        <v>451.00000000000006</v>
      </c>
      <c r="F55" s="15">
        <v>19.608695652173914</v>
      </c>
      <c r="G55" s="15">
        <v>0</v>
      </c>
      <c r="H55" s="57" t="s">
        <v>364</v>
      </c>
      <c r="I55" s="15">
        <v>0</v>
      </c>
      <c r="J55" s="15">
        <v>0</v>
      </c>
      <c r="K55" s="57" t="s">
        <v>364</v>
      </c>
      <c r="L55" s="15">
        <v>0</v>
      </c>
      <c r="M55" s="15">
        <v>6.6251956521739128</v>
      </c>
      <c r="N55" s="15">
        <v>794.5367</v>
      </c>
      <c r="O55" s="15">
        <v>5263.9610903326084</v>
      </c>
      <c r="P55" s="15">
        <v>-6.6251956521739128</v>
      </c>
      <c r="Q55" s="15" t="s">
        <v>364</v>
      </c>
      <c r="R55" s="15">
        <v>-5263.9610903326084</v>
      </c>
      <c r="S55" s="15" t="s">
        <v>364</v>
      </c>
      <c r="T55" s="15">
        <v>-5263.9610903326084</v>
      </c>
      <c r="U55" s="17">
        <v>0</v>
      </c>
      <c r="V55" s="17">
        <v>0</v>
      </c>
      <c r="W55" s="17">
        <v>-1</v>
      </c>
      <c r="X55" s="17">
        <v>-1</v>
      </c>
      <c r="Y55" s="17" t="s">
        <v>364</v>
      </c>
      <c r="Z55" s="17" t="s">
        <v>364</v>
      </c>
      <c r="AA55" s="86"/>
      <c r="AB55" s="86"/>
    </row>
    <row r="56" spans="1:28" x14ac:dyDescent="0.25">
      <c r="A56" s="21" t="s">
        <v>207</v>
      </c>
      <c r="B56" s="21" t="s">
        <v>46</v>
      </c>
      <c r="C56" s="21" t="s">
        <v>229</v>
      </c>
      <c r="D56" s="15">
        <v>11.869565217391305</v>
      </c>
      <c r="E56" s="57">
        <v>388.63084249084187</v>
      </c>
      <c r="F56" s="15">
        <v>4612.8791304347751</v>
      </c>
      <c r="G56" s="15">
        <v>13.037037037037036</v>
      </c>
      <c r="H56" s="57">
        <v>349.53491477272632</v>
      </c>
      <c r="I56" s="15">
        <v>4556.8996296296173</v>
      </c>
      <c r="J56" s="15">
        <v>14</v>
      </c>
      <c r="K56" s="57">
        <v>364.33857142857153</v>
      </c>
      <c r="L56" s="15">
        <v>5100.7400000000016</v>
      </c>
      <c r="M56" s="15">
        <v>15.10782608695652</v>
      </c>
      <c r="N56" s="15">
        <v>410.00000000000006</v>
      </c>
      <c r="O56" s="15">
        <v>6194.2086956521734</v>
      </c>
      <c r="P56" s="15">
        <v>-1.1078260869565195</v>
      </c>
      <c r="Q56" s="15">
        <v>-45.66142857142853</v>
      </c>
      <c r="R56" s="15">
        <v>-1093.4686956521718</v>
      </c>
      <c r="S56" s="15">
        <v>-639.25999999999942</v>
      </c>
      <c r="T56" s="15">
        <v>-454.20869565217305</v>
      </c>
      <c r="U56" s="17">
        <v>0.92667203867848524</v>
      </c>
      <c r="V56" s="17">
        <v>0.82346918720712503</v>
      </c>
      <c r="W56" s="17">
        <v>0.17948717948717946</v>
      </c>
      <c r="X56" s="17">
        <v>0.10576060108456482</v>
      </c>
      <c r="Y56" s="17">
        <v>7.3863636363636423E-2</v>
      </c>
      <c r="Z56" s="17">
        <v>0.11934438205183541</v>
      </c>
      <c r="AA56" s="86"/>
      <c r="AB56" s="86"/>
    </row>
    <row r="57" spans="1:28" x14ac:dyDescent="0.25">
      <c r="A57" s="21" t="s">
        <v>207</v>
      </c>
      <c r="B57" s="21" t="s">
        <v>42</v>
      </c>
      <c r="C57" s="21" t="s">
        <v>230</v>
      </c>
      <c r="D57" s="15">
        <v>12.608695652173912</v>
      </c>
      <c r="E57" s="57">
        <v>450.36948275862125</v>
      </c>
      <c r="F57" s="15">
        <v>5678.5717391304415</v>
      </c>
      <c r="G57" s="15">
        <v>15.481481481481481</v>
      </c>
      <c r="H57" s="57">
        <v>393.73858851674669</v>
      </c>
      <c r="I57" s="15">
        <v>6095.6566666666704</v>
      </c>
      <c r="J57" s="15">
        <v>15</v>
      </c>
      <c r="K57" s="57">
        <v>337.54400000000004</v>
      </c>
      <c r="L57" s="15">
        <v>5063.1600000000008</v>
      </c>
      <c r="M57" s="15">
        <v>13.969565217391304</v>
      </c>
      <c r="N57" s="15">
        <v>489.85</v>
      </c>
      <c r="O57" s="15">
        <v>6842.9915217391308</v>
      </c>
      <c r="P57" s="15">
        <v>1.0304347826086957</v>
      </c>
      <c r="Q57" s="15">
        <v>-152.30599999999998</v>
      </c>
      <c r="R57" s="15">
        <v>-1779.83152173913</v>
      </c>
      <c r="S57" s="15">
        <v>-2284.5899999999997</v>
      </c>
      <c r="T57" s="15">
        <v>504.75847826086959</v>
      </c>
      <c r="U57" s="17">
        <v>1.0737628384687208</v>
      </c>
      <c r="V57" s="17">
        <v>0.73990446779235675</v>
      </c>
      <c r="W57" s="17">
        <v>0.18965517241379318</v>
      </c>
      <c r="X57" s="17">
        <v>-0.10837438838532286</v>
      </c>
      <c r="Y57" s="17">
        <v>-3.110047846889949E-2</v>
      </c>
      <c r="Z57" s="17">
        <v>-0.16938235257125742</v>
      </c>
      <c r="AA57" s="86"/>
      <c r="AB57" s="86"/>
    </row>
    <row r="58" spans="1:28" x14ac:dyDescent="0.25">
      <c r="A58" s="21" t="s">
        <v>208</v>
      </c>
      <c r="B58" s="21" t="s">
        <v>48</v>
      </c>
      <c r="C58" s="21" t="s">
        <v>236</v>
      </c>
      <c r="D58" s="15">
        <v>6.0434782608695654</v>
      </c>
      <c r="E58" s="57">
        <v>443.41928057553957</v>
      </c>
      <c r="F58" s="15">
        <v>2679.7947826086956</v>
      </c>
      <c r="G58" s="15">
        <v>7.7037037037037033</v>
      </c>
      <c r="H58" s="57">
        <v>439.10701923076903</v>
      </c>
      <c r="I58" s="15">
        <v>3382.7503703703687</v>
      </c>
      <c r="J58" s="15">
        <v>3</v>
      </c>
      <c r="K58" s="57">
        <v>288.5</v>
      </c>
      <c r="L58" s="15">
        <v>865.5</v>
      </c>
      <c r="M58" s="15">
        <v>10.043478260869565</v>
      </c>
      <c r="N58" s="15">
        <v>514.34249999999986</v>
      </c>
      <c r="O58" s="15">
        <v>5165.787717391303</v>
      </c>
      <c r="P58" s="15">
        <v>-7.0434782608695645</v>
      </c>
      <c r="Q58" s="15">
        <v>-225.84249999999986</v>
      </c>
      <c r="R58" s="15">
        <v>-4300.287717391303</v>
      </c>
      <c r="S58" s="15">
        <v>-677.52749999999958</v>
      </c>
      <c r="T58" s="15">
        <v>-3622.7602173913028</v>
      </c>
      <c r="U58" s="17">
        <v>0.29870129870129875</v>
      </c>
      <c r="V58" s="17">
        <v>0.16754463159339292</v>
      </c>
      <c r="W58" s="17">
        <v>-0.50359712230215825</v>
      </c>
      <c r="X58" s="17">
        <v>-0.67702750762225794</v>
      </c>
      <c r="Y58" s="17">
        <v>-0.61057692307692302</v>
      </c>
      <c r="Z58" s="17">
        <v>-0.74414310686920759</v>
      </c>
      <c r="AA58" s="86"/>
      <c r="AB58" s="86"/>
    </row>
    <row r="59" spans="1:28" x14ac:dyDescent="0.25">
      <c r="A59" s="21" t="s">
        <v>207</v>
      </c>
      <c r="B59" s="21" t="s">
        <v>147</v>
      </c>
      <c r="C59" s="21" t="s">
        <v>237</v>
      </c>
      <c r="D59" s="15">
        <v>5.6086956521739131</v>
      </c>
      <c r="E59" s="57">
        <v>645.73527131782953</v>
      </c>
      <c r="F59" s="15">
        <v>3621.7326086956523</v>
      </c>
      <c r="G59" s="15">
        <v>7.1851851851851851</v>
      </c>
      <c r="H59" s="57">
        <v>808.05680412371066</v>
      </c>
      <c r="I59" s="15">
        <v>5806.037777777773</v>
      </c>
      <c r="J59" s="15">
        <v>7</v>
      </c>
      <c r="K59" s="57">
        <v>1167.3657142857144</v>
      </c>
      <c r="L59" s="15">
        <v>8171.56</v>
      </c>
      <c r="M59" s="15">
        <v>8.33</v>
      </c>
      <c r="N59" s="15">
        <v>973.82179999999994</v>
      </c>
      <c r="O59" s="15">
        <v>8111.9355939999996</v>
      </c>
      <c r="P59" s="15">
        <v>-1.33</v>
      </c>
      <c r="Q59" s="15">
        <v>193.54391428571444</v>
      </c>
      <c r="R59" s="15">
        <v>59.624406000000818</v>
      </c>
      <c r="S59" s="15">
        <v>1354.8074000000011</v>
      </c>
      <c r="T59" s="15">
        <v>-1295.182994</v>
      </c>
      <c r="U59" s="17">
        <v>0.84033613445378152</v>
      </c>
      <c r="V59" s="17">
        <v>1.007350207026311</v>
      </c>
      <c r="W59" s="17">
        <v>0.24806201550387597</v>
      </c>
      <c r="X59" s="17">
        <v>1.2562571241124685</v>
      </c>
      <c r="Y59" s="17">
        <v>-2.5773195876288651E-2</v>
      </c>
      <c r="Z59" s="17">
        <v>0.40742453162742204</v>
      </c>
      <c r="AA59" s="86"/>
      <c r="AB59" s="86"/>
    </row>
    <row r="60" spans="1:28" x14ac:dyDescent="0.25">
      <c r="A60" s="21" t="s">
        <v>207</v>
      </c>
      <c r="B60" s="21" t="s">
        <v>210</v>
      </c>
      <c r="C60" s="21" t="s">
        <v>242</v>
      </c>
      <c r="D60" s="15">
        <v>0</v>
      </c>
      <c r="E60" s="57" t="s">
        <v>364</v>
      </c>
      <c r="F60" s="15">
        <v>0</v>
      </c>
      <c r="G60" s="15">
        <v>0</v>
      </c>
      <c r="H60" s="57" t="s">
        <v>364</v>
      </c>
      <c r="I60" s="15">
        <v>0</v>
      </c>
      <c r="J60" s="15">
        <v>6</v>
      </c>
      <c r="K60" s="57">
        <v>227.04666666666665</v>
      </c>
      <c r="L60" s="15">
        <v>1362.28</v>
      </c>
      <c r="M60" s="15">
        <v>6.3639130434782611</v>
      </c>
      <c r="N60" s="15">
        <v>166.54900000000001</v>
      </c>
      <c r="O60" s="15">
        <v>1059.9033534782609</v>
      </c>
      <c r="P60" s="15">
        <v>-0.36391304347826114</v>
      </c>
      <c r="Q60" s="15">
        <v>60.497666666666646</v>
      </c>
      <c r="R60" s="15">
        <v>302.37664652173908</v>
      </c>
      <c r="S60" s="15">
        <v>362.98599999999988</v>
      </c>
      <c r="T60" s="15">
        <v>-60.609353478260921</v>
      </c>
      <c r="U60" s="17">
        <v>0.94281615085058412</v>
      </c>
      <c r="V60" s="17">
        <v>1.2852869986017466</v>
      </c>
      <c r="W60" s="17" t="s">
        <v>364</v>
      </c>
      <c r="X60" s="17" t="s">
        <v>364</v>
      </c>
      <c r="Y60" s="17" t="s">
        <v>364</v>
      </c>
      <c r="Z60" s="17" t="s">
        <v>364</v>
      </c>
      <c r="AA60" s="86"/>
      <c r="AB60" s="86"/>
    </row>
    <row r="61" spans="1:28" x14ac:dyDescent="0.25">
      <c r="A61" s="21" t="s">
        <v>207</v>
      </c>
      <c r="B61" s="21" t="s">
        <v>39</v>
      </c>
      <c r="C61" s="21" t="s">
        <v>244</v>
      </c>
      <c r="D61" s="15">
        <v>26.652173913043477</v>
      </c>
      <c r="E61" s="57">
        <v>489.34342577487672</v>
      </c>
      <c r="F61" s="15">
        <v>13042.066086956496</v>
      </c>
      <c r="G61" s="15">
        <v>26.851851851851851</v>
      </c>
      <c r="H61" s="57">
        <v>464.81182068965484</v>
      </c>
      <c r="I61" s="15">
        <v>12481.058148148139</v>
      </c>
      <c r="J61" s="15">
        <v>31</v>
      </c>
      <c r="K61" s="57">
        <v>380.68967741935478</v>
      </c>
      <c r="L61" s="15">
        <v>11801.379999999997</v>
      </c>
      <c r="M61" s="15">
        <v>17.391304347826086</v>
      </c>
      <c r="N61" s="15">
        <v>510</v>
      </c>
      <c r="O61" s="15">
        <v>8869.565217391304</v>
      </c>
      <c r="P61" s="15">
        <v>13.608695652173914</v>
      </c>
      <c r="Q61" s="15">
        <v>-129.31032258064522</v>
      </c>
      <c r="R61" s="15">
        <v>2931.8147826086933</v>
      </c>
      <c r="S61" s="15">
        <v>-4008.6200000000017</v>
      </c>
      <c r="T61" s="15">
        <v>6940.434782608696</v>
      </c>
      <c r="U61" s="17">
        <v>1.7825000000000002</v>
      </c>
      <c r="V61" s="17">
        <v>1.330547745098039</v>
      </c>
      <c r="W61" s="17">
        <v>0.16313213703099516</v>
      </c>
      <c r="X61" s="17">
        <v>-9.5129566027680371E-2</v>
      </c>
      <c r="Y61" s="17">
        <v>0.15448275862068969</v>
      </c>
      <c r="Z61" s="17">
        <v>-5.4456772821700826E-2</v>
      </c>
      <c r="AA61" s="86"/>
      <c r="AB61" s="86"/>
    </row>
    <row r="62" spans="1:28" x14ac:dyDescent="0.25">
      <c r="A62" s="21" t="s">
        <v>207</v>
      </c>
      <c r="B62" s="21" t="s">
        <v>214</v>
      </c>
      <c r="C62" s="21" t="s">
        <v>245</v>
      </c>
      <c r="D62" s="15">
        <v>2</v>
      </c>
      <c r="E62" s="57">
        <v>369.45217391304351</v>
      </c>
      <c r="F62" s="15">
        <v>738.90434782608702</v>
      </c>
      <c r="G62" s="15">
        <v>2.7777777777777777</v>
      </c>
      <c r="H62" s="57">
        <v>357.13933333333335</v>
      </c>
      <c r="I62" s="15">
        <v>992.05370370370372</v>
      </c>
      <c r="J62" s="15">
        <v>0</v>
      </c>
      <c r="K62" s="57" t="s">
        <v>364</v>
      </c>
      <c r="L62" s="15">
        <v>0</v>
      </c>
      <c r="M62" s="15">
        <v>4.0356521739130429</v>
      </c>
      <c r="N62" s="15">
        <v>452.62139999999994</v>
      </c>
      <c r="O62" s="15">
        <v>1826.6225368695648</v>
      </c>
      <c r="P62" s="15">
        <v>-4.0356521739130429</v>
      </c>
      <c r="Q62" s="15" t="s">
        <v>364</v>
      </c>
      <c r="R62" s="15">
        <v>-1826.6225368695648</v>
      </c>
      <c r="S62" s="15" t="s">
        <v>364</v>
      </c>
      <c r="T62" s="15">
        <v>-1826.6225368695648</v>
      </c>
      <c r="U62" s="17">
        <v>0</v>
      </c>
      <c r="V62" s="17">
        <v>0</v>
      </c>
      <c r="W62" s="17">
        <v>-1</v>
      </c>
      <c r="X62" s="17">
        <v>-1</v>
      </c>
      <c r="Y62" s="17">
        <v>-1</v>
      </c>
      <c r="Z62" s="17">
        <v>-1</v>
      </c>
      <c r="AA62" s="86"/>
      <c r="AB62" s="86"/>
    </row>
    <row r="63" spans="1:28" x14ac:dyDescent="0.25">
      <c r="A63" s="21" t="s">
        <v>208</v>
      </c>
      <c r="B63" s="21" t="s">
        <v>215</v>
      </c>
      <c r="C63" s="21" t="s">
        <v>246</v>
      </c>
      <c r="D63" s="15">
        <v>0</v>
      </c>
      <c r="E63" s="57" t="s">
        <v>364</v>
      </c>
      <c r="F63" s="15">
        <v>0</v>
      </c>
      <c r="G63" s="15">
        <v>0</v>
      </c>
      <c r="H63" s="57" t="s">
        <v>364</v>
      </c>
      <c r="I63" s="15">
        <v>0</v>
      </c>
      <c r="J63" s="15">
        <v>2</v>
      </c>
      <c r="K63" s="57">
        <v>22600</v>
      </c>
      <c r="L63" s="15">
        <v>45200</v>
      </c>
      <c r="M63" s="15">
        <v>2.7938011192423593</v>
      </c>
      <c r="N63" s="15">
        <v>1212</v>
      </c>
      <c r="O63" s="15">
        <v>3386.0869565217395</v>
      </c>
      <c r="P63" s="15">
        <v>-0.7938011192423593</v>
      </c>
      <c r="Q63" s="15">
        <v>21388</v>
      </c>
      <c r="R63" s="15">
        <v>41813.913043478264</v>
      </c>
      <c r="S63" s="15">
        <v>42776</v>
      </c>
      <c r="T63" s="15">
        <v>-962.08695652173947</v>
      </c>
      <c r="U63" s="17">
        <v>0.71587057010785815</v>
      </c>
      <c r="V63" s="17">
        <v>13.348741653826398</v>
      </c>
      <c r="W63" s="17" t="s">
        <v>364</v>
      </c>
      <c r="X63" s="17" t="s">
        <v>364</v>
      </c>
      <c r="Y63" s="17" t="s">
        <v>364</v>
      </c>
      <c r="Z63" s="17" t="s">
        <v>364</v>
      </c>
      <c r="AA63" s="86"/>
      <c r="AB63" s="86"/>
    </row>
    <row r="64" spans="1:28" x14ac:dyDescent="0.25">
      <c r="A64" s="21" t="s">
        <v>208</v>
      </c>
      <c r="B64" s="21" t="s">
        <v>216</v>
      </c>
      <c r="C64" s="21" t="s">
        <v>248</v>
      </c>
      <c r="D64" s="15">
        <v>1.9130434782608696</v>
      </c>
      <c r="E64" s="57">
        <v>359.98863636363637</v>
      </c>
      <c r="F64" s="15">
        <v>688.67391304347825</v>
      </c>
      <c r="G64" s="15">
        <v>7</v>
      </c>
      <c r="H64" s="57">
        <v>686.37227513227504</v>
      </c>
      <c r="I64" s="15">
        <v>4804.6059259259255</v>
      </c>
      <c r="J64" s="15">
        <v>7</v>
      </c>
      <c r="K64" s="57">
        <v>629.14285714285711</v>
      </c>
      <c r="L64" s="15">
        <v>4404</v>
      </c>
      <c r="M64" s="15">
        <v>5.2773913043478258</v>
      </c>
      <c r="N64" s="15">
        <v>773.96299999999997</v>
      </c>
      <c r="O64" s="15">
        <v>4084.505606086956</v>
      </c>
      <c r="P64" s="15">
        <v>1.7226086956521742</v>
      </c>
      <c r="Q64" s="15">
        <v>-144.82014285714286</v>
      </c>
      <c r="R64" s="15">
        <v>319.49439391304395</v>
      </c>
      <c r="S64" s="15">
        <v>-1013.741</v>
      </c>
      <c r="T64" s="15">
        <v>1333.2353939130437</v>
      </c>
      <c r="U64" s="17">
        <v>1.3264129181084199</v>
      </c>
      <c r="V64" s="17">
        <v>1.0782210687719258</v>
      </c>
      <c r="W64" s="17">
        <v>2.6590909090909092</v>
      </c>
      <c r="X64" s="17">
        <v>5.3948988288771744</v>
      </c>
      <c r="Y64" s="17">
        <v>0</v>
      </c>
      <c r="Z64" s="17">
        <v>-8.3379559552269042E-2</v>
      </c>
      <c r="AA64" s="86"/>
      <c r="AB64" s="86"/>
    </row>
    <row r="65" spans="1:28" x14ac:dyDescent="0.25">
      <c r="A65" s="21" t="s">
        <v>208</v>
      </c>
      <c r="B65" s="21" t="s">
        <v>42</v>
      </c>
      <c r="C65" s="21" t="s">
        <v>249</v>
      </c>
      <c r="D65" s="15">
        <v>11.043478260869565</v>
      </c>
      <c r="E65" s="57">
        <v>374.09960629921272</v>
      </c>
      <c r="F65" s="15">
        <v>4131.3608695652183</v>
      </c>
      <c r="G65" s="15">
        <v>12.62962962962963</v>
      </c>
      <c r="H65" s="57">
        <v>358.11906158357772</v>
      </c>
      <c r="I65" s="15">
        <v>4522.9111111111115</v>
      </c>
      <c r="J65" s="15">
        <v>12</v>
      </c>
      <c r="K65" s="57">
        <v>257.86666666666662</v>
      </c>
      <c r="L65" s="15">
        <v>3094.3999999999996</v>
      </c>
      <c r="M65" s="15">
        <v>16.453043478260867</v>
      </c>
      <c r="N65" s="15">
        <v>385.02210000000002</v>
      </c>
      <c r="O65" s="15">
        <v>6334.7853513913033</v>
      </c>
      <c r="P65" s="15">
        <v>-4.4530434782608666</v>
      </c>
      <c r="Q65" s="15">
        <v>-127.15543333333341</v>
      </c>
      <c r="R65" s="15">
        <v>-3240.3853513913036</v>
      </c>
      <c r="S65" s="15">
        <v>-1525.8652000000009</v>
      </c>
      <c r="T65" s="15">
        <v>-1714.5201513913032</v>
      </c>
      <c r="U65" s="17">
        <v>0.72934834311082941</v>
      </c>
      <c r="V65" s="17">
        <v>0.48847748240125916</v>
      </c>
      <c r="W65" s="17">
        <v>8.6614173228346525E-2</v>
      </c>
      <c r="X65" s="17">
        <v>-0.2509974079495863</v>
      </c>
      <c r="Y65" s="17">
        <v>-4.9853372434017607E-2</v>
      </c>
      <c r="Z65" s="17">
        <v>-0.31583886484122825</v>
      </c>
      <c r="AA65" s="86"/>
      <c r="AB65" s="86"/>
    </row>
    <row r="66" spans="1:28" x14ac:dyDescent="0.25">
      <c r="A66" s="21" t="s">
        <v>208</v>
      </c>
      <c r="B66" s="21" t="s">
        <v>50</v>
      </c>
      <c r="C66" s="21" t="s">
        <v>251</v>
      </c>
      <c r="D66" s="15">
        <v>8.8260869565217384</v>
      </c>
      <c r="E66" s="57">
        <v>266.56167487684729</v>
      </c>
      <c r="F66" s="15">
        <v>2352.6965217391303</v>
      </c>
      <c r="G66" s="15">
        <v>6.4444444444444438</v>
      </c>
      <c r="H66" s="57">
        <v>296.23563218390802</v>
      </c>
      <c r="I66" s="15">
        <v>1909.0740740740739</v>
      </c>
      <c r="J66" s="15">
        <v>27</v>
      </c>
      <c r="K66" s="57">
        <v>343.4</v>
      </c>
      <c r="L66" s="15">
        <v>9271.7999999999993</v>
      </c>
      <c r="M66" s="15">
        <v>13.607391304347825</v>
      </c>
      <c r="N66" s="15">
        <v>304.68670000000003</v>
      </c>
      <c r="O66" s="15">
        <v>4145.9911521304348</v>
      </c>
      <c r="P66" s="15">
        <v>13.392608695652175</v>
      </c>
      <c r="Q66" s="15">
        <v>38.713299999999947</v>
      </c>
      <c r="R66" s="15">
        <v>5125.8088478695645</v>
      </c>
      <c r="S66" s="15">
        <v>1045.2590999999986</v>
      </c>
      <c r="T66" s="15">
        <v>4080.5497478695661</v>
      </c>
      <c r="U66" s="17">
        <v>1.9842157395277504</v>
      </c>
      <c r="V66" s="17">
        <v>2.236328940363427</v>
      </c>
      <c r="W66" s="17">
        <v>2.0591133004926112</v>
      </c>
      <c r="X66" s="17">
        <v>2.9409247705038548</v>
      </c>
      <c r="Y66" s="17">
        <v>3.1896551724137936</v>
      </c>
      <c r="Z66" s="17">
        <v>3.8566999708992142</v>
      </c>
      <c r="AA66" s="86"/>
      <c r="AB66" s="86"/>
    </row>
    <row r="67" spans="1:28" x14ac:dyDescent="0.25">
      <c r="A67" s="21" t="s">
        <v>207</v>
      </c>
      <c r="B67" s="21" t="s">
        <v>48</v>
      </c>
      <c r="C67" s="21" t="s">
        <v>252</v>
      </c>
      <c r="D67" s="15">
        <v>0.52173913043478259</v>
      </c>
      <c r="E67" s="57">
        <v>328.43833333333339</v>
      </c>
      <c r="F67" s="15">
        <v>171.35913043478263</v>
      </c>
      <c r="G67" s="15">
        <v>0</v>
      </c>
      <c r="H67" s="57" t="s">
        <v>364</v>
      </c>
      <c r="I67" s="15">
        <v>0</v>
      </c>
      <c r="J67" s="15">
        <v>3</v>
      </c>
      <c r="K67" s="57">
        <v>247.06333333333336</v>
      </c>
      <c r="L67" s="15">
        <v>741.19</v>
      </c>
      <c r="M67" s="15">
        <v>9.7391304347826093</v>
      </c>
      <c r="N67" s="15">
        <v>404.61609999999996</v>
      </c>
      <c r="O67" s="15">
        <v>3940.6089739130434</v>
      </c>
      <c r="P67" s="15">
        <v>-6.7391304347826093</v>
      </c>
      <c r="Q67" s="15">
        <v>-157.5527666666666</v>
      </c>
      <c r="R67" s="15">
        <v>-3199.4189739130434</v>
      </c>
      <c r="S67" s="15">
        <v>-472.65829999999983</v>
      </c>
      <c r="T67" s="15">
        <v>-2726.7606739130433</v>
      </c>
      <c r="U67" s="17">
        <v>0.30803571428571425</v>
      </c>
      <c r="V67" s="17">
        <v>0.18809021775738252</v>
      </c>
      <c r="W67" s="17">
        <v>4.75</v>
      </c>
      <c r="X67" s="17">
        <v>3.32536041773443</v>
      </c>
      <c r="Y67" s="17" t="s">
        <v>364</v>
      </c>
      <c r="Z67" s="17" t="s">
        <v>364</v>
      </c>
      <c r="AA67" s="86"/>
      <c r="AB67" s="86"/>
    </row>
    <row r="68" spans="1:28" x14ac:dyDescent="0.25">
      <c r="A68" s="21" t="s">
        <v>208</v>
      </c>
      <c r="B68" s="21" t="s">
        <v>147</v>
      </c>
      <c r="C68" s="21" t="s">
        <v>254</v>
      </c>
      <c r="D68" s="15">
        <v>6.5652173913043477</v>
      </c>
      <c r="E68" s="57">
        <v>712.57503311258279</v>
      </c>
      <c r="F68" s="15">
        <v>4678.21</v>
      </c>
      <c r="G68" s="15">
        <v>6.481481481481481</v>
      </c>
      <c r="H68" s="57">
        <v>567.57908571428572</v>
      </c>
      <c r="I68" s="15">
        <v>3678.7533333333331</v>
      </c>
      <c r="J68" s="15">
        <v>8</v>
      </c>
      <c r="K68" s="57">
        <v>1722</v>
      </c>
      <c r="L68" s="15">
        <v>13776</v>
      </c>
      <c r="M68" s="15">
        <v>10.347826086956522</v>
      </c>
      <c r="N68" s="15">
        <v>802.99999999999989</v>
      </c>
      <c r="O68" s="15">
        <v>8309.3043478260861</v>
      </c>
      <c r="P68" s="15">
        <v>-2.3478260869565215</v>
      </c>
      <c r="Q68" s="15">
        <v>919.00000000000011</v>
      </c>
      <c r="R68" s="15">
        <v>5466.6956521739139</v>
      </c>
      <c r="S68" s="15">
        <v>7352.0000000000009</v>
      </c>
      <c r="T68" s="15">
        <v>-1885.3043478260865</v>
      </c>
      <c r="U68" s="17">
        <v>0.77310924369747902</v>
      </c>
      <c r="V68" s="17">
        <v>1.6579005201084172</v>
      </c>
      <c r="W68" s="17">
        <v>0.21854304635761593</v>
      </c>
      <c r="X68" s="17">
        <v>1.944716034551677</v>
      </c>
      <c r="Y68" s="17">
        <v>0.23428571428571437</v>
      </c>
      <c r="Z68" s="17">
        <v>2.7447468617085859</v>
      </c>
      <c r="AA68" s="86"/>
      <c r="AB68" s="86"/>
    </row>
    <row r="69" spans="1:28" x14ac:dyDescent="0.25">
      <c r="A69" s="21" t="s">
        <v>207</v>
      </c>
      <c r="B69" s="21" t="s">
        <v>217</v>
      </c>
      <c r="C69" s="21" t="s">
        <v>255</v>
      </c>
      <c r="D69" s="15">
        <v>3.6956521739130435</v>
      </c>
      <c r="E69" s="57">
        <v>525.56870588235267</v>
      </c>
      <c r="F69" s="15">
        <v>1942.3191304347815</v>
      </c>
      <c r="G69" s="15">
        <v>4.8888888888888884</v>
      </c>
      <c r="H69" s="57">
        <v>466.51992424242417</v>
      </c>
      <c r="I69" s="15">
        <v>2280.7640740740735</v>
      </c>
      <c r="J69" s="15">
        <v>2</v>
      </c>
      <c r="K69" s="57">
        <v>319.53999999999996</v>
      </c>
      <c r="L69" s="15">
        <v>639.07999999999993</v>
      </c>
      <c r="M69" s="15">
        <v>4.6073695652173914</v>
      </c>
      <c r="N69" s="15">
        <v>678.9321000000001</v>
      </c>
      <c r="O69" s="15">
        <v>3128.0910943891308</v>
      </c>
      <c r="P69" s="15">
        <v>-2.6073695652173914</v>
      </c>
      <c r="Q69" s="15">
        <v>-359.39210000000014</v>
      </c>
      <c r="R69" s="15">
        <v>-2489.0110943891309</v>
      </c>
      <c r="S69" s="15">
        <v>-718.78420000000028</v>
      </c>
      <c r="T69" s="15">
        <v>-1770.2268943891308</v>
      </c>
      <c r="U69" s="17">
        <v>0.43408716659038687</v>
      </c>
      <c r="V69" s="17">
        <v>0.20430351313819481</v>
      </c>
      <c r="W69" s="17">
        <v>-0.45882352941176469</v>
      </c>
      <c r="X69" s="17">
        <v>-0.67097065050430515</v>
      </c>
      <c r="Y69" s="17">
        <v>-0.59090909090909083</v>
      </c>
      <c r="Z69" s="17">
        <v>-0.71979565652381272</v>
      </c>
      <c r="AA69" s="86"/>
      <c r="AB69" s="86"/>
    </row>
    <row r="70" spans="1:28" x14ac:dyDescent="0.25">
      <c r="A70" s="21" t="s">
        <v>207</v>
      </c>
      <c r="B70" s="21" t="s">
        <v>209</v>
      </c>
      <c r="C70" s="21" t="s">
        <v>256</v>
      </c>
      <c r="D70" s="15">
        <v>5.6521739130434785</v>
      </c>
      <c r="E70" s="57">
        <v>404.24561538461541</v>
      </c>
      <c r="F70" s="15">
        <v>2284.8665217391308</v>
      </c>
      <c r="G70" s="15">
        <v>1.4814814814814814</v>
      </c>
      <c r="H70" s="57">
        <v>392.41850000000011</v>
      </c>
      <c r="I70" s="15">
        <v>581.36074074074088</v>
      </c>
      <c r="J70" s="15">
        <v>9</v>
      </c>
      <c r="K70" s="57">
        <v>382.84666666666664</v>
      </c>
      <c r="L70" s="15">
        <v>3445.62</v>
      </c>
      <c r="M70" s="15">
        <v>8.1230434782608683</v>
      </c>
      <c r="N70" s="15">
        <v>382.08300000000008</v>
      </c>
      <c r="O70" s="15">
        <v>3103.6768213043479</v>
      </c>
      <c r="P70" s="15">
        <v>0.87695652173913174</v>
      </c>
      <c r="Q70" s="15">
        <v>0.76366666666655192</v>
      </c>
      <c r="R70" s="15">
        <v>341.94317869565202</v>
      </c>
      <c r="S70" s="15">
        <v>6.8729999999989673</v>
      </c>
      <c r="T70" s="15">
        <v>335.07017869565277</v>
      </c>
      <c r="U70" s="17">
        <v>1.107959107209763</v>
      </c>
      <c r="V70" s="17">
        <v>1.110173577464147</v>
      </c>
      <c r="W70" s="17">
        <v>0.5923076923076922</v>
      </c>
      <c r="X70" s="17">
        <v>0.50801806898433577</v>
      </c>
      <c r="Y70" s="17">
        <v>5.0750000000000011</v>
      </c>
      <c r="Z70" s="17">
        <v>4.9268191994006383</v>
      </c>
      <c r="AA70" s="86"/>
      <c r="AB70" s="86"/>
    </row>
    <row r="71" spans="1:28" x14ac:dyDescent="0.25">
      <c r="A71" s="21" t="s">
        <v>208</v>
      </c>
      <c r="B71" s="21" t="s">
        <v>40</v>
      </c>
      <c r="C71" s="21" t="s">
        <v>257</v>
      </c>
      <c r="D71" s="15">
        <v>10.17391304347826</v>
      </c>
      <c r="E71" s="57">
        <v>200.2718803418804</v>
      </c>
      <c r="F71" s="15">
        <v>2037.5486956521743</v>
      </c>
      <c r="G71" s="15">
        <v>9.5185185185185173</v>
      </c>
      <c r="H71" s="57">
        <v>179.76708171206221</v>
      </c>
      <c r="I71" s="15">
        <v>1711.1162962962956</v>
      </c>
      <c r="J71" s="15">
        <v>18</v>
      </c>
      <c r="K71" s="57">
        <v>178.94444444444446</v>
      </c>
      <c r="L71" s="15">
        <v>3221</v>
      </c>
      <c r="M71" s="15">
        <v>14.590434782608694</v>
      </c>
      <c r="N71" s="15">
        <v>203.77760000000001</v>
      </c>
      <c r="O71" s="15">
        <v>2973.2037829565215</v>
      </c>
      <c r="P71" s="15">
        <v>3.4095652173913056</v>
      </c>
      <c r="Q71" s="15">
        <v>-24.83315555555555</v>
      </c>
      <c r="R71" s="15">
        <v>247.79621704347846</v>
      </c>
      <c r="S71" s="15">
        <v>-446.99679999999989</v>
      </c>
      <c r="T71" s="15">
        <v>694.79301704347859</v>
      </c>
      <c r="U71" s="17">
        <v>1.233684963347041</v>
      </c>
      <c r="V71" s="17">
        <v>1.0833431662047304</v>
      </c>
      <c r="W71" s="17">
        <v>0.76923076923076938</v>
      </c>
      <c r="X71" s="17">
        <v>0.58082111454471474</v>
      </c>
      <c r="Y71" s="17">
        <v>0.89105058365758782</v>
      </c>
      <c r="Z71" s="17">
        <v>0.88239689316958858</v>
      </c>
      <c r="AA71" s="86"/>
      <c r="AB71" s="86"/>
    </row>
    <row r="72" spans="1:28" x14ac:dyDescent="0.25">
      <c r="A72" s="21" t="s">
        <v>208</v>
      </c>
      <c r="B72" s="21" t="s">
        <v>52</v>
      </c>
      <c r="C72" s="21" t="s">
        <v>258</v>
      </c>
      <c r="D72" s="15">
        <v>8.3478260869565215</v>
      </c>
      <c r="E72" s="57">
        <v>498.35026041666669</v>
      </c>
      <c r="F72" s="15">
        <v>4160.141304347826</v>
      </c>
      <c r="G72" s="15">
        <v>10.703703703703702</v>
      </c>
      <c r="H72" s="57">
        <v>520.90435986159184</v>
      </c>
      <c r="I72" s="15">
        <v>5575.6059259259264</v>
      </c>
      <c r="J72" s="15">
        <v>10</v>
      </c>
      <c r="K72" s="57">
        <v>601.4</v>
      </c>
      <c r="L72" s="15">
        <v>6014</v>
      </c>
      <c r="M72" s="15">
        <v>15.263043478260869</v>
      </c>
      <c r="N72" s="15">
        <v>541.84199999999998</v>
      </c>
      <c r="O72" s="15">
        <v>8270.1580043478261</v>
      </c>
      <c r="P72" s="15">
        <v>-5.2630434782608688</v>
      </c>
      <c r="Q72" s="15">
        <v>59.557999999999993</v>
      </c>
      <c r="R72" s="15">
        <v>-2256.1580043478261</v>
      </c>
      <c r="S72" s="15">
        <v>595.57999999999993</v>
      </c>
      <c r="T72" s="15">
        <v>-2851.7380043478256</v>
      </c>
      <c r="U72" s="17">
        <v>0.65517732516735516</v>
      </c>
      <c r="V72" s="17">
        <v>0.72719287791578968</v>
      </c>
      <c r="W72" s="17">
        <v>0.19791666666666671</v>
      </c>
      <c r="X72" s="17">
        <v>0.44562397284791228</v>
      </c>
      <c r="Y72" s="17">
        <v>-6.5743944636678084E-2</v>
      </c>
      <c r="Z72" s="17">
        <v>7.8627162661477124E-2</v>
      </c>
      <c r="AA72" s="86"/>
      <c r="AB72" s="86"/>
    </row>
    <row r="73" spans="1:28" x14ac:dyDescent="0.25">
      <c r="A73" s="21" t="s">
        <v>208</v>
      </c>
      <c r="B73" s="21" t="s">
        <v>42</v>
      </c>
      <c r="C73" s="21" t="s">
        <v>259</v>
      </c>
      <c r="D73" s="15">
        <v>5.0434782608695654</v>
      </c>
      <c r="E73" s="57">
        <v>358.8212068965517</v>
      </c>
      <c r="F73" s="15">
        <v>1809.7069565217391</v>
      </c>
      <c r="G73" s="15">
        <v>6.3703703703703702</v>
      </c>
      <c r="H73" s="57">
        <v>303.8194186046511</v>
      </c>
      <c r="I73" s="15">
        <v>1935.442222222222</v>
      </c>
      <c r="J73" s="15">
        <v>5</v>
      </c>
      <c r="K73" s="57">
        <v>388.3</v>
      </c>
      <c r="L73" s="15">
        <v>1941.5</v>
      </c>
      <c r="M73" s="15">
        <v>8.5065217391304344</v>
      </c>
      <c r="N73" s="15">
        <v>367.38749999999993</v>
      </c>
      <c r="O73" s="15">
        <v>3125.189755434782</v>
      </c>
      <c r="P73" s="15">
        <v>-3.5065217391304344</v>
      </c>
      <c r="Q73" s="15">
        <v>20.91250000000008</v>
      </c>
      <c r="R73" s="15">
        <v>-1183.689755434782</v>
      </c>
      <c r="S73" s="15">
        <v>104.5625000000004</v>
      </c>
      <c r="T73" s="15">
        <v>-1288.2522554347822</v>
      </c>
      <c r="U73" s="17">
        <v>0.58778430871454135</v>
      </c>
      <c r="V73" s="17">
        <v>0.62124227708851398</v>
      </c>
      <c r="W73" s="17">
        <v>-8.6206896551724518E-3</v>
      </c>
      <c r="X73" s="17">
        <v>7.2825626825001211E-2</v>
      </c>
      <c r="Y73" s="17">
        <v>-0.21511627906976744</v>
      </c>
      <c r="Z73" s="17">
        <v>3.1299192030763145E-3</v>
      </c>
      <c r="AA73" s="86"/>
      <c r="AB73" s="86"/>
    </row>
    <row r="74" spans="1:28" x14ac:dyDescent="0.25">
      <c r="A74" s="21" t="s">
        <v>208</v>
      </c>
      <c r="B74" s="21" t="s">
        <v>46</v>
      </c>
      <c r="C74" s="21" t="s">
        <v>261</v>
      </c>
      <c r="D74" s="15">
        <v>10.652173913043478</v>
      </c>
      <c r="E74" s="57">
        <v>442.66346938775513</v>
      </c>
      <c r="F74" s="15">
        <v>4715.3282608695654</v>
      </c>
      <c r="G74" s="15">
        <v>11.62962962962963</v>
      </c>
      <c r="H74" s="57">
        <v>389.03910828025471</v>
      </c>
      <c r="I74" s="15">
        <v>4524.3807407407403</v>
      </c>
      <c r="J74" s="15">
        <v>12</v>
      </c>
      <c r="K74" s="57">
        <v>919.46833333333325</v>
      </c>
      <c r="L74" s="15">
        <v>11033.619999999999</v>
      </c>
      <c r="M74" s="15">
        <v>12.520869565217389</v>
      </c>
      <c r="N74" s="15">
        <v>486.14487117160922</v>
      </c>
      <c r="O74" s="15">
        <v>6086.95652173913</v>
      </c>
      <c r="P74" s="15">
        <v>-0.5208695652173887</v>
      </c>
      <c r="Q74" s="15">
        <v>433.32346216172402</v>
      </c>
      <c r="R74" s="15">
        <v>4946.6634782608689</v>
      </c>
      <c r="S74" s="15">
        <v>5199.8815459406887</v>
      </c>
      <c r="T74" s="15">
        <v>-253.21806767981954</v>
      </c>
      <c r="U74" s="17">
        <v>0.95839988888117256</v>
      </c>
      <c r="V74" s="17">
        <v>1.8126661428571429</v>
      </c>
      <c r="W74" s="17">
        <v>0.12653061224489792</v>
      </c>
      <c r="X74" s="17">
        <v>1.3399473779085873</v>
      </c>
      <c r="Y74" s="17">
        <v>3.1847133757961769E-2</v>
      </c>
      <c r="Z74" s="17">
        <v>1.4387028042634524</v>
      </c>
      <c r="AA74" s="86"/>
      <c r="AB74" s="86"/>
    </row>
    <row r="75" spans="1:28" x14ac:dyDescent="0.25">
      <c r="A75" s="21" t="s">
        <v>207</v>
      </c>
      <c r="B75" s="21" t="s">
        <v>218</v>
      </c>
      <c r="C75" s="21" t="s">
        <v>265</v>
      </c>
      <c r="D75" s="15">
        <v>0</v>
      </c>
      <c r="E75" s="57" t="s">
        <v>364</v>
      </c>
      <c r="F75" s="15">
        <v>0</v>
      </c>
      <c r="G75" s="15">
        <v>0</v>
      </c>
      <c r="H75" s="57" t="s">
        <v>364</v>
      </c>
      <c r="I75" s="15">
        <v>0</v>
      </c>
      <c r="J75" s="15">
        <v>0</v>
      </c>
      <c r="K75" s="57" t="s">
        <v>364</v>
      </c>
      <c r="L75" s="15">
        <v>0</v>
      </c>
      <c r="M75" s="15">
        <v>2.8973913043478259</v>
      </c>
      <c r="N75" s="15">
        <v>734.77499999999998</v>
      </c>
      <c r="O75" s="15">
        <v>2128.9306956521737</v>
      </c>
      <c r="P75" s="15">
        <v>-2.8973913043478259</v>
      </c>
      <c r="Q75" s="15" t="s">
        <v>364</v>
      </c>
      <c r="R75" s="15">
        <v>-2128.9306956521737</v>
      </c>
      <c r="S75" s="15" t="s">
        <v>364</v>
      </c>
      <c r="T75" s="15">
        <v>-2128.9306956521737</v>
      </c>
      <c r="U75" s="17">
        <v>0</v>
      </c>
      <c r="V75" s="17">
        <v>0</v>
      </c>
      <c r="W75" s="17" t="s">
        <v>364</v>
      </c>
      <c r="X75" s="17" t="s">
        <v>364</v>
      </c>
      <c r="Y75" s="17" t="s">
        <v>364</v>
      </c>
      <c r="Z75" s="17" t="s">
        <v>364</v>
      </c>
      <c r="AA75" s="86"/>
      <c r="AB75" s="86"/>
    </row>
    <row r="76" spans="1:28" x14ac:dyDescent="0.25">
      <c r="A76" s="21" t="s">
        <v>208</v>
      </c>
      <c r="B76" s="21" t="s">
        <v>41</v>
      </c>
      <c r="C76" s="21" t="s">
        <v>99</v>
      </c>
      <c r="D76" s="15">
        <v>4.695652173913043</v>
      </c>
      <c r="E76" s="57">
        <v>686.11370370370378</v>
      </c>
      <c r="F76" s="15">
        <v>3221.7513043478261</v>
      </c>
      <c r="G76" s="15">
        <v>5.1111111111111107</v>
      </c>
      <c r="H76" s="57">
        <v>282.03442028985506</v>
      </c>
      <c r="I76" s="15">
        <v>1441.5092592592591</v>
      </c>
      <c r="J76" s="15">
        <v>6</v>
      </c>
      <c r="K76" s="57">
        <v>2179.75</v>
      </c>
      <c r="L76" s="15">
        <v>13078.5</v>
      </c>
      <c r="M76" s="15">
        <v>8.4852173913043476</v>
      </c>
      <c r="N76" s="15">
        <v>823.00292869440443</v>
      </c>
      <c r="O76" s="15">
        <v>6983.3587636521725</v>
      </c>
      <c r="P76" s="15">
        <v>-2.4852173913043476</v>
      </c>
      <c r="Q76" s="15">
        <v>1356.7470713055955</v>
      </c>
      <c r="R76" s="15">
        <v>6095.1412363478275</v>
      </c>
      <c r="S76" s="15">
        <v>8140.4824278335727</v>
      </c>
      <c r="T76" s="15">
        <v>-2045.3411914857459</v>
      </c>
      <c r="U76" s="17">
        <v>0.70711211313793809</v>
      </c>
      <c r="V76" s="17">
        <v>1.8728094091445728</v>
      </c>
      <c r="W76" s="17">
        <v>0.2777777777777779</v>
      </c>
      <c r="X76" s="17">
        <v>3.0594381019882784</v>
      </c>
      <c r="Y76" s="17">
        <v>0.17391304347826095</v>
      </c>
      <c r="Z76" s="17">
        <v>8.0727825131838422</v>
      </c>
      <c r="AA76" s="86"/>
      <c r="AB76" s="86"/>
    </row>
    <row r="77" spans="1:28" x14ac:dyDescent="0.25">
      <c r="A77" s="21" t="s">
        <v>207</v>
      </c>
      <c r="B77" s="21" t="s">
        <v>209</v>
      </c>
      <c r="C77" s="21" t="s">
        <v>266</v>
      </c>
      <c r="D77" s="15">
        <v>4.0869565217391299</v>
      </c>
      <c r="E77" s="57">
        <v>305.50425531914919</v>
      </c>
      <c r="F77" s="15">
        <v>1248.5826086956531</v>
      </c>
      <c r="G77" s="15">
        <v>4.4074074074074074</v>
      </c>
      <c r="H77" s="57">
        <v>327.08336134453793</v>
      </c>
      <c r="I77" s="15">
        <v>1441.5896296296303</v>
      </c>
      <c r="J77" s="15">
        <v>0</v>
      </c>
      <c r="K77" s="57" t="s">
        <v>364</v>
      </c>
      <c r="L77" s="15">
        <v>0</v>
      </c>
      <c r="M77" s="15">
        <v>5.7430434782608693</v>
      </c>
      <c r="N77" s="15">
        <v>364.44839999999999</v>
      </c>
      <c r="O77" s="15">
        <v>2093.0430067826087</v>
      </c>
      <c r="P77" s="15">
        <v>-5.7430434782608693</v>
      </c>
      <c r="Q77" s="15" t="s">
        <v>364</v>
      </c>
      <c r="R77" s="15">
        <v>-2093.0430067826087</v>
      </c>
      <c r="S77" s="15" t="s">
        <v>364</v>
      </c>
      <c r="T77" s="15">
        <v>-2093.0430067826087</v>
      </c>
      <c r="U77" s="17">
        <v>0</v>
      </c>
      <c r="V77" s="17">
        <v>0</v>
      </c>
      <c r="W77" s="17">
        <v>-1</v>
      </c>
      <c r="X77" s="17">
        <v>-1</v>
      </c>
      <c r="Y77" s="17">
        <v>-1</v>
      </c>
      <c r="Z77" s="17">
        <v>-1</v>
      </c>
      <c r="AA77" s="86"/>
      <c r="AB77" s="86"/>
    </row>
    <row r="78" spans="1:28" x14ac:dyDescent="0.25">
      <c r="A78" s="21" t="s">
        <v>207</v>
      </c>
      <c r="B78" s="21" t="s">
        <v>219</v>
      </c>
      <c r="C78" s="21" t="s">
        <v>267</v>
      </c>
      <c r="D78" s="15">
        <v>5.3043478260869561</v>
      </c>
      <c r="E78" s="57">
        <v>427.34959016393373</v>
      </c>
      <c r="F78" s="15">
        <v>2266.8108695652136</v>
      </c>
      <c r="G78" s="15">
        <v>4.6296296296296298</v>
      </c>
      <c r="H78" s="57">
        <v>361.49983999999984</v>
      </c>
      <c r="I78" s="15">
        <v>1673.6103703703695</v>
      </c>
      <c r="J78" s="15">
        <v>11</v>
      </c>
      <c r="K78" s="57">
        <v>800.4918181818183</v>
      </c>
      <c r="L78" s="15">
        <v>8805.4100000000017</v>
      </c>
      <c r="M78" s="15">
        <v>9.261304347826087</v>
      </c>
      <c r="N78" s="15">
        <v>409.51459999999992</v>
      </c>
      <c r="O78" s="15">
        <v>3792.6393454782601</v>
      </c>
      <c r="P78" s="15">
        <v>1.738695652173913</v>
      </c>
      <c r="Q78" s="15">
        <v>390.97721818181839</v>
      </c>
      <c r="R78" s="15">
        <v>5012.7706545217416</v>
      </c>
      <c r="S78" s="15">
        <v>4300.7494000000024</v>
      </c>
      <c r="T78" s="15">
        <v>712.02125452173891</v>
      </c>
      <c r="U78" s="17">
        <v>1.1877376648983615</v>
      </c>
      <c r="V78" s="17">
        <v>2.3217103441428386</v>
      </c>
      <c r="W78" s="17">
        <v>1.0737704918032789</v>
      </c>
      <c r="X78" s="17">
        <v>2.8844925786371078</v>
      </c>
      <c r="Y78" s="17">
        <v>1.3759999999999999</v>
      </c>
      <c r="Z78" s="17">
        <v>4.2613261460917977</v>
      </c>
      <c r="AA78" s="86"/>
      <c r="AB78" s="86"/>
    </row>
    <row r="79" spans="1:28" x14ac:dyDescent="0.25">
      <c r="A79" s="21" t="s">
        <v>207</v>
      </c>
      <c r="B79" s="21" t="s">
        <v>217</v>
      </c>
      <c r="C79" s="21" t="s">
        <v>268</v>
      </c>
      <c r="D79" s="15">
        <v>0</v>
      </c>
      <c r="E79" s="57" t="s">
        <v>364</v>
      </c>
      <c r="F79" s="15">
        <v>0</v>
      </c>
      <c r="G79" s="15">
        <v>6.8888888888888884</v>
      </c>
      <c r="H79" s="57">
        <v>481.51543010752692</v>
      </c>
      <c r="I79" s="15">
        <v>3317.1062962962965</v>
      </c>
      <c r="J79" s="15">
        <v>6</v>
      </c>
      <c r="K79" s="57">
        <v>987.82833333333349</v>
      </c>
      <c r="L79" s="15">
        <v>5926.9700000000012</v>
      </c>
      <c r="M79" s="15">
        <v>6.7778260869565212</v>
      </c>
      <c r="N79" s="15">
        <v>592.71850000000006</v>
      </c>
      <c r="O79" s="15">
        <v>4017.3429115217391</v>
      </c>
      <c r="P79" s="15">
        <v>-0.77782608695652122</v>
      </c>
      <c r="Q79" s="15">
        <v>395.10983333333343</v>
      </c>
      <c r="R79" s="15">
        <v>1909.6270884782621</v>
      </c>
      <c r="S79" s="15">
        <v>2370.6590000000006</v>
      </c>
      <c r="T79" s="15">
        <v>-461.03191152173889</v>
      </c>
      <c r="U79" s="17">
        <v>0.88523959202001423</v>
      </c>
      <c r="V79" s="17">
        <v>1.4753458020726713</v>
      </c>
      <c r="W79" s="17" t="s">
        <v>364</v>
      </c>
      <c r="X79" s="17" t="s">
        <v>364</v>
      </c>
      <c r="Y79" s="17">
        <v>-0.12903225806451607</v>
      </c>
      <c r="Z79" s="17">
        <v>0.78678928878997301</v>
      </c>
      <c r="AA79" s="86"/>
      <c r="AB79" s="86"/>
    </row>
    <row r="80" spans="1:28" x14ac:dyDescent="0.25">
      <c r="A80" s="21" t="s">
        <v>207</v>
      </c>
      <c r="B80" s="21" t="s">
        <v>50</v>
      </c>
      <c r="C80" s="21" t="s">
        <v>269</v>
      </c>
      <c r="D80" s="15">
        <v>0</v>
      </c>
      <c r="E80" s="57" t="s">
        <v>364</v>
      </c>
      <c r="F80" s="15">
        <v>0</v>
      </c>
      <c r="G80" s="15">
        <v>0</v>
      </c>
      <c r="H80" s="57" t="s">
        <v>364</v>
      </c>
      <c r="I80" s="15">
        <v>0</v>
      </c>
      <c r="J80" s="15">
        <v>18</v>
      </c>
      <c r="K80" s="57">
        <v>317.42666666666668</v>
      </c>
      <c r="L80" s="15">
        <v>5713.68</v>
      </c>
      <c r="M80" s="15">
        <v>12.443478260869567</v>
      </c>
      <c r="N80" s="15">
        <v>396.77849999999989</v>
      </c>
      <c r="O80" s="15">
        <v>4937.3046391304342</v>
      </c>
      <c r="P80" s="15">
        <v>5.5565217391304333</v>
      </c>
      <c r="Q80" s="15">
        <v>-79.351833333333218</v>
      </c>
      <c r="R80" s="15">
        <v>776.37536086956607</v>
      </c>
      <c r="S80" s="15">
        <v>-1428.3329999999978</v>
      </c>
      <c r="T80" s="15">
        <v>2204.7083608695639</v>
      </c>
      <c r="U80" s="17">
        <v>1.4465408805031446</v>
      </c>
      <c r="V80" s="17">
        <v>1.1572468011628108</v>
      </c>
      <c r="W80" s="17" t="s">
        <v>364</v>
      </c>
      <c r="X80" s="17" t="s">
        <v>364</v>
      </c>
      <c r="Y80" s="17" t="s">
        <v>364</v>
      </c>
      <c r="Z80" s="17" t="s">
        <v>364</v>
      </c>
      <c r="AA80" s="86"/>
      <c r="AB80" s="86"/>
    </row>
    <row r="81" spans="1:28" x14ac:dyDescent="0.25">
      <c r="A81" s="21" t="s">
        <v>208</v>
      </c>
      <c r="B81" s="21" t="s">
        <v>219</v>
      </c>
      <c r="C81" s="21" t="s">
        <v>271</v>
      </c>
      <c r="D81" s="15">
        <v>0</v>
      </c>
      <c r="E81" s="57" t="s">
        <v>364</v>
      </c>
      <c r="F81" s="15">
        <v>0</v>
      </c>
      <c r="G81" s="15">
        <v>0</v>
      </c>
      <c r="H81" s="57" t="s">
        <v>364</v>
      </c>
      <c r="I81" s="15">
        <v>0</v>
      </c>
      <c r="J81" s="15">
        <v>6</v>
      </c>
      <c r="K81" s="57">
        <v>610</v>
      </c>
      <c r="L81" s="15">
        <v>3660</v>
      </c>
      <c r="M81" s="15">
        <v>5.4326086956521733</v>
      </c>
      <c r="N81" s="15">
        <v>409.51459999999997</v>
      </c>
      <c r="O81" s="15">
        <v>2224.7325769565214</v>
      </c>
      <c r="P81" s="15">
        <v>0.5673913043478267</v>
      </c>
      <c r="Q81" s="15">
        <v>200.48540000000003</v>
      </c>
      <c r="R81" s="15">
        <v>1435.2674230434786</v>
      </c>
      <c r="S81" s="15">
        <v>1202.9124000000002</v>
      </c>
      <c r="T81" s="15">
        <v>232.3550230434785</v>
      </c>
      <c r="U81" s="17">
        <v>1.1044417767106844</v>
      </c>
      <c r="V81" s="17">
        <v>1.6451415500046092</v>
      </c>
      <c r="W81" s="17" t="s">
        <v>364</v>
      </c>
      <c r="X81" s="17" t="s">
        <v>364</v>
      </c>
      <c r="Y81" s="17" t="s">
        <v>364</v>
      </c>
      <c r="Z81" s="17" t="s">
        <v>364</v>
      </c>
      <c r="AA81" s="86"/>
      <c r="AB81" s="86"/>
    </row>
    <row r="82" spans="1:28" x14ac:dyDescent="0.25">
      <c r="A82" s="21" t="s">
        <v>207</v>
      </c>
      <c r="B82" s="21" t="s">
        <v>209</v>
      </c>
      <c r="C82" s="21" t="s">
        <v>712</v>
      </c>
      <c r="D82" s="15">
        <v>2.2608695652173911</v>
      </c>
      <c r="E82" s="57">
        <v>665.25711538461564</v>
      </c>
      <c r="F82" s="15">
        <v>1504.0595652173918</v>
      </c>
      <c r="G82" s="15">
        <v>1.8888888888888888</v>
      </c>
      <c r="H82" s="57">
        <v>647.5872549019607</v>
      </c>
      <c r="I82" s="15">
        <v>1223.2203703703701</v>
      </c>
      <c r="J82" s="15">
        <v>0</v>
      </c>
      <c r="K82" s="57" t="s">
        <v>364</v>
      </c>
      <c r="L82" s="15">
        <v>0</v>
      </c>
      <c r="M82" s="15">
        <v>6.7260869565217387</v>
      </c>
      <c r="N82" s="15">
        <v>290.97089999999997</v>
      </c>
      <c r="O82" s="15">
        <v>1957.0955752173911</v>
      </c>
      <c r="P82" s="15">
        <v>-6.7260869565217387</v>
      </c>
      <c r="Q82" s="15" t="s">
        <v>364</v>
      </c>
      <c r="R82" s="15">
        <v>-1957.0955752173911</v>
      </c>
      <c r="S82" s="15" t="s">
        <v>364</v>
      </c>
      <c r="T82" s="15">
        <v>-1957.0955752173909</v>
      </c>
      <c r="U82" s="17">
        <v>0</v>
      </c>
      <c r="V82" s="17">
        <v>0</v>
      </c>
      <c r="W82" s="17">
        <v>-1</v>
      </c>
      <c r="X82" s="17">
        <v>-1</v>
      </c>
      <c r="Y82" s="17">
        <v>-1</v>
      </c>
      <c r="Z82" s="17">
        <v>-1</v>
      </c>
      <c r="AA82" s="86"/>
      <c r="AB82" s="86"/>
    </row>
    <row r="83" spans="1:28" x14ac:dyDescent="0.25">
      <c r="A83" s="21" t="s">
        <v>207</v>
      </c>
      <c r="B83" s="21" t="s">
        <v>216</v>
      </c>
      <c r="C83" s="21" t="s">
        <v>273</v>
      </c>
      <c r="D83" s="15">
        <v>0</v>
      </c>
      <c r="E83" s="57" t="s">
        <v>364</v>
      </c>
      <c r="F83" s="15">
        <v>0</v>
      </c>
      <c r="G83" s="15">
        <v>0</v>
      </c>
      <c r="H83" s="57" t="s">
        <v>364</v>
      </c>
      <c r="I83" s="15">
        <v>0</v>
      </c>
      <c r="J83" s="15">
        <v>0</v>
      </c>
      <c r="K83" s="57" t="s">
        <v>364</v>
      </c>
      <c r="L83" s="15">
        <v>0</v>
      </c>
      <c r="M83" s="15">
        <v>4.8117391304347823</v>
      </c>
      <c r="N83" s="15">
        <v>600.55610000000013</v>
      </c>
      <c r="O83" s="15">
        <v>2889.7192863913046</v>
      </c>
      <c r="P83" s="15">
        <v>-4.8117391304347823</v>
      </c>
      <c r="Q83" s="15" t="s">
        <v>364</v>
      </c>
      <c r="R83" s="15">
        <v>-2889.7192863913046</v>
      </c>
      <c r="S83" s="15" t="s">
        <v>364</v>
      </c>
      <c r="T83" s="15">
        <v>-2889.7192863913046</v>
      </c>
      <c r="U83" s="17">
        <v>0</v>
      </c>
      <c r="V83" s="17">
        <v>0</v>
      </c>
      <c r="W83" s="17" t="s">
        <v>364</v>
      </c>
      <c r="X83" s="17" t="s">
        <v>364</v>
      </c>
      <c r="Y83" s="17" t="s">
        <v>364</v>
      </c>
      <c r="Z83" s="17" t="s">
        <v>364</v>
      </c>
      <c r="AA83" s="86"/>
      <c r="AB83" s="86"/>
    </row>
    <row r="84" spans="1:28" x14ac:dyDescent="0.25">
      <c r="A84" s="21" t="s">
        <v>208</v>
      </c>
      <c r="B84" s="21" t="s">
        <v>210</v>
      </c>
      <c r="C84" s="21" t="s">
        <v>274</v>
      </c>
      <c r="D84" s="15">
        <v>4.7391304347826084</v>
      </c>
      <c r="E84" s="57">
        <v>194.16146788990824</v>
      </c>
      <c r="F84" s="15">
        <v>920.15652173913031</v>
      </c>
      <c r="G84" s="15">
        <v>4</v>
      </c>
      <c r="H84" s="57">
        <v>290.06759259259258</v>
      </c>
      <c r="I84" s="15">
        <v>1160.2703703703703</v>
      </c>
      <c r="J84" s="15">
        <v>1</v>
      </c>
      <c r="K84" s="57">
        <v>90</v>
      </c>
      <c r="L84" s="15">
        <v>90</v>
      </c>
      <c r="M84" s="15">
        <v>5.1221739130434774</v>
      </c>
      <c r="N84" s="15">
        <v>276.2754000000001</v>
      </c>
      <c r="O84" s="15">
        <v>1415.1306466956523</v>
      </c>
      <c r="P84" s="15">
        <v>-4.1221739130434774</v>
      </c>
      <c r="Q84" s="15">
        <v>-186.2754000000001</v>
      </c>
      <c r="R84" s="15">
        <v>-1325.1306466956523</v>
      </c>
      <c r="S84" s="15">
        <v>-186.2754000000001</v>
      </c>
      <c r="T84" s="15">
        <v>-1138.8552466956523</v>
      </c>
      <c r="U84" s="17">
        <v>0.19522960699431291</v>
      </c>
      <c r="V84" s="17">
        <v>6.3598368256776242E-2</v>
      </c>
      <c r="W84" s="17">
        <v>-0.78899082568807333</v>
      </c>
      <c r="X84" s="17">
        <v>-0.9021905535920165</v>
      </c>
      <c r="Y84" s="17">
        <v>-0.75</v>
      </c>
      <c r="Z84" s="17">
        <v>-0.92243187252013414</v>
      </c>
      <c r="AA84" s="86"/>
      <c r="AB84" s="86"/>
    </row>
    <row r="85" spans="1:28" x14ac:dyDescent="0.25">
      <c r="A85" s="21" t="s">
        <v>208</v>
      </c>
      <c r="B85" s="21" t="s">
        <v>209</v>
      </c>
      <c r="C85" s="21" t="s">
        <v>276</v>
      </c>
      <c r="D85" s="15">
        <v>5.7391304347826084</v>
      </c>
      <c r="E85" s="57">
        <v>452.34590909090906</v>
      </c>
      <c r="F85" s="15">
        <v>2596.0721739130431</v>
      </c>
      <c r="G85" s="15">
        <v>7.1111111111111107</v>
      </c>
      <c r="H85" s="57">
        <v>453.2525520833334</v>
      </c>
      <c r="I85" s="15">
        <v>3223.1292592592595</v>
      </c>
      <c r="J85" s="15">
        <v>10</v>
      </c>
      <c r="K85" s="57">
        <v>568.1</v>
      </c>
      <c r="L85" s="15">
        <v>5681</v>
      </c>
      <c r="M85" s="15">
        <v>9.2095652173913045</v>
      </c>
      <c r="N85" s="15">
        <v>515</v>
      </c>
      <c r="O85" s="15">
        <v>4742.9260869565214</v>
      </c>
      <c r="P85" s="15">
        <v>0.79043478260869549</v>
      </c>
      <c r="Q85" s="15">
        <v>53.100000000000023</v>
      </c>
      <c r="R85" s="15">
        <v>938.07391304347857</v>
      </c>
      <c r="S85" s="15">
        <v>531.00000000000023</v>
      </c>
      <c r="T85" s="15">
        <v>407.07391304347817</v>
      </c>
      <c r="U85" s="17">
        <v>1.0858275894627514</v>
      </c>
      <c r="V85" s="17">
        <v>1.1977837933471633</v>
      </c>
      <c r="W85" s="17">
        <v>0.74242424242424254</v>
      </c>
      <c r="X85" s="17">
        <v>1.1883058788142491</v>
      </c>
      <c r="Y85" s="17">
        <v>0.40625000000000006</v>
      </c>
      <c r="Z85" s="17">
        <v>0.76257281140056077</v>
      </c>
      <c r="AA85" s="86"/>
      <c r="AB85" s="86"/>
    </row>
    <row r="86" spans="1:28" x14ac:dyDescent="0.25">
      <c r="A86" s="21" t="s">
        <v>208</v>
      </c>
      <c r="B86" s="21" t="s">
        <v>216</v>
      </c>
      <c r="C86" s="21" t="s">
        <v>277</v>
      </c>
      <c r="D86" s="15">
        <v>7.0434782608695654</v>
      </c>
      <c r="E86" s="57">
        <v>512.35339506172841</v>
      </c>
      <c r="F86" s="15">
        <v>3608.75</v>
      </c>
      <c r="G86" s="15">
        <v>7</v>
      </c>
      <c r="H86" s="57">
        <v>759.29465608465603</v>
      </c>
      <c r="I86" s="15">
        <v>5315.0625925925924</v>
      </c>
      <c r="J86" s="15">
        <v>7</v>
      </c>
      <c r="K86" s="57">
        <v>862.71285714285716</v>
      </c>
      <c r="L86" s="15">
        <v>6038.99</v>
      </c>
      <c r="M86" s="15">
        <v>6.9330434782608688</v>
      </c>
      <c r="N86" s="15">
        <v>707.3434000000002</v>
      </c>
      <c r="O86" s="15">
        <v>4904.04254626087</v>
      </c>
      <c r="P86" s="15">
        <v>6.6956521739131247E-2</v>
      </c>
      <c r="Q86" s="15">
        <v>155.36945714285696</v>
      </c>
      <c r="R86" s="15">
        <v>1134.9474537391297</v>
      </c>
      <c r="S86" s="15">
        <v>1087.5861999999988</v>
      </c>
      <c r="T86" s="15">
        <v>47.361253739131023</v>
      </c>
      <c r="U86" s="17">
        <v>1.0096575943810362</v>
      </c>
      <c r="V86" s="17">
        <v>1.2314309965774013</v>
      </c>
      <c r="W86" s="17">
        <v>-6.1728395061728669E-3</v>
      </c>
      <c r="X86" s="17">
        <v>0.6734298579840664</v>
      </c>
      <c r="Y86" s="17">
        <v>0</v>
      </c>
      <c r="Z86" s="17">
        <v>0.13620298816731122</v>
      </c>
      <c r="AA86" s="86"/>
      <c r="AB86" s="86"/>
    </row>
    <row r="87" spans="1:28" x14ac:dyDescent="0.25">
      <c r="A87" s="21" t="s">
        <v>207</v>
      </c>
      <c r="B87" s="21" t="s">
        <v>41</v>
      </c>
      <c r="C87" s="21" t="s">
        <v>260</v>
      </c>
      <c r="D87" s="15">
        <v>0</v>
      </c>
      <c r="E87" s="57" t="s">
        <v>364</v>
      </c>
      <c r="F87" s="15">
        <v>0</v>
      </c>
      <c r="G87" s="15">
        <v>0</v>
      </c>
      <c r="H87" s="57" t="s">
        <v>364</v>
      </c>
      <c r="I87" s="15">
        <v>0</v>
      </c>
      <c r="J87" s="15">
        <v>0</v>
      </c>
      <c r="K87" s="57" t="s">
        <v>364</v>
      </c>
      <c r="L87" s="15">
        <v>0</v>
      </c>
      <c r="M87" s="15">
        <v>5.0869565217391299</v>
      </c>
      <c r="N87" s="15">
        <v>440.86500000000001</v>
      </c>
      <c r="O87" s="15">
        <v>2242.6610869565216</v>
      </c>
      <c r="P87" s="15">
        <v>-5.0869565217391299</v>
      </c>
      <c r="Q87" s="15" t="s">
        <v>364</v>
      </c>
      <c r="R87" s="15">
        <v>-2242.6610869565216</v>
      </c>
      <c r="S87" s="15" t="s">
        <v>364</v>
      </c>
      <c r="T87" s="15">
        <v>-2242.6610869565216</v>
      </c>
      <c r="U87" s="17">
        <v>0</v>
      </c>
      <c r="V87" s="17">
        <v>0</v>
      </c>
      <c r="W87" s="17" t="s">
        <v>364</v>
      </c>
      <c r="X87" s="17" t="s">
        <v>364</v>
      </c>
      <c r="Y87" s="17" t="s">
        <v>364</v>
      </c>
      <c r="Z87" s="17" t="s">
        <v>364</v>
      </c>
      <c r="AA87" s="86"/>
      <c r="AB87" s="86"/>
    </row>
    <row r="88" spans="1:28" x14ac:dyDescent="0.25">
      <c r="A88" s="21" t="s">
        <v>207</v>
      </c>
      <c r="B88" s="21" t="s">
        <v>45</v>
      </c>
      <c r="C88" s="21" t="s">
        <v>262</v>
      </c>
      <c r="D88" s="15">
        <v>0</v>
      </c>
      <c r="E88" s="57" t="s">
        <v>364</v>
      </c>
      <c r="F88" s="15">
        <v>0</v>
      </c>
      <c r="G88" s="15">
        <v>0</v>
      </c>
      <c r="H88" s="57" t="s">
        <v>364</v>
      </c>
      <c r="I88" s="15">
        <v>0</v>
      </c>
      <c r="J88" s="15">
        <v>1</v>
      </c>
      <c r="K88" s="57">
        <v>1299</v>
      </c>
      <c r="L88" s="15">
        <v>1299</v>
      </c>
      <c r="M88" s="15">
        <v>7.527219681159421</v>
      </c>
      <c r="N88" s="15">
        <v>449.99999999999994</v>
      </c>
      <c r="O88" s="15">
        <v>3387.2488565217391</v>
      </c>
      <c r="P88" s="15">
        <v>-6.527219681159421</v>
      </c>
      <c r="Q88" s="15">
        <v>849</v>
      </c>
      <c r="R88" s="15">
        <v>-2088.2488565217391</v>
      </c>
      <c r="S88" s="15">
        <v>849</v>
      </c>
      <c r="T88" s="15">
        <v>-2937.2488565217391</v>
      </c>
      <c r="U88" s="17">
        <v>0.13285117777324781</v>
      </c>
      <c r="V88" s="17">
        <v>0.38349706650544207</v>
      </c>
      <c r="W88" s="17" t="s">
        <v>364</v>
      </c>
      <c r="X88" s="17" t="s">
        <v>364</v>
      </c>
      <c r="Y88" s="17" t="s">
        <v>364</v>
      </c>
      <c r="Z88" s="17" t="s">
        <v>364</v>
      </c>
      <c r="AA88" s="86"/>
      <c r="AB88" s="86"/>
    </row>
    <row r="89" spans="1:28" x14ac:dyDescent="0.25">
      <c r="A89" s="21" t="s">
        <v>207</v>
      </c>
      <c r="B89" s="21" t="s">
        <v>715</v>
      </c>
      <c r="C89" s="21" t="s">
        <v>715</v>
      </c>
      <c r="D89" s="15">
        <v>0</v>
      </c>
      <c r="E89" s="57" t="s">
        <v>364</v>
      </c>
      <c r="F89" s="15">
        <v>0</v>
      </c>
      <c r="G89" s="15">
        <v>0</v>
      </c>
      <c r="H89" s="57" t="s">
        <v>364</v>
      </c>
      <c r="I89" s="15">
        <v>0</v>
      </c>
      <c r="J89" s="15">
        <v>0</v>
      </c>
      <c r="K89" s="57" t="s">
        <v>364</v>
      </c>
      <c r="L89" s="15">
        <v>0</v>
      </c>
      <c r="M89" s="15">
        <v>0</v>
      </c>
      <c r="N89" s="15" t="s">
        <v>364</v>
      </c>
      <c r="O89" s="15">
        <v>1304.3478260869565</v>
      </c>
      <c r="P89" s="15">
        <v>0</v>
      </c>
      <c r="Q89" s="15" t="s">
        <v>364</v>
      </c>
      <c r="R89" s="15">
        <v>-1304.3478260869565</v>
      </c>
      <c r="S89" s="15" t="s">
        <v>364</v>
      </c>
      <c r="T89" s="15" t="s">
        <v>364</v>
      </c>
      <c r="U89" s="17" t="s">
        <v>364</v>
      </c>
      <c r="V89" s="17">
        <v>0</v>
      </c>
      <c r="W89" s="17" t="s">
        <v>364</v>
      </c>
      <c r="X89" s="17" t="s">
        <v>364</v>
      </c>
      <c r="Y89" s="17" t="s">
        <v>364</v>
      </c>
      <c r="Z89" s="17" t="s">
        <v>364</v>
      </c>
      <c r="AA89" s="86"/>
      <c r="AB89" s="86"/>
    </row>
    <row r="90" spans="1:28" x14ac:dyDescent="0.25">
      <c r="A90" s="21" t="s">
        <v>207</v>
      </c>
      <c r="B90" s="21" t="s">
        <v>52</v>
      </c>
      <c r="C90" s="21" t="s">
        <v>231</v>
      </c>
      <c r="D90" s="15">
        <v>0</v>
      </c>
      <c r="E90" s="57" t="s">
        <v>364</v>
      </c>
      <c r="F90" s="15">
        <v>0</v>
      </c>
      <c r="G90" s="15">
        <v>0</v>
      </c>
      <c r="H90" s="57" t="s">
        <v>364</v>
      </c>
      <c r="I90" s="15">
        <v>0</v>
      </c>
      <c r="J90" s="15">
        <v>3</v>
      </c>
      <c r="K90" s="57">
        <v>437.61666666666662</v>
      </c>
      <c r="L90" s="15">
        <v>1312.85</v>
      </c>
      <c r="M90" s="15">
        <v>5.88</v>
      </c>
      <c r="N90" s="15">
        <v>406.38150000000002</v>
      </c>
      <c r="O90" s="15">
        <v>2389.52322</v>
      </c>
      <c r="P90" s="15">
        <v>-2.88</v>
      </c>
      <c r="Q90" s="15">
        <v>31.235166666666601</v>
      </c>
      <c r="R90" s="15">
        <v>-1076.6732200000001</v>
      </c>
      <c r="S90" s="15">
        <v>93.705499999999802</v>
      </c>
      <c r="T90" s="15">
        <v>-1170.3787199999999</v>
      </c>
      <c r="U90" s="17">
        <v>0.51020408163265307</v>
      </c>
      <c r="V90" s="17">
        <v>0.54941922681964972</v>
      </c>
      <c r="W90" s="17" t="s">
        <v>364</v>
      </c>
      <c r="X90" s="17" t="s">
        <v>364</v>
      </c>
      <c r="Y90" s="17" t="s">
        <v>364</v>
      </c>
      <c r="Z90" s="17" t="s">
        <v>364</v>
      </c>
      <c r="AA90" s="86"/>
      <c r="AB90" s="86"/>
    </row>
    <row r="91" spans="1:28" x14ac:dyDescent="0.25">
      <c r="A91" s="21" t="s">
        <v>207</v>
      </c>
      <c r="B91" s="21" t="s">
        <v>215</v>
      </c>
      <c r="C91" s="21" t="s">
        <v>272</v>
      </c>
      <c r="D91" s="15">
        <v>0</v>
      </c>
      <c r="E91" s="57" t="s">
        <v>364</v>
      </c>
      <c r="F91" s="15">
        <v>0</v>
      </c>
      <c r="G91" s="15">
        <v>0</v>
      </c>
      <c r="H91" s="57" t="s">
        <v>364</v>
      </c>
      <c r="I91" s="15">
        <v>0</v>
      </c>
      <c r="J91" s="15">
        <v>0</v>
      </c>
      <c r="K91" s="57" t="s">
        <v>364</v>
      </c>
      <c r="L91" s="15">
        <v>0</v>
      </c>
      <c r="M91" s="15">
        <v>1.8608695652173912</v>
      </c>
      <c r="N91" s="15">
        <v>1212</v>
      </c>
      <c r="O91" s="15">
        <v>2255.3739130434783</v>
      </c>
      <c r="P91" s="15">
        <v>-1.8608695652173912</v>
      </c>
      <c r="Q91" s="15" t="s">
        <v>364</v>
      </c>
      <c r="R91" s="15">
        <v>-2255.3739130434783</v>
      </c>
      <c r="S91" s="15" t="s">
        <v>364</v>
      </c>
      <c r="T91" s="15">
        <v>-2255.3739130434783</v>
      </c>
      <c r="U91" s="17">
        <v>0</v>
      </c>
      <c r="V91" s="17">
        <v>0</v>
      </c>
      <c r="W91" s="17" t="s">
        <v>364</v>
      </c>
      <c r="X91" s="17" t="s">
        <v>364</v>
      </c>
      <c r="Y91" s="17" t="s">
        <v>364</v>
      </c>
      <c r="Z91" s="17" t="s">
        <v>364</v>
      </c>
      <c r="AA91" s="86"/>
      <c r="AB91" s="86"/>
    </row>
    <row r="92" spans="1:28" x14ac:dyDescent="0.25">
      <c r="A92" s="21" t="s">
        <v>208</v>
      </c>
      <c r="B92" s="21" t="s">
        <v>209</v>
      </c>
      <c r="C92" s="21" t="s">
        <v>241</v>
      </c>
      <c r="D92" s="15">
        <v>14.739130434782608</v>
      </c>
      <c r="E92" s="57">
        <v>105.37979351032449</v>
      </c>
      <c r="F92" s="15">
        <v>1553.2065217391305</v>
      </c>
      <c r="G92" s="15">
        <v>7.0740740740740735</v>
      </c>
      <c r="H92" s="57">
        <v>200.93094240837695</v>
      </c>
      <c r="I92" s="15">
        <v>1421.4003703703702</v>
      </c>
      <c r="J92" s="15">
        <v>6</v>
      </c>
      <c r="K92" s="57">
        <v>63.833333333333336</v>
      </c>
      <c r="L92" s="15">
        <v>383</v>
      </c>
      <c r="M92" s="15" t="s">
        <v>364</v>
      </c>
      <c r="N92" s="15" t="s">
        <v>364</v>
      </c>
      <c r="O92" s="15" t="s">
        <v>364</v>
      </c>
      <c r="P92" s="15" t="s">
        <v>364</v>
      </c>
      <c r="Q92" s="15" t="s">
        <v>364</v>
      </c>
      <c r="R92" s="15" t="s">
        <v>364</v>
      </c>
      <c r="S92" s="15" t="s">
        <v>364</v>
      </c>
      <c r="T92" s="15" t="s">
        <v>364</v>
      </c>
      <c r="U92" s="17" t="s">
        <v>364</v>
      </c>
      <c r="V92" s="17" t="s">
        <v>364</v>
      </c>
      <c r="W92" s="17">
        <v>-0.59292035398230081</v>
      </c>
      <c r="X92" s="17">
        <v>-0.75341334546345218</v>
      </c>
      <c r="Y92" s="17">
        <v>-0.15183246073298423</v>
      </c>
      <c r="Z92" s="17">
        <v>-0.73054741789591426</v>
      </c>
      <c r="AA92" s="86"/>
      <c r="AB92" s="86"/>
    </row>
    <row r="93" spans="1:28" x14ac:dyDescent="0.25">
      <c r="A93" s="21" t="s">
        <v>208</v>
      </c>
      <c r="B93" s="21" t="s">
        <v>209</v>
      </c>
      <c r="C93" s="21" t="s">
        <v>240</v>
      </c>
      <c r="D93" s="15">
        <v>2.0869565217391304</v>
      </c>
      <c r="E93" s="57">
        <v>217.03125</v>
      </c>
      <c r="F93" s="15">
        <v>452.93478260869563</v>
      </c>
      <c r="G93" s="15">
        <v>0.29629629629629628</v>
      </c>
      <c r="H93" s="57">
        <v>1412.1875</v>
      </c>
      <c r="I93" s="15">
        <v>418.42592592592592</v>
      </c>
      <c r="J93" s="15">
        <v>5</v>
      </c>
      <c r="K93" s="57">
        <v>45.5</v>
      </c>
      <c r="L93" s="15">
        <v>227.5</v>
      </c>
      <c r="M93" s="15" t="s">
        <v>364</v>
      </c>
      <c r="N93" s="15" t="s">
        <v>364</v>
      </c>
      <c r="O93" s="15" t="s">
        <v>364</v>
      </c>
      <c r="P93" s="15" t="s">
        <v>364</v>
      </c>
      <c r="Q93" s="15" t="s">
        <v>364</v>
      </c>
      <c r="R93" s="15" t="s">
        <v>364</v>
      </c>
      <c r="S93" s="15" t="s">
        <v>364</v>
      </c>
      <c r="T93" s="15" t="s">
        <v>364</v>
      </c>
      <c r="U93" s="17" t="s">
        <v>364</v>
      </c>
      <c r="V93" s="17" t="s">
        <v>364</v>
      </c>
      <c r="W93" s="17">
        <v>1.3958333333333335</v>
      </c>
      <c r="X93" s="17">
        <v>-0.49772018238540916</v>
      </c>
      <c r="Y93" s="17">
        <v>15.875000000000002</v>
      </c>
      <c r="Z93" s="17">
        <v>-0.45629564062845762</v>
      </c>
      <c r="AA93" s="86"/>
      <c r="AB93" s="86"/>
    </row>
    <row r="94" spans="1:28" x14ac:dyDescent="0.25">
      <c r="A94" s="21" t="s">
        <v>208</v>
      </c>
      <c r="B94" s="21" t="s">
        <v>46</v>
      </c>
      <c r="C94" s="21" t="s">
        <v>253</v>
      </c>
      <c r="D94" s="15">
        <v>4.3478260869565216E-2</v>
      </c>
      <c r="E94" s="57">
        <v>435.5</v>
      </c>
      <c r="F94" s="15">
        <v>18.934782608695652</v>
      </c>
      <c r="G94" s="15">
        <v>3.7037037037037035E-2</v>
      </c>
      <c r="H94" s="57">
        <v>0</v>
      </c>
      <c r="I94" s="15">
        <v>0</v>
      </c>
      <c r="J94" s="15">
        <v>0</v>
      </c>
      <c r="K94" s="57" t="s">
        <v>364</v>
      </c>
      <c r="L94" s="15">
        <v>0</v>
      </c>
      <c r="M94" s="15" t="s">
        <v>364</v>
      </c>
      <c r="N94" s="15" t="s">
        <v>364</v>
      </c>
      <c r="O94" s="15" t="s">
        <v>364</v>
      </c>
      <c r="P94" s="15" t="s">
        <v>364</v>
      </c>
      <c r="Q94" s="15" t="s">
        <v>364</v>
      </c>
      <c r="R94" s="15" t="s">
        <v>364</v>
      </c>
      <c r="S94" s="15" t="s">
        <v>364</v>
      </c>
      <c r="T94" s="15" t="s">
        <v>364</v>
      </c>
      <c r="U94" s="17" t="s">
        <v>364</v>
      </c>
      <c r="V94" s="17" t="s">
        <v>364</v>
      </c>
      <c r="W94" s="17">
        <v>-1</v>
      </c>
      <c r="X94" s="17">
        <v>-1</v>
      </c>
      <c r="Y94" s="17">
        <v>-1</v>
      </c>
      <c r="Z94" s="17" t="s">
        <v>364</v>
      </c>
      <c r="AA94" s="86"/>
      <c r="AB94" s="86"/>
    </row>
    <row r="95" spans="1:28" x14ac:dyDescent="0.25">
      <c r="A95" s="21" t="s">
        <v>207</v>
      </c>
      <c r="B95" s="21" t="s">
        <v>47</v>
      </c>
      <c r="C95" s="21" t="s">
        <v>275</v>
      </c>
      <c r="D95" s="15">
        <v>0</v>
      </c>
      <c r="E95" s="57" t="s">
        <v>364</v>
      </c>
      <c r="F95" s="15">
        <v>0</v>
      </c>
      <c r="G95" s="15">
        <v>0</v>
      </c>
      <c r="H95" s="57" t="s">
        <v>364</v>
      </c>
      <c r="I95" s="15">
        <v>0</v>
      </c>
      <c r="J95" s="15">
        <v>0</v>
      </c>
      <c r="K95" s="57" t="s">
        <v>364</v>
      </c>
      <c r="L95" s="15">
        <v>0</v>
      </c>
      <c r="M95" s="15" t="s">
        <v>364</v>
      </c>
      <c r="N95" s="15" t="s">
        <v>364</v>
      </c>
      <c r="O95" s="15" t="s">
        <v>364</v>
      </c>
      <c r="P95" s="15" t="s">
        <v>364</v>
      </c>
      <c r="Q95" s="15" t="s">
        <v>364</v>
      </c>
      <c r="R95" s="15" t="s">
        <v>364</v>
      </c>
      <c r="S95" s="15" t="s">
        <v>364</v>
      </c>
      <c r="T95" s="15" t="s">
        <v>364</v>
      </c>
      <c r="U95" s="17" t="s">
        <v>364</v>
      </c>
      <c r="V95" s="17" t="s">
        <v>364</v>
      </c>
      <c r="W95" s="17" t="s">
        <v>364</v>
      </c>
      <c r="X95" s="17" t="s">
        <v>364</v>
      </c>
      <c r="Y95" s="17" t="s">
        <v>364</v>
      </c>
      <c r="Z95" s="17" t="s">
        <v>364</v>
      </c>
      <c r="AA95" s="86"/>
      <c r="AB95" s="86"/>
    </row>
    <row r="96" spans="1:28" x14ac:dyDescent="0.25">
      <c r="A96" s="21" t="s">
        <v>207</v>
      </c>
      <c r="B96" s="21" t="s">
        <v>49</v>
      </c>
      <c r="C96" s="21" t="s">
        <v>264</v>
      </c>
      <c r="D96" s="15">
        <v>0</v>
      </c>
      <c r="E96" s="57" t="s">
        <v>364</v>
      </c>
      <c r="F96" s="15">
        <v>2108.1478260869585</v>
      </c>
      <c r="G96" s="15">
        <v>0</v>
      </c>
      <c r="H96" s="57" t="s">
        <v>364</v>
      </c>
      <c r="I96" s="15">
        <v>1701.2211111111119</v>
      </c>
      <c r="J96" s="15">
        <v>0</v>
      </c>
      <c r="K96" s="57" t="s">
        <v>364</v>
      </c>
      <c r="L96" s="15">
        <v>990.3900000000001</v>
      </c>
      <c r="M96" s="15" t="s">
        <v>364</v>
      </c>
      <c r="N96" s="15" t="s">
        <v>364</v>
      </c>
      <c r="O96" s="15" t="s">
        <v>364</v>
      </c>
      <c r="P96" s="15" t="s">
        <v>364</v>
      </c>
      <c r="Q96" s="15" t="s">
        <v>364</v>
      </c>
      <c r="R96" s="15" t="s">
        <v>364</v>
      </c>
      <c r="S96" s="15" t="s">
        <v>364</v>
      </c>
      <c r="T96" s="15" t="s">
        <v>364</v>
      </c>
      <c r="U96" s="17" t="s">
        <v>364</v>
      </c>
      <c r="V96" s="17" t="s">
        <v>364</v>
      </c>
      <c r="W96" s="17" t="s">
        <v>364</v>
      </c>
      <c r="X96" s="17">
        <v>-0.53020846652944931</v>
      </c>
      <c r="Y96" s="17" t="s">
        <v>364</v>
      </c>
      <c r="Z96" s="17">
        <v>-0.41783581597271002</v>
      </c>
      <c r="AA96" s="86"/>
      <c r="AB96" s="86"/>
    </row>
    <row r="97" spans="1:28" x14ac:dyDescent="0.25">
      <c r="A97" s="21" t="s">
        <v>207</v>
      </c>
      <c r="B97" s="21" t="s">
        <v>213</v>
      </c>
      <c r="C97" s="21" t="s">
        <v>239</v>
      </c>
      <c r="D97" s="15">
        <v>0</v>
      </c>
      <c r="E97" s="57" t="s">
        <v>364</v>
      </c>
      <c r="F97" s="15">
        <v>0</v>
      </c>
      <c r="G97" s="15">
        <v>0</v>
      </c>
      <c r="H97" s="57" t="s">
        <v>364</v>
      </c>
      <c r="I97" s="15">
        <v>0</v>
      </c>
      <c r="J97" s="15">
        <v>0</v>
      </c>
      <c r="K97" s="57" t="s">
        <v>364</v>
      </c>
      <c r="L97" s="15">
        <v>0</v>
      </c>
      <c r="M97" s="15" t="s">
        <v>364</v>
      </c>
      <c r="N97" s="15" t="s">
        <v>364</v>
      </c>
      <c r="O97" s="15" t="s">
        <v>364</v>
      </c>
      <c r="P97" s="15" t="s">
        <v>364</v>
      </c>
      <c r="Q97" s="15" t="s">
        <v>364</v>
      </c>
      <c r="R97" s="15" t="s">
        <v>364</v>
      </c>
      <c r="S97" s="15" t="s">
        <v>364</v>
      </c>
      <c r="T97" s="15" t="s">
        <v>364</v>
      </c>
      <c r="U97" s="17" t="s">
        <v>364</v>
      </c>
      <c r="V97" s="17" t="s">
        <v>364</v>
      </c>
      <c r="W97" s="17" t="s">
        <v>364</v>
      </c>
      <c r="X97" s="17" t="s">
        <v>364</v>
      </c>
      <c r="Y97" s="17" t="s">
        <v>364</v>
      </c>
      <c r="Z97" s="17" t="s">
        <v>364</v>
      </c>
      <c r="AA97" s="86"/>
      <c r="AB97" s="86"/>
    </row>
    <row r="98" spans="1:28" x14ac:dyDescent="0.25">
      <c r="A98" s="21" t="s">
        <v>207</v>
      </c>
      <c r="B98" s="21" t="s">
        <v>213</v>
      </c>
      <c r="C98" s="21" t="s">
        <v>59</v>
      </c>
      <c r="D98" s="15">
        <v>0</v>
      </c>
      <c r="E98" s="57" t="s">
        <v>364</v>
      </c>
      <c r="F98" s="15">
        <v>0</v>
      </c>
      <c r="G98" s="15">
        <v>0</v>
      </c>
      <c r="H98" s="57" t="s">
        <v>364</v>
      </c>
      <c r="I98" s="15">
        <v>0</v>
      </c>
      <c r="J98" s="15">
        <v>0</v>
      </c>
      <c r="K98" s="57" t="s">
        <v>364</v>
      </c>
      <c r="L98" s="15">
        <v>0</v>
      </c>
      <c r="M98" s="15" t="s">
        <v>364</v>
      </c>
      <c r="N98" s="15" t="s">
        <v>364</v>
      </c>
      <c r="O98" s="15" t="s">
        <v>364</v>
      </c>
      <c r="P98" s="15" t="s">
        <v>364</v>
      </c>
      <c r="Q98" s="15" t="s">
        <v>364</v>
      </c>
      <c r="R98" s="15" t="s">
        <v>364</v>
      </c>
      <c r="S98" s="15" t="s">
        <v>364</v>
      </c>
      <c r="T98" s="15" t="s">
        <v>364</v>
      </c>
      <c r="U98" s="17" t="s">
        <v>364</v>
      </c>
      <c r="V98" s="17" t="s">
        <v>364</v>
      </c>
      <c r="W98" s="17" t="s">
        <v>364</v>
      </c>
      <c r="X98" s="17" t="s">
        <v>364</v>
      </c>
      <c r="Y98" s="17" t="s">
        <v>364</v>
      </c>
      <c r="Z98" s="17" t="s">
        <v>364</v>
      </c>
      <c r="AA98" s="86"/>
      <c r="AB98" s="86"/>
    </row>
    <row r="99" spans="1:28" x14ac:dyDescent="0.25">
      <c r="A99" s="21" t="s">
        <v>207</v>
      </c>
      <c r="B99" s="21" t="s">
        <v>210</v>
      </c>
      <c r="C99" s="21" t="s">
        <v>235</v>
      </c>
      <c r="D99" s="15">
        <v>0</v>
      </c>
      <c r="E99" s="57" t="s">
        <v>364</v>
      </c>
      <c r="F99" s="15">
        <v>0</v>
      </c>
      <c r="G99" s="15">
        <v>0</v>
      </c>
      <c r="H99" s="57" t="s">
        <v>364</v>
      </c>
      <c r="I99" s="15">
        <v>0</v>
      </c>
      <c r="J99" s="15">
        <v>0</v>
      </c>
      <c r="K99" s="57" t="s">
        <v>364</v>
      </c>
      <c r="L99" s="15">
        <v>0</v>
      </c>
      <c r="M99" s="15" t="s">
        <v>364</v>
      </c>
      <c r="N99" s="15" t="s">
        <v>364</v>
      </c>
      <c r="O99" s="15" t="s">
        <v>364</v>
      </c>
      <c r="P99" s="15" t="s">
        <v>364</v>
      </c>
      <c r="Q99" s="15" t="s">
        <v>364</v>
      </c>
      <c r="R99" s="15" t="s">
        <v>364</v>
      </c>
      <c r="S99" s="15" t="s">
        <v>364</v>
      </c>
      <c r="T99" s="15" t="s">
        <v>364</v>
      </c>
      <c r="U99" s="17" t="s">
        <v>364</v>
      </c>
      <c r="V99" s="17" t="s">
        <v>364</v>
      </c>
      <c r="W99" s="17" t="s">
        <v>364</v>
      </c>
      <c r="X99" s="17" t="s">
        <v>364</v>
      </c>
      <c r="Y99" s="17" t="s">
        <v>364</v>
      </c>
      <c r="Z99" s="17" t="s">
        <v>364</v>
      </c>
      <c r="AA99" s="86"/>
      <c r="AB99" s="86"/>
    </row>
    <row r="100" spans="1:28" x14ac:dyDescent="0.25">
      <c r="A100" s="21" t="s">
        <v>207</v>
      </c>
      <c r="B100" s="21" t="s">
        <v>209</v>
      </c>
      <c r="C100" s="21" t="s">
        <v>233</v>
      </c>
      <c r="D100" s="15">
        <v>0</v>
      </c>
      <c r="E100" s="57" t="s">
        <v>364</v>
      </c>
      <c r="F100" s="15">
        <v>0</v>
      </c>
      <c r="G100" s="15">
        <v>0</v>
      </c>
      <c r="H100" s="57" t="s">
        <v>364</v>
      </c>
      <c r="I100" s="15">
        <v>0</v>
      </c>
      <c r="J100" s="15">
        <v>20</v>
      </c>
      <c r="K100" s="57">
        <v>311.50150000000002</v>
      </c>
      <c r="L100" s="15">
        <v>6230.0300000000007</v>
      </c>
      <c r="M100" s="15" t="s">
        <v>364</v>
      </c>
      <c r="N100" s="15" t="s">
        <v>364</v>
      </c>
      <c r="O100" s="15" t="s">
        <v>364</v>
      </c>
      <c r="P100" s="15" t="s">
        <v>364</v>
      </c>
      <c r="Q100" s="15" t="s">
        <v>364</v>
      </c>
      <c r="R100" s="15" t="s">
        <v>364</v>
      </c>
      <c r="S100" s="15" t="s">
        <v>364</v>
      </c>
      <c r="T100" s="15" t="s">
        <v>364</v>
      </c>
      <c r="U100" s="17" t="s">
        <v>364</v>
      </c>
      <c r="V100" s="17" t="s">
        <v>364</v>
      </c>
      <c r="W100" s="17" t="s">
        <v>364</v>
      </c>
      <c r="X100" s="17" t="s">
        <v>364</v>
      </c>
      <c r="Y100" s="17" t="s">
        <v>364</v>
      </c>
      <c r="Z100" s="17" t="s">
        <v>364</v>
      </c>
      <c r="AA100" s="86"/>
      <c r="AB100" s="86"/>
    </row>
    <row r="101" spans="1:28" x14ac:dyDescent="0.25">
      <c r="A101" s="21" t="s">
        <v>208</v>
      </c>
      <c r="B101" s="21" t="s">
        <v>209</v>
      </c>
      <c r="C101" s="21" t="s">
        <v>234</v>
      </c>
      <c r="D101" s="15">
        <v>0</v>
      </c>
      <c r="E101" s="57" t="s">
        <v>364</v>
      </c>
      <c r="F101" s="15">
        <v>0</v>
      </c>
      <c r="G101" s="15">
        <v>0</v>
      </c>
      <c r="H101" s="57" t="s">
        <v>364</v>
      </c>
      <c r="I101" s="15">
        <v>0</v>
      </c>
      <c r="J101" s="15">
        <v>0</v>
      </c>
      <c r="K101" s="57" t="s">
        <v>364</v>
      </c>
      <c r="L101" s="15">
        <v>0</v>
      </c>
      <c r="M101" s="15" t="s">
        <v>364</v>
      </c>
      <c r="N101" s="15" t="s">
        <v>364</v>
      </c>
      <c r="O101" s="15" t="s">
        <v>364</v>
      </c>
      <c r="P101" s="15" t="s">
        <v>364</v>
      </c>
      <c r="Q101" s="15" t="s">
        <v>364</v>
      </c>
      <c r="R101" s="15" t="s">
        <v>364</v>
      </c>
      <c r="S101" s="15" t="s">
        <v>364</v>
      </c>
      <c r="T101" s="15" t="s">
        <v>364</v>
      </c>
      <c r="U101" s="17" t="s">
        <v>364</v>
      </c>
      <c r="V101" s="17" t="s">
        <v>364</v>
      </c>
      <c r="W101" s="17" t="s">
        <v>364</v>
      </c>
      <c r="X101" s="17" t="s">
        <v>364</v>
      </c>
      <c r="Y101" s="17" t="s">
        <v>364</v>
      </c>
      <c r="Z101" s="17" t="s">
        <v>364</v>
      </c>
    </row>
    <row r="102" spans="1:28" x14ac:dyDescent="0.25">
      <c r="A102" s="21" t="s">
        <v>208</v>
      </c>
      <c r="B102" s="21" t="s">
        <v>44</v>
      </c>
      <c r="C102" s="21" t="s">
        <v>238</v>
      </c>
      <c r="D102" s="15">
        <v>0</v>
      </c>
      <c r="E102" s="57" t="s">
        <v>364</v>
      </c>
      <c r="F102" s="15">
        <v>0</v>
      </c>
      <c r="G102" s="15">
        <v>0</v>
      </c>
      <c r="H102" s="57" t="s">
        <v>364</v>
      </c>
      <c r="I102" s="15">
        <v>0</v>
      </c>
      <c r="J102" s="15">
        <v>0</v>
      </c>
      <c r="K102" s="57" t="s">
        <v>364</v>
      </c>
      <c r="L102" s="15">
        <v>0</v>
      </c>
      <c r="M102" s="15" t="s">
        <v>364</v>
      </c>
      <c r="N102" s="15" t="s">
        <v>364</v>
      </c>
      <c r="O102" s="15" t="s">
        <v>364</v>
      </c>
      <c r="P102" s="15" t="s">
        <v>364</v>
      </c>
      <c r="Q102" s="15" t="s">
        <v>364</v>
      </c>
      <c r="R102" s="15" t="s">
        <v>364</v>
      </c>
      <c r="S102" s="15" t="s">
        <v>364</v>
      </c>
      <c r="T102" s="15" t="s">
        <v>364</v>
      </c>
      <c r="U102" s="17" t="s">
        <v>364</v>
      </c>
      <c r="V102" s="17" t="s">
        <v>364</v>
      </c>
      <c r="W102" s="17" t="s">
        <v>364</v>
      </c>
      <c r="X102" s="17" t="s">
        <v>364</v>
      </c>
      <c r="Y102" s="17" t="s">
        <v>364</v>
      </c>
      <c r="Z102" s="17" t="s">
        <v>364</v>
      </c>
    </row>
    <row r="103" spans="1:28" x14ac:dyDescent="0.25">
      <c r="A103" s="21" t="s">
        <v>207</v>
      </c>
      <c r="B103" s="21" t="s">
        <v>213</v>
      </c>
      <c r="C103" s="21" t="s">
        <v>232</v>
      </c>
      <c r="D103" s="15">
        <v>0</v>
      </c>
      <c r="E103" s="57" t="s">
        <v>364</v>
      </c>
      <c r="F103" s="15">
        <v>0</v>
      </c>
      <c r="G103" s="15">
        <v>0</v>
      </c>
      <c r="H103" s="57" t="s">
        <v>364</v>
      </c>
      <c r="I103" s="15">
        <v>0</v>
      </c>
      <c r="J103" s="15">
        <v>0</v>
      </c>
      <c r="K103" s="57" t="s">
        <v>364</v>
      </c>
      <c r="L103" s="15">
        <v>0</v>
      </c>
      <c r="M103" s="15" t="s">
        <v>364</v>
      </c>
      <c r="N103" s="15" t="s">
        <v>364</v>
      </c>
      <c r="O103" s="15" t="s">
        <v>364</v>
      </c>
      <c r="P103" s="15" t="s">
        <v>364</v>
      </c>
      <c r="Q103" s="15" t="s">
        <v>364</v>
      </c>
      <c r="R103" s="15" t="s">
        <v>364</v>
      </c>
      <c r="S103" s="15" t="s">
        <v>364</v>
      </c>
      <c r="T103" s="15" t="s">
        <v>364</v>
      </c>
      <c r="U103" s="17" t="s">
        <v>364</v>
      </c>
      <c r="V103" s="17" t="s">
        <v>364</v>
      </c>
      <c r="W103" s="17" t="s">
        <v>364</v>
      </c>
      <c r="X103" s="17" t="s">
        <v>364</v>
      </c>
      <c r="Y103" s="17" t="s">
        <v>364</v>
      </c>
      <c r="Z103" s="17" t="s">
        <v>364</v>
      </c>
    </row>
    <row r="104" spans="1:28" x14ac:dyDescent="0.25">
      <c r="A104" s="21" t="s">
        <v>207</v>
      </c>
      <c r="B104" s="21" t="s">
        <v>39</v>
      </c>
      <c r="C104" s="21" t="s">
        <v>243</v>
      </c>
      <c r="D104" s="15">
        <v>0.52173913043478259</v>
      </c>
      <c r="E104" s="57">
        <v>126.46666666666667</v>
      </c>
      <c r="F104" s="15">
        <v>65.982608695652175</v>
      </c>
      <c r="G104" s="15">
        <v>1.5185185185185184</v>
      </c>
      <c r="H104" s="57">
        <v>193.3853658536585</v>
      </c>
      <c r="I104" s="15">
        <v>293.65925925925916</v>
      </c>
      <c r="J104" s="15">
        <v>0</v>
      </c>
      <c r="K104" s="57" t="s">
        <v>364</v>
      </c>
      <c r="L104" s="15">
        <v>0</v>
      </c>
      <c r="M104" s="15" t="s">
        <v>364</v>
      </c>
      <c r="N104" s="15" t="s">
        <v>364</v>
      </c>
      <c r="O104" s="15" t="s">
        <v>364</v>
      </c>
      <c r="P104" s="15" t="s">
        <v>364</v>
      </c>
      <c r="Q104" s="15" t="s">
        <v>364</v>
      </c>
      <c r="R104" s="15" t="s">
        <v>364</v>
      </c>
      <c r="S104" s="15" t="s">
        <v>364</v>
      </c>
      <c r="T104" s="15" t="s">
        <v>364</v>
      </c>
      <c r="U104" s="17" t="s">
        <v>364</v>
      </c>
      <c r="V104" s="17" t="s">
        <v>364</v>
      </c>
      <c r="W104" s="17">
        <v>-1</v>
      </c>
      <c r="X104" s="17">
        <v>-1</v>
      </c>
      <c r="Y104" s="17">
        <v>-1</v>
      </c>
      <c r="Z104" s="17">
        <v>-1</v>
      </c>
    </row>
    <row r="105" spans="1:28" x14ac:dyDescent="0.25">
      <c r="A105" s="21" t="s">
        <v>208</v>
      </c>
      <c r="B105" s="21" t="s">
        <v>222</v>
      </c>
      <c r="C105" s="21" t="s">
        <v>247</v>
      </c>
      <c r="D105" s="15">
        <v>0</v>
      </c>
      <c r="E105" s="57" t="s">
        <v>364</v>
      </c>
      <c r="F105" s="15">
        <v>0</v>
      </c>
      <c r="G105" s="15">
        <v>0</v>
      </c>
      <c r="H105" s="57" t="s">
        <v>364</v>
      </c>
      <c r="I105" s="15">
        <v>0</v>
      </c>
      <c r="J105" s="15">
        <v>3</v>
      </c>
      <c r="K105" s="57">
        <v>0</v>
      </c>
      <c r="L105" s="15">
        <v>0</v>
      </c>
      <c r="M105" s="15" t="s">
        <v>364</v>
      </c>
      <c r="N105" s="15" t="s">
        <v>364</v>
      </c>
      <c r="O105" s="15" t="s">
        <v>364</v>
      </c>
      <c r="P105" s="15" t="s">
        <v>364</v>
      </c>
      <c r="Q105" s="15" t="s">
        <v>364</v>
      </c>
      <c r="R105" s="15" t="s">
        <v>364</v>
      </c>
      <c r="S105" s="15" t="s">
        <v>364</v>
      </c>
      <c r="T105" s="15" t="s">
        <v>364</v>
      </c>
      <c r="U105" s="17" t="s">
        <v>364</v>
      </c>
      <c r="V105" s="17" t="s">
        <v>364</v>
      </c>
      <c r="W105" s="17" t="s">
        <v>364</v>
      </c>
      <c r="X105" s="17" t="s">
        <v>364</v>
      </c>
      <c r="Y105" s="17" t="s">
        <v>364</v>
      </c>
      <c r="Z105" s="17" t="s">
        <v>364</v>
      </c>
    </row>
    <row r="106" spans="1:28" x14ac:dyDescent="0.25">
      <c r="A106" s="21" t="s">
        <v>208</v>
      </c>
      <c r="B106" s="21" t="s">
        <v>210</v>
      </c>
      <c r="C106" s="21" t="s">
        <v>225</v>
      </c>
      <c r="D106" s="15">
        <v>0</v>
      </c>
      <c r="E106" s="57" t="s">
        <v>364</v>
      </c>
      <c r="F106" s="15">
        <v>0</v>
      </c>
      <c r="G106" s="15">
        <v>0</v>
      </c>
      <c r="H106" s="57" t="s">
        <v>364</v>
      </c>
      <c r="I106" s="15">
        <v>0</v>
      </c>
      <c r="J106" s="15">
        <v>2</v>
      </c>
      <c r="K106" s="57">
        <v>149</v>
      </c>
      <c r="L106" s="15">
        <v>298</v>
      </c>
      <c r="M106" s="15" t="s">
        <v>364</v>
      </c>
      <c r="N106" s="15" t="s">
        <v>364</v>
      </c>
      <c r="O106" s="15" t="s">
        <v>364</v>
      </c>
      <c r="P106" s="15" t="s">
        <v>364</v>
      </c>
      <c r="Q106" s="15" t="s">
        <v>364</v>
      </c>
      <c r="R106" s="15" t="s">
        <v>364</v>
      </c>
      <c r="S106" s="15" t="s">
        <v>364</v>
      </c>
      <c r="T106" s="15" t="s">
        <v>364</v>
      </c>
      <c r="U106" s="17" t="s">
        <v>364</v>
      </c>
      <c r="V106" s="17" t="s">
        <v>364</v>
      </c>
      <c r="W106" s="17" t="s">
        <v>364</v>
      </c>
      <c r="X106" s="17" t="s">
        <v>364</v>
      </c>
      <c r="Y106" s="17" t="s">
        <v>364</v>
      </c>
      <c r="Z106" s="17" t="s">
        <v>364</v>
      </c>
    </row>
    <row r="107" spans="1:28" x14ac:dyDescent="0.25">
      <c r="A107" s="21" t="s">
        <v>207</v>
      </c>
      <c r="B107" s="21" t="s">
        <v>221</v>
      </c>
      <c r="C107" s="21" t="s">
        <v>250</v>
      </c>
      <c r="D107" s="15">
        <v>0</v>
      </c>
      <c r="E107" s="57" t="s">
        <v>364</v>
      </c>
      <c r="F107" s="15">
        <v>0</v>
      </c>
      <c r="G107" s="15">
        <v>0</v>
      </c>
      <c r="H107" s="57" t="s">
        <v>364</v>
      </c>
      <c r="I107" s="15">
        <v>0</v>
      </c>
      <c r="J107" s="15">
        <v>2</v>
      </c>
      <c r="K107" s="57">
        <v>201.25</v>
      </c>
      <c r="L107" s="15">
        <v>402.5</v>
      </c>
      <c r="M107" s="15" t="s">
        <v>364</v>
      </c>
      <c r="N107" s="15" t="s">
        <v>364</v>
      </c>
      <c r="O107" s="15" t="s">
        <v>364</v>
      </c>
      <c r="P107" s="15" t="s">
        <v>364</v>
      </c>
      <c r="Q107" s="15" t="s">
        <v>364</v>
      </c>
      <c r="R107" s="15" t="s">
        <v>364</v>
      </c>
      <c r="S107" s="15" t="s">
        <v>364</v>
      </c>
      <c r="T107" s="15" t="s">
        <v>364</v>
      </c>
      <c r="U107" s="17" t="s">
        <v>364</v>
      </c>
      <c r="V107" s="17" t="s">
        <v>364</v>
      </c>
      <c r="W107" s="17" t="s">
        <v>364</v>
      </c>
      <c r="X107" s="17" t="s">
        <v>364</v>
      </c>
      <c r="Y107" s="17" t="s">
        <v>364</v>
      </c>
      <c r="Z107" s="17" t="s">
        <v>364</v>
      </c>
    </row>
    <row r="108" spans="1:28" x14ac:dyDescent="0.25">
      <c r="A108" s="21" t="s">
        <v>207</v>
      </c>
      <c r="B108" s="21" t="s">
        <v>154</v>
      </c>
      <c r="C108" s="21" t="s">
        <v>263</v>
      </c>
      <c r="D108" s="15">
        <v>0</v>
      </c>
      <c r="E108" s="57" t="s">
        <v>364</v>
      </c>
      <c r="F108" s="15">
        <v>0</v>
      </c>
      <c r="G108" s="15">
        <v>0</v>
      </c>
      <c r="H108" s="57" t="s">
        <v>364</v>
      </c>
      <c r="I108" s="15">
        <v>0</v>
      </c>
      <c r="J108" s="15">
        <v>0</v>
      </c>
      <c r="K108" s="57" t="s">
        <v>364</v>
      </c>
      <c r="L108" s="15">
        <v>0</v>
      </c>
      <c r="M108" s="15" t="s">
        <v>364</v>
      </c>
      <c r="N108" s="15" t="s">
        <v>364</v>
      </c>
      <c r="O108" s="15" t="s">
        <v>364</v>
      </c>
      <c r="P108" s="15" t="s">
        <v>364</v>
      </c>
      <c r="Q108" s="15" t="s">
        <v>364</v>
      </c>
      <c r="R108" s="15" t="s">
        <v>364</v>
      </c>
      <c r="S108" s="15" t="s">
        <v>364</v>
      </c>
      <c r="T108" s="15" t="s">
        <v>364</v>
      </c>
      <c r="U108" s="17" t="s">
        <v>364</v>
      </c>
      <c r="V108" s="17" t="s">
        <v>364</v>
      </c>
      <c r="W108" s="17" t="s">
        <v>364</v>
      </c>
      <c r="X108" s="17" t="s">
        <v>364</v>
      </c>
      <c r="Y108" s="17" t="s">
        <v>364</v>
      </c>
      <c r="Z108" s="17" t="s">
        <v>364</v>
      </c>
    </row>
    <row r="109" spans="1:28" x14ac:dyDescent="0.25">
      <c r="A109" s="21" t="s">
        <v>207</v>
      </c>
      <c r="B109" s="21" t="s">
        <v>47</v>
      </c>
      <c r="C109" s="21" t="s">
        <v>270</v>
      </c>
      <c r="D109" s="15">
        <v>0</v>
      </c>
      <c r="E109" s="57" t="s">
        <v>364</v>
      </c>
      <c r="F109" s="15">
        <v>0</v>
      </c>
      <c r="G109" s="15">
        <v>0</v>
      </c>
      <c r="H109" s="57" t="s">
        <v>364</v>
      </c>
      <c r="I109" s="15">
        <v>0</v>
      </c>
      <c r="J109" s="15">
        <v>0</v>
      </c>
      <c r="K109" s="57" t="s">
        <v>364</v>
      </c>
      <c r="L109" s="15">
        <v>0</v>
      </c>
      <c r="M109" s="15" t="s">
        <v>364</v>
      </c>
      <c r="N109" s="15" t="s">
        <v>364</v>
      </c>
      <c r="O109" s="15" t="s">
        <v>364</v>
      </c>
      <c r="P109" s="15" t="s">
        <v>364</v>
      </c>
      <c r="Q109" s="15" t="s">
        <v>364</v>
      </c>
      <c r="R109" s="15" t="s">
        <v>364</v>
      </c>
      <c r="S109" s="15" t="s">
        <v>364</v>
      </c>
      <c r="T109" s="15" t="s">
        <v>364</v>
      </c>
      <c r="U109" s="17" t="s">
        <v>364</v>
      </c>
      <c r="V109" s="17" t="s">
        <v>364</v>
      </c>
      <c r="W109" s="17" t="s">
        <v>364</v>
      </c>
      <c r="X109" s="17" t="s">
        <v>364</v>
      </c>
      <c r="Y109" s="17" t="s">
        <v>364</v>
      </c>
      <c r="Z109" s="17" t="s">
        <v>364</v>
      </c>
    </row>
    <row r="110" spans="1:28" x14ac:dyDescent="0.25">
      <c r="A110" s="21" t="s">
        <v>207</v>
      </c>
      <c r="B110" s="21" t="s">
        <v>47</v>
      </c>
      <c r="C110" s="21" t="s">
        <v>105</v>
      </c>
      <c r="D110" s="15">
        <v>0</v>
      </c>
      <c r="E110" s="57" t="s">
        <v>364</v>
      </c>
      <c r="F110" s="15">
        <v>0</v>
      </c>
      <c r="G110" s="15">
        <v>0</v>
      </c>
      <c r="H110" s="57" t="s">
        <v>364</v>
      </c>
      <c r="I110" s="15">
        <v>0</v>
      </c>
      <c r="J110" s="15">
        <v>5</v>
      </c>
      <c r="K110" s="57">
        <v>131.6</v>
      </c>
      <c r="L110" s="15">
        <v>658</v>
      </c>
      <c r="M110" s="15" t="s">
        <v>364</v>
      </c>
      <c r="N110" s="15" t="s">
        <v>364</v>
      </c>
      <c r="O110" s="15" t="s">
        <v>364</v>
      </c>
      <c r="P110" s="15" t="s">
        <v>364</v>
      </c>
      <c r="Q110" s="15" t="s">
        <v>364</v>
      </c>
      <c r="R110" s="15" t="s">
        <v>364</v>
      </c>
      <c r="S110" s="15" t="s">
        <v>364</v>
      </c>
      <c r="T110" s="15" t="s">
        <v>364</v>
      </c>
      <c r="U110" s="17" t="s">
        <v>364</v>
      </c>
      <c r="V110" s="17" t="s">
        <v>364</v>
      </c>
      <c r="W110" s="17" t="s">
        <v>364</v>
      </c>
      <c r="X110" s="17" t="s">
        <v>364</v>
      </c>
      <c r="Y110" s="17" t="s">
        <v>364</v>
      </c>
      <c r="Z110" s="17" t="s">
        <v>364</v>
      </c>
    </row>
    <row r="111" spans="1:28" x14ac:dyDescent="0.25">
      <c r="A111" s="21" t="s">
        <v>208</v>
      </c>
      <c r="B111" s="21" t="s">
        <v>45</v>
      </c>
      <c r="C111" s="21" t="s">
        <v>718</v>
      </c>
      <c r="D111" s="15">
        <v>0</v>
      </c>
      <c r="E111" s="57" t="s">
        <v>364</v>
      </c>
      <c r="F111" s="15">
        <v>0</v>
      </c>
      <c r="G111" s="15">
        <v>0</v>
      </c>
      <c r="H111" s="57" t="s">
        <v>364</v>
      </c>
      <c r="I111" s="15">
        <v>0</v>
      </c>
      <c r="J111" s="15">
        <v>0</v>
      </c>
      <c r="K111" s="57" t="s">
        <v>364</v>
      </c>
      <c r="L111" s="15">
        <v>0</v>
      </c>
      <c r="M111" s="15" t="s">
        <v>364</v>
      </c>
      <c r="N111" s="15" t="s">
        <v>364</v>
      </c>
      <c r="O111" s="15" t="s">
        <v>364</v>
      </c>
      <c r="P111" s="15" t="s">
        <v>364</v>
      </c>
      <c r="Q111" s="15" t="s">
        <v>364</v>
      </c>
      <c r="R111" s="15" t="s">
        <v>364</v>
      </c>
      <c r="S111" s="15" t="s">
        <v>364</v>
      </c>
      <c r="T111" s="15" t="s">
        <v>364</v>
      </c>
      <c r="U111" s="17" t="s">
        <v>364</v>
      </c>
      <c r="V111" s="17" t="s">
        <v>364</v>
      </c>
      <c r="W111" s="17" t="s">
        <v>364</v>
      </c>
      <c r="X111" s="17" t="s">
        <v>364</v>
      </c>
      <c r="Y111" s="17" t="s">
        <v>364</v>
      </c>
      <c r="Z111" s="17" t="s">
        <v>364</v>
      </c>
    </row>
    <row r="112" spans="1:28" x14ac:dyDescent="0.25">
      <c r="A112" s="21" t="s">
        <v>208</v>
      </c>
      <c r="B112" s="21" t="s">
        <v>210</v>
      </c>
      <c r="C112" s="21" t="s">
        <v>342</v>
      </c>
      <c r="D112" s="15">
        <v>0</v>
      </c>
      <c r="E112" s="57" t="s">
        <v>364</v>
      </c>
      <c r="F112" s="15">
        <v>0</v>
      </c>
      <c r="G112" s="15">
        <v>0</v>
      </c>
      <c r="H112" s="57" t="s">
        <v>364</v>
      </c>
      <c r="I112" s="15">
        <v>0</v>
      </c>
      <c r="J112" s="15">
        <v>0</v>
      </c>
      <c r="K112" s="57" t="s">
        <v>364</v>
      </c>
      <c r="L112" s="15">
        <v>0</v>
      </c>
      <c r="M112" s="15" t="s">
        <v>364</v>
      </c>
      <c r="N112" s="15" t="s">
        <v>364</v>
      </c>
      <c r="O112" s="15" t="s">
        <v>364</v>
      </c>
      <c r="P112" s="15" t="s">
        <v>364</v>
      </c>
      <c r="Q112" s="15" t="s">
        <v>364</v>
      </c>
      <c r="R112" s="15" t="s">
        <v>364</v>
      </c>
      <c r="S112" s="15" t="s">
        <v>364</v>
      </c>
      <c r="T112" s="15" t="s">
        <v>364</v>
      </c>
      <c r="U112" s="17" t="s">
        <v>364</v>
      </c>
      <c r="V112" s="17" t="s">
        <v>364</v>
      </c>
      <c r="W112" s="17" t="s">
        <v>364</v>
      </c>
      <c r="X112" s="17" t="s">
        <v>364</v>
      </c>
      <c r="Y112" s="17" t="s">
        <v>364</v>
      </c>
      <c r="Z112" s="17" t="s">
        <v>364</v>
      </c>
    </row>
    <row r="113" spans="1:26" x14ac:dyDescent="0.25">
      <c r="A113" s="21" t="s">
        <v>208</v>
      </c>
      <c r="B113" s="21" t="s">
        <v>41</v>
      </c>
      <c r="C113" s="21" t="s">
        <v>726</v>
      </c>
      <c r="D113" s="15">
        <v>0</v>
      </c>
      <c r="E113" s="57" t="s">
        <v>364</v>
      </c>
      <c r="F113" s="15">
        <v>0</v>
      </c>
      <c r="G113" s="15">
        <v>0</v>
      </c>
      <c r="H113" s="57" t="s">
        <v>364</v>
      </c>
      <c r="I113" s="15">
        <v>0</v>
      </c>
      <c r="J113" s="15">
        <v>1</v>
      </c>
      <c r="K113" s="57">
        <v>0</v>
      </c>
      <c r="L113" s="15">
        <v>0</v>
      </c>
      <c r="M113" s="15" t="s">
        <v>364</v>
      </c>
      <c r="N113" s="15" t="s">
        <v>364</v>
      </c>
      <c r="O113" s="15" t="s">
        <v>364</v>
      </c>
      <c r="P113" s="15" t="s">
        <v>364</v>
      </c>
      <c r="Q113" s="15" t="s">
        <v>364</v>
      </c>
      <c r="R113" s="15" t="s">
        <v>364</v>
      </c>
      <c r="S113" s="15" t="s">
        <v>364</v>
      </c>
      <c r="T113" s="15" t="s">
        <v>364</v>
      </c>
      <c r="U113" s="17" t="s">
        <v>364</v>
      </c>
      <c r="V113" s="17" t="s">
        <v>364</v>
      </c>
      <c r="W113" s="17" t="s">
        <v>364</v>
      </c>
      <c r="X113" s="17" t="s">
        <v>364</v>
      </c>
      <c r="Y113" s="17" t="s">
        <v>364</v>
      </c>
      <c r="Z113" s="17" t="s">
        <v>364</v>
      </c>
    </row>
  </sheetData>
  <mergeCells count="51">
    <mergeCell ref="W50:X50"/>
    <mergeCell ref="Y50:Z50"/>
    <mergeCell ref="D50:F50"/>
    <mergeCell ref="G50:I50"/>
    <mergeCell ref="J50:L50"/>
    <mergeCell ref="M50:O50"/>
    <mergeCell ref="P50:T50"/>
    <mergeCell ref="U50:V50"/>
    <mergeCell ref="AA16:AB16"/>
    <mergeCell ref="AC16:AD16"/>
    <mergeCell ref="AE16:AF16"/>
    <mergeCell ref="D49:F49"/>
    <mergeCell ref="G49:I49"/>
    <mergeCell ref="J49:L49"/>
    <mergeCell ref="M49:O49"/>
    <mergeCell ref="P49:T49"/>
    <mergeCell ref="S16:U16"/>
    <mergeCell ref="V16:Z16"/>
    <mergeCell ref="D16:F16"/>
    <mergeCell ref="G16:I16"/>
    <mergeCell ref="J16:L16"/>
    <mergeCell ref="M16:O16"/>
    <mergeCell ref="P16:R16"/>
    <mergeCell ref="D15:F15"/>
    <mergeCell ref="G15:I15"/>
    <mergeCell ref="J15:L15"/>
    <mergeCell ref="M15:O15"/>
    <mergeCell ref="P15:R15"/>
    <mergeCell ref="AA8:AB8"/>
    <mergeCell ref="AC8:AD8"/>
    <mergeCell ref="AE8:AF8"/>
    <mergeCell ref="AG8:AH8"/>
    <mergeCell ref="S15:U15"/>
    <mergeCell ref="V15:Z15"/>
    <mergeCell ref="P7:R7"/>
    <mergeCell ref="S7:U7"/>
    <mergeCell ref="V7:Z7"/>
    <mergeCell ref="C8:C9"/>
    <mergeCell ref="D8:F8"/>
    <mergeCell ref="G8:I8"/>
    <mergeCell ref="J8:L8"/>
    <mergeCell ref="M8:O8"/>
    <mergeCell ref="P8:R8"/>
    <mergeCell ref="S8:U8"/>
    <mergeCell ref="M7:O7"/>
    <mergeCell ref="V8:Z8"/>
    <mergeCell ref="C1:C2"/>
    <mergeCell ref="D1:H2"/>
    <mergeCell ref="D7:F7"/>
    <mergeCell ref="G7:I7"/>
    <mergeCell ref="J7:L7"/>
  </mergeCells>
  <pageMargins left="0.7" right="0.7" top="0.75" bottom="0.75" header="0.3" footer="0.3"/>
  <pageSetup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026B8-72D8-4097-B40F-F5E4688DBD09}">
  <sheetPr codeName="Sheet8">
    <outlinePr summaryBelow="0"/>
  </sheetPr>
  <dimension ref="A1:AM58"/>
  <sheetViews>
    <sheetView showGridLines="0" zoomScale="90" zoomScaleNormal="90" workbookViewId="0"/>
  </sheetViews>
  <sheetFormatPr defaultRowHeight="15" x14ac:dyDescent="0.25"/>
  <cols>
    <col min="1" max="1" width="4.5703125" bestFit="1" customWidth="1"/>
    <col min="2" max="2" width="12.42578125" bestFit="1" customWidth="1"/>
    <col min="3" max="3" width="38.5703125" style="3" bestFit="1" customWidth="1"/>
    <col min="4" max="4" width="5.85546875" style="3" bestFit="1" customWidth="1"/>
    <col min="5" max="5" width="6.42578125" style="3" bestFit="1" customWidth="1"/>
    <col min="6" max="6" width="9.140625" style="3" bestFit="1" customWidth="1"/>
    <col min="7" max="7" width="5.85546875" style="3" bestFit="1" customWidth="1"/>
    <col min="8" max="8" width="6.42578125" style="3" bestFit="1" customWidth="1"/>
    <col min="9" max="9" width="9.140625" style="3" bestFit="1" customWidth="1"/>
    <col min="10" max="10" width="5.85546875" style="3" bestFit="1" customWidth="1"/>
    <col min="11" max="11" width="7.28515625" style="3" bestFit="1" customWidth="1"/>
    <col min="12" max="12" width="9.140625" style="3" bestFit="1" customWidth="1"/>
    <col min="13" max="13" width="8.85546875" style="3" bestFit="1" customWidth="1"/>
    <col min="14" max="14" width="9.7109375" style="3" bestFit="1" customWidth="1"/>
    <col min="15" max="15" width="9.140625" style="3" bestFit="1" customWidth="1"/>
    <col min="16" max="16" width="6.42578125" style="3" bestFit="1" customWidth="1"/>
    <col min="17" max="18" width="9.140625" style="3" bestFit="1" customWidth="1"/>
    <col min="19" max="19" width="11.28515625" style="3" bestFit="1" customWidth="1"/>
    <col min="20" max="20" width="12.5703125" style="3" bestFit="1" customWidth="1"/>
    <col min="21" max="21" width="18.140625" style="3" bestFit="1" customWidth="1"/>
    <col min="22" max="22" width="7.28515625" style="3" bestFit="1" customWidth="1"/>
    <col min="23" max="23" width="9.140625" style="3" bestFit="1" customWidth="1"/>
    <col min="24" max="24" width="8.28515625" style="3" bestFit="1" customWidth="1"/>
    <col min="25" max="25" width="12" style="3" bestFit="1" customWidth="1"/>
    <col min="26" max="26" width="13.42578125" style="3" bestFit="1" customWidth="1"/>
    <col min="27" max="27" width="12" style="3" bestFit="1" customWidth="1"/>
    <col min="28" max="28" width="13.42578125" style="3" bestFit="1" customWidth="1"/>
    <col min="29" max="29" width="7.5703125" bestFit="1" customWidth="1"/>
    <col min="30" max="30" width="7.85546875" bestFit="1" customWidth="1"/>
    <col min="31" max="31" width="7.5703125" bestFit="1" customWidth="1"/>
    <col min="32" max="32" width="7.85546875" bestFit="1" customWidth="1"/>
    <col min="33" max="33" width="7.5703125" bestFit="1" customWidth="1"/>
    <col min="34" max="34" width="7.85546875" bestFit="1" customWidth="1"/>
    <col min="35" max="35" width="4.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s>
  <sheetData>
    <row r="1" spans="3:39" ht="15" customHeight="1" x14ac:dyDescent="0.25">
      <c r="C1" s="112" t="s">
        <v>19</v>
      </c>
      <c r="D1" s="114">
        <v>44698</v>
      </c>
      <c r="E1" s="115"/>
      <c r="F1" s="115"/>
      <c r="G1" s="115"/>
      <c r="H1" s="115"/>
      <c r="I1" s="93"/>
      <c r="J1" s="93"/>
      <c r="K1" s="9">
        <v>0.47826086956521741</v>
      </c>
      <c r="L1" s="74"/>
      <c r="M1" s="74"/>
      <c r="AC1" s="3"/>
      <c r="AD1" s="3"/>
      <c r="AE1" s="3"/>
    </row>
    <row r="2" spans="3:39" ht="24.75" customHeight="1" x14ac:dyDescent="0.25">
      <c r="C2" s="113"/>
      <c r="D2" s="114"/>
      <c r="E2" s="115"/>
      <c r="F2" s="115"/>
      <c r="G2" s="115"/>
      <c r="H2" s="115"/>
      <c r="I2"/>
      <c r="J2"/>
      <c r="AC2" s="3"/>
      <c r="AD2" s="3"/>
      <c r="AE2" s="3"/>
    </row>
    <row r="3" spans="3:39" x14ac:dyDescent="0.25">
      <c r="C3"/>
      <c r="D3"/>
      <c r="E3"/>
      <c r="F3"/>
      <c r="G3"/>
      <c r="H3"/>
      <c r="I3"/>
      <c r="J3"/>
      <c r="K3"/>
      <c r="L3"/>
      <c r="M3"/>
      <c r="N3"/>
      <c r="O3"/>
      <c r="P3"/>
      <c r="Q3"/>
      <c r="R3"/>
      <c r="S3"/>
      <c r="T3"/>
      <c r="U3"/>
      <c r="V3"/>
      <c r="W3"/>
      <c r="X3"/>
      <c r="Y3"/>
      <c r="Z3"/>
      <c r="AA3"/>
      <c r="AB3"/>
    </row>
    <row r="4" spans="3:39" x14ac:dyDescent="0.25">
      <c r="C4"/>
      <c r="D4"/>
      <c r="E4"/>
      <c r="F4"/>
      <c r="G4"/>
      <c r="H4"/>
      <c r="I4"/>
      <c r="J4"/>
      <c r="K4"/>
      <c r="L4"/>
      <c r="M4"/>
      <c r="N4"/>
      <c r="O4"/>
      <c r="P4"/>
      <c r="Q4"/>
      <c r="R4"/>
      <c r="S4"/>
      <c r="T4"/>
      <c r="U4"/>
      <c r="V4"/>
      <c r="W4"/>
      <c r="X4"/>
      <c r="Y4"/>
      <c r="Z4"/>
      <c r="AA4"/>
      <c r="AB4"/>
    </row>
    <row r="5" spans="3:39" x14ac:dyDescent="0.25">
      <c r="C5"/>
      <c r="D5"/>
      <c r="E5"/>
      <c r="F5"/>
      <c r="G5"/>
      <c r="H5"/>
      <c r="I5"/>
      <c r="J5"/>
      <c r="K5"/>
      <c r="L5"/>
      <c r="M5"/>
      <c r="N5"/>
      <c r="O5"/>
      <c r="P5"/>
      <c r="Q5"/>
      <c r="R5"/>
      <c r="S5"/>
      <c r="T5"/>
      <c r="U5"/>
      <c r="V5"/>
      <c r="W5"/>
      <c r="X5"/>
      <c r="Y5"/>
      <c r="Z5"/>
      <c r="AA5"/>
      <c r="AB5"/>
    </row>
    <row r="6" spans="3:39" x14ac:dyDescent="0.25">
      <c r="C6" s="33"/>
      <c r="D6" s="34"/>
      <c r="E6" s="34"/>
      <c r="F6" s="34"/>
      <c r="G6" s="34"/>
      <c r="N6" s="35"/>
      <c r="AC6" s="3"/>
      <c r="AD6" s="3"/>
      <c r="AE6" s="3"/>
    </row>
    <row r="7" spans="3:39" x14ac:dyDescent="0.25">
      <c r="D7" s="118" t="s">
        <v>355</v>
      </c>
      <c r="E7" s="118"/>
      <c r="F7" s="118"/>
      <c r="G7" s="118" t="s">
        <v>356</v>
      </c>
      <c r="H7" s="118"/>
      <c r="I7" s="118"/>
      <c r="J7" s="119" t="s">
        <v>357</v>
      </c>
      <c r="K7" s="120"/>
      <c r="L7" s="120"/>
      <c r="M7" s="120"/>
      <c r="N7" s="121"/>
      <c r="O7" s="120" t="s">
        <v>358</v>
      </c>
      <c r="P7" s="120"/>
      <c r="Q7" s="120"/>
      <c r="R7" s="122" t="s">
        <v>1</v>
      </c>
      <c r="S7" s="123"/>
      <c r="T7" s="123"/>
      <c r="U7" s="122" t="s">
        <v>2</v>
      </c>
      <c r="V7" s="123"/>
      <c r="W7" s="123"/>
      <c r="X7" s="122" t="s">
        <v>3</v>
      </c>
      <c r="Y7" s="123"/>
      <c r="Z7" s="123"/>
      <c r="AA7" s="123"/>
      <c r="AB7" s="123"/>
      <c r="AC7" s="3"/>
      <c r="AD7" s="3"/>
    </row>
    <row r="8" spans="3:39" x14ac:dyDescent="0.25">
      <c r="C8" s="116" t="s">
        <v>4</v>
      </c>
      <c r="D8" s="124" t="s">
        <v>20</v>
      </c>
      <c r="E8" s="125"/>
      <c r="F8" s="126"/>
      <c r="G8" s="124" t="s">
        <v>5</v>
      </c>
      <c r="H8" s="125"/>
      <c r="I8" s="126"/>
      <c r="J8" s="124" t="s">
        <v>17</v>
      </c>
      <c r="K8" s="125"/>
      <c r="L8" s="125"/>
      <c r="M8" s="125"/>
      <c r="N8" s="126"/>
      <c r="O8" s="124" t="s">
        <v>17</v>
      </c>
      <c r="P8" s="125"/>
      <c r="Q8" s="125"/>
      <c r="R8" s="124" t="s">
        <v>17</v>
      </c>
      <c r="S8" s="125"/>
      <c r="T8" s="125"/>
      <c r="U8" s="124" t="s">
        <v>17</v>
      </c>
      <c r="V8" s="125"/>
      <c r="W8" s="125"/>
      <c r="X8" s="124" t="s">
        <v>17</v>
      </c>
      <c r="Y8" s="125"/>
      <c r="Z8" s="125"/>
      <c r="AA8" s="125"/>
      <c r="AB8" s="126"/>
      <c r="AC8" s="127" t="s">
        <v>6</v>
      </c>
      <c r="AD8" s="128"/>
      <c r="AE8" s="127" t="s">
        <v>7</v>
      </c>
      <c r="AF8" s="129"/>
      <c r="AG8" s="127" t="s">
        <v>8</v>
      </c>
      <c r="AH8" s="129"/>
    </row>
    <row r="9" spans="3:39" x14ac:dyDescent="0.25">
      <c r="C9" s="117"/>
      <c r="D9" s="4" t="s">
        <v>9</v>
      </c>
      <c r="E9" s="4" t="s">
        <v>10</v>
      </c>
      <c r="F9" s="4" t="s">
        <v>11</v>
      </c>
      <c r="G9" s="4" t="s">
        <v>9</v>
      </c>
      <c r="H9" s="4" t="s">
        <v>10</v>
      </c>
      <c r="I9" s="4" t="s">
        <v>11</v>
      </c>
      <c r="J9" s="4" t="s">
        <v>9</v>
      </c>
      <c r="K9" s="4" t="s">
        <v>10</v>
      </c>
      <c r="L9" s="4" t="s">
        <v>11</v>
      </c>
      <c r="M9" s="4" t="s">
        <v>12</v>
      </c>
      <c r="N9" s="4" t="s">
        <v>13</v>
      </c>
      <c r="O9" s="4" t="s">
        <v>9</v>
      </c>
      <c r="P9" s="4" t="s">
        <v>10</v>
      </c>
      <c r="Q9" s="4" t="s">
        <v>11</v>
      </c>
      <c r="R9" s="4" t="s">
        <v>9</v>
      </c>
      <c r="S9" s="4" t="s">
        <v>10</v>
      </c>
      <c r="T9" s="4" t="s">
        <v>11</v>
      </c>
      <c r="U9" s="4" t="s">
        <v>9</v>
      </c>
      <c r="V9" s="4" t="s">
        <v>10</v>
      </c>
      <c r="W9" s="4" t="s">
        <v>11</v>
      </c>
      <c r="X9" s="4" t="s">
        <v>9</v>
      </c>
      <c r="Y9" s="4" t="s">
        <v>10</v>
      </c>
      <c r="Z9" s="4" t="s">
        <v>11</v>
      </c>
      <c r="AA9" s="4" t="s">
        <v>14</v>
      </c>
      <c r="AB9" s="4" t="s">
        <v>15</v>
      </c>
      <c r="AC9" s="4" t="s">
        <v>16</v>
      </c>
      <c r="AD9" s="4" t="s">
        <v>11</v>
      </c>
      <c r="AE9" s="4" t="s">
        <v>16</v>
      </c>
      <c r="AF9" s="4" t="s">
        <v>11</v>
      </c>
      <c r="AG9" s="4" t="s">
        <v>16</v>
      </c>
      <c r="AH9" s="4" t="s">
        <v>11</v>
      </c>
    </row>
    <row r="10" spans="3:39" x14ac:dyDescent="0.25">
      <c r="C10" s="5" t="s">
        <v>19</v>
      </c>
      <c r="D10" s="6">
        <v>457.21739130434781</v>
      </c>
      <c r="E10" s="53">
        <v>1165.9415167364016</v>
      </c>
      <c r="F10" s="6">
        <v>533088.73869565211</v>
      </c>
      <c r="G10" s="6">
        <v>387.86956521739131</v>
      </c>
      <c r="H10" s="53">
        <v>1848.1043156596795</v>
      </c>
      <c r="I10" s="6">
        <v>716823.41739130439</v>
      </c>
      <c r="J10" s="6">
        <v>361</v>
      </c>
      <c r="K10" s="53">
        <v>1090.2321606648206</v>
      </c>
      <c r="L10" s="6">
        <v>393573.81000000029</v>
      </c>
      <c r="M10" s="7">
        <v>0.46802030456852795</v>
      </c>
      <c r="N10" s="7">
        <v>0.53197969543147205</v>
      </c>
      <c r="O10" s="6">
        <v>591.74716218616004</v>
      </c>
      <c r="P10" s="53">
        <v>1380.4027562667461</v>
      </c>
      <c r="Q10" s="6">
        <v>816849.41369480058</v>
      </c>
      <c r="R10" s="6">
        <v>754.81818181818176</v>
      </c>
      <c r="S10" s="6">
        <v>1090.2321606648209</v>
      </c>
      <c r="T10" s="6">
        <v>822927.05727272783</v>
      </c>
      <c r="U10" s="6">
        <v>1237.2895209346975</v>
      </c>
      <c r="V10" s="6">
        <v>1380.4027562667468</v>
      </c>
      <c r="W10" s="6">
        <v>1707957.8649982191</v>
      </c>
      <c r="X10" s="6">
        <v>-230.74716218616004</v>
      </c>
      <c r="Y10" s="6">
        <v>-290.17059560192547</v>
      </c>
      <c r="Z10" s="6">
        <v>-423275.60369480029</v>
      </c>
      <c r="AA10" s="6">
        <v>-104751.58501229509</v>
      </c>
      <c r="AB10" s="6">
        <v>-318524.01868250524</v>
      </c>
      <c r="AC10" s="8">
        <v>0.6100578474534899</v>
      </c>
      <c r="AD10" s="8">
        <v>0.4818192966801238</v>
      </c>
      <c r="AE10" s="8">
        <v>-0.21044123240775958</v>
      </c>
      <c r="AF10" s="8">
        <v>-0.26171051565826242</v>
      </c>
      <c r="AG10" s="8">
        <v>-6.9274744983746236E-2</v>
      </c>
      <c r="AH10" s="8">
        <v>-0.45094733172597573</v>
      </c>
    </row>
    <row r="11" spans="3:39" x14ac:dyDescent="0.25">
      <c r="C11" s="41"/>
      <c r="D11" s="42"/>
      <c r="E11" s="43"/>
      <c r="F11" s="42"/>
      <c r="G11" s="42"/>
      <c r="H11" s="43"/>
      <c r="I11" s="42"/>
      <c r="J11" s="42"/>
      <c r="K11" s="44"/>
      <c r="L11" s="42"/>
      <c r="M11" s="42"/>
      <c r="N11" s="43"/>
      <c r="O11" s="42"/>
      <c r="P11" s="42"/>
      <c r="Q11" s="42"/>
      <c r="R11" s="43"/>
      <c r="S11" s="42"/>
      <c r="T11" s="42"/>
      <c r="U11" s="42"/>
      <c r="V11" s="42"/>
      <c r="W11" s="45"/>
      <c r="X11" s="45"/>
      <c r="Y11" s="45"/>
      <c r="Z11" s="45"/>
      <c r="AA11" s="42"/>
      <c r="AB11" s="42"/>
      <c r="AC11" s="42"/>
      <c r="AD11" s="46"/>
      <c r="AE11" s="46"/>
      <c r="AF11" s="47"/>
      <c r="AG11" s="47"/>
      <c r="AH11" s="47"/>
      <c r="AI11" s="47"/>
      <c r="AJ11" s="47"/>
      <c r="AK11" s="47"/>
      <c r="AL11" s="47"/>
      <c r="AM11" s="47"/>
    </row>
    <row r="12" spans="3:39" x14ac:dyDescent="0.25">
      <c r="C12" s="41"/>
      <c r="D12" s="68"/>
      <c r="E12" s="69"/>
      <c r="F12" s="68"/>
      <c r="G12" s="68"/>
      <c r="H12" s="69"/>
      <c r="I12" s="68"/>
      <c r="J12" s="68"/>
      <c r="K12" s="68"/>
      <c r="L12" s="68"/>
      <c r="M12" s="68"/>
      <c r="N12" s="68"/>
      <c r="O12" s="68"/>
      <c r="P12" s="68"/>
      <c r="Q12" s="68"/>
      <c r="R12" s="69"/>
      <c r="S12" s="50"/>
      <c r="T12" s="50"/>
      <c r="U12" s="70"/>
      <c r="V12" s="68"/>
      <c r="W12" s="49"/>
      <c r="X12" s="49"/>
      <c r="Y12" s="50"/>
      <c r="Z12" s="50"/>
      <c r="AA12" s="50"/>
      <c r="AB12" s="50"/>
      <c r="AC12" s="50"/>
      <c r="AD12" s="50"/>
      <c r="AE12" s="50"/>
      <c r="AF12" s="50"/>
      <c r="AG12" s="50"/>
    </row>
    <row r="13" spans="3:39" x14ac:dyDescent="0.25">
      <c r="C13" s="9">
        <v>0.47826086956521741</v>
      </c>
      <c r="D13" s="118" t="s">
        <v>30</v>
      </c>
      <c r="E13" s="118"/>
      <c r="F13" s="118"/>
      <c r="G13" s="118" t="s">
        <v>31</v>
      </c>
      <c r="H13" s="118"/>
      <c r="I13" s="118"/>
      <c r="J13" s="119" t="s">
        <v>357</v>
      </c>
      <c r="K13" s="120"/>
      <c r="L13" s="120"/>
      <c r="M13" s="119" t="s">
        <v>358</v>
      </c>
      <c r="N13" s="120"/>
      <c r="O13" s="120"/>
      <c r="P13" s="119" t="s">
        <v>32</v>
      </c>
      <c r="Q13" s="120"/>
      <c r="R13" s="121"/>
      <c r="S13" s="119" t="s">
        <v>2</v>
      </c>
      <c r="T13" s="120"/>
      <c r="U13" s="121"/>
      <c r="V13" s="122" t="s">
        <v>3</v>
      </c>
      <c r="W13" s="123"/>
      <c r="X13" s="123"/>
      <c r="Y13" s="123"/>
      <c r="Z13" s="123"/>
    </row>
    <row r="14" spans="3:39" x14ac:dyDescent="0.25">
      <c r="D14" s="124" t="s">
        <v>20</v>
      </c>
      <c r="E14" s="125"/>
      <c r="F14" s="126"/>
      <c r="G14" s="133" t="s">
        <v>5</v>
      </c>
      <c r="H14" s="133" t="s">
        <v>5</v>
      </c>
      <c r="I14" s="133" t="s">
        <v>5</v>
      </c>
      <c r="J14" s="124" t="s">
        <v>17</v>
      </c>
      <c r="K14" s="125"/>
      <c r="L14" s="125"/>
      <c r="M14" s="124" t="s">
        <v>17</v>
      </c>
      <c r="N14" s="125"/>
      <c r="O14" s="125"/>
      <c r="P14" s="124" t="s">
        <v>17</v>
      </c>
      <c r="Q14" s="125"/>
      <c r="R14" s="125"/>
      <c r="S14" s="124" t="s">
        <v>17</v>
      </c>
      <c r="T14" s="125"/>
      <c r="U14" s="125"/>
      <c r="V14" s="124" t="s">
        <v>17</v>
      </c>
      <c r="W14" s="125"/>
      <c r="X14" s="125"/>
      <c r="Y14" s="125"/>
      <c r="Z14" s="126"/>
      <c r="AA14" s="127" t="s">
        <v>6</v>
      </c>
      <c r="AB14" s="128"/>
      <c r="AC14" s="127" t="s">
        <v>7</v>
      </c>
      <c r="AD14" s="129"/>
      <c r="AE14" s="127" t="s">
        <v>8</v>
      </c>
      <c r="AF14" s="129"/>
    </row>
    <row r="15" spans="3:39" x14ac:dyDescent="0.25">
      <c r="C15" s="97" t="s">
        <v>33</v>
      </c>
      <c r="D15" s="4" t="s">
        <v>9</v>
      </c>
      <c r="E15" s="4" t="s">
        <v>10</v>
      </c>
      <c r="F15" s="4" t="s">
        <v>11</v>
      </c>
      <c r="G15" s="4" t="s">
        <v>9</v>
      </c>
      <c r="H15" s="4" t="s">
        <v>10</v>
      </c>
      <c r="I15" s="4" t="s">
        <v>11</v>
      </c>
      <c r="J15" s="4" t="s">
        <v>9</v>
      </c>
      <c r="K15" s="4" t="s">
        <v>10</v>
      </c>
      <c r="L15" s="4" t="s">
        <v>11</v>
      </c>
      <c r="M15" s="4" t="s">
        <v>9</v>
      </c>
      <c r="N15" s="4" t="s">
        <v>10</v>
      </c>
      <c r="O15" s="4" t="s">
        <v>11</v>
      </c>
      <c r="P15" s="4" t="s">
        <v>9</v>
      </c>
      <c r="Q15" s="4" t="s">
        <v>10</v>
      </c>
      <c r="R15" s="4" t="s">
        <v>11</v>
      </c>
      <c r="S15" s="4" t="s">
        <v>9</v>
      </c>
      <c r="T15" s="4" t="s">
        <v>10</v>
      </c>
      <c r="U15" s="4" t="s">
        <v>11</v>
      </c>
      <c r="V15" s="4" t="s">
        <v>9</v>
      </c>
      <c r="W15" s="4" t="s">
        <v>10</v>
      </c>
      <c r="X15" s="4" t="s">
        <v>11</v>
      </c>
      <c r="Y15" s="4" t="s">
        <v>14</v>
      </c>
      <c r="Z15" s="4" t="s">
        <v>15</v>
      </c>
      <c r="AA15" s="4" t="s">
        <v>16</v>
      </c>
      <c r="AB15" s="4" t="s">
        <v>11</v>
      </c>
      <c r="AC15" s="4" t="s">
        <v>16</v>
      </c>
      <c r="AD15" s="4" t="s">
        <v>11</v>
      </c>
      <c r="AE15" s="4" t="s">
        <v>16</v>
      </c>
      <c r="AF15" s="4" t="s">
        <v>11</v>
      </c>
    </row>
    <row r="16" spans="3:39" x14ac:dyDescent="0.25">
      <c r="C16" s="23" t="s">
        <v>154</v>
      </c>
      <c r="D16" s="15">
        <v>51.173913043478265</v>
      </c>
      <c r="E16" s="15">
        <v>340.53130841121492</v>
      </c>
      <c r="F16" s="15">
        <v>17426.319565217393</v>
      </c>
      <c r="G16" s="15">
        <v>51.652173913043477</v>
      </c>
      <c r="H16" s="15">
        <v>905.86574074074076</v>
      </c>
      <c r="I16" s="15">
        <v>46789.934782608696</v>
      </c>
      <c r="J16" s="15">
        <v>63</v>
      </c>
      <c r="K16" s="15">
        <v>815.97079365079355</v>
      </c>
      <c r="L16" s="15">
        <v>51406.159999999996</v>
      </c>
      <c r="M16" s="15">
        <v>95.968535324566716</v>
      </c>
      <c r="N16" s="15">
        <v>1069.5822938913818</v>
      </c>
      <c r="O16" s="15">
        <v>102646.24615384616</v>
      </c>
      <c r="P16" s="15">
        <v>131.72727272727272</v>
      </c>
      <c r="Q16" s="15">
        <v>815.97079365079355</v>
      </c>
      <c r="R16" s="15">
        <v>107485.60727272725</v>
      </c>
      <c r="S16" s="15">
        <v>200.66148295136676</v>
      </c>
      <c r="T16" s="15">
        <v>1069.5822938913816</v>
      </c>
      <c r="U16" s="15">
        <v>214623.96923076923</v>
      </c>
      <c r="V16" s="6">
        <v>-32.968535324566716</v>
      </c>
      <c r="W16" s="6">
        <v>-253.61150024058827</v>
      </c>
      <c r="X16" s="6">
        <v>-51240.086153846169</v>
      </c>
      <c r="Y16" s="6">
        <v>-15977.524515157062</v>
      </c>
      <c r="Z16" s="6">
        <v>-35262.56163868912</v>
      </c>
      <c r="AA16" s="8">
        <v>0.65646516107527597</v>
      </c>
      <c r="AB16" s="8">
        <v>0.50080896210225223</v>
      </c>
      <c r="AC16" s="8">
        <v>0.23109600679694128</v>
      </c>
      <c r="AD16" s="8">
        <v>1.9499149150578947</v>
      </c>
      <c r="AE16" s="8">
        <v>0.21969696969696972</v>
      </c>
      <c r="AF16" s="8">
        <v>9.8658509331949321E-2</v>
      </c>
    </row>
    <row r="17" spans="1:32" s="16" customFormat="1" ht="15" customHeight="1" x14ac:dyDescent="0.25">
      <c r="C17" s="23" t="s">
        <v>39</v>
      </c>
      <c r="D17" s="15">
        <v>308.95652173913044</v>
      </c>
      <c r="E17" s="15">
        <v>1388.3000154798758</v>
      </c>
      <c r="F17" s="15">
        <v>428924.34391304338</v>
      </c>
      <c r="G17" s="15">
        <v>242</v>
      </c>
      <c r="H17" s="15">
        <v>2348.8228260869573</v>
      </c>
      <c r="I17" s="15">
        <v>568415.12391304364</v>
      </c>
      <c r="J17" s="15">
        <v>182</v>
      </c>
      <c r="K17" s="15">
        <v>1366.7051098901097</v>
      </c>
      <c r="L17" s="15">
        <v>248740.33</v>
      </c>
      <c r="M17" s="15">
        <v>314.85384615384618</v>
      </c>
      <c r="N17" s="15">
        <v>1644.8420666487502</v>
      </c>
      <c r="O17" s="15">
        <v>517884.85100000002</v>
      </c>
      <c r="P17" s="15">
        <v>380.54545454545456</v>
      </c>
      <c r="Q17" s="15">
        <v>1366.7051098901097</v>
      </c>
      <c r="R17" s="15">
        <v>520093.41727272724</v>
      </c>
      <c r="S17" s="15">
        <v>658.33076923076919</v>
      </c>
      <c r="T17" s="15">
        <v>1644.8420666487502</v>
      </c>
      <c r="U17" s="15">
        <v>1082850.1429999999</v>
      </c>
      <c r="V17" s="6">
        <v>-132.85384615384618</v>
      </c>
      <c r="W17" s="6">
        <v>-278.13695675864051</v>
      </c>
      <c r="X17" s="6">
        <v>-269144.52100000007</v>
      </c>
      <c r="Y17" s="6">
        <v>-50620.92613007257</v>
      </c>
      <c r="Z17" s="6">
        <v>-218523.59486992747</v>
      </c>
      <c r="AA17" s="8">
        <v>0.57804597981969652</v>
      </c>
      <c r="AB17" s="8">
        <v>0.48030045582468672</v>
      </c>
      <c r="AC17" s="8">
        <v>-0.41092034900084434</v>
      </c>
      <c r="AD17" s="8">
        <v>-0.42008344005201165</v>
      </c>
      <c r="AE17" s="8">
        <v>-0.24793388429752067</v>
      </c>
      <c r="AF17" s="8">
        <v>-0.56239670702700661</v>
      </c>
    </row>
    <row r="18" spans="1:32" s="16" customFormat="1" ht="15" customHeight="1" x14ac:dyDescent="0.25">
      <c r="C18" s="23" t="s">
        <v>46</v>
      </c>
      <c r="D18" s="15">
        <v>14.347826086956522</v>
      </c>
      <c r="E18" s="15">
        <v>856.06666666666672</v>
      </c>
      <c r="F18" s="15">
        <v>12282.695652173914</v>
      </c>
      <c r="G18" s="15">
        <v>5.2608695652173916</v>
      </c>
      <c r="H18" s="15">
        <v>711.09090909090912</v>
      </c>
      <c r="I18" s="15">
        <v>3740.9565217391305</v>
      </c>
      <c r="J18" s="15">
        <v>21</v>
      </c>
      <c r="K18" s="15">
        <v>673.14047619047619</v>
      </c>
      <c r="L18" s="15">
        <v>14135.95</v>
      </c>
      <c r="M18" s="15">
        <v>16.923076923076923</v>
      </c>
      <c r="N18" s="15">
        <v>1099.0000000000002</v>
      </c>
      <c r="O18" s="15">
        <v>18598.461538461543</v>
      </c>
      <c r="P18" s="15">
        <v>43.909090909090907</v>
      </c>
      <c r="Q18" s="15">
        <v>673.14047619047619</v>
      </c>
      <c r="R18" s="15">
        <v>29556.986363636363</v>
      </c>
      <c r="S18" s="15">
        <v>35.384615384615387</v>
      </c>
      <c r="T18" s="15">
        <v>1099</v>
      </c>
      <c r="U18" s="15">
        <v>38887.692307692312</v>
      </c>
      <c r="V18" s="6">
        <v>4.0769230769230766</v>
      </c>
      <c r="W18" s="6">
        <v>-425.85952380952403</v>
      </c>
      <c r="X18" s="6">
        <v>-4462.5115384615419</v>
      </c>
      <c r="Y18" s="6">
        <v>-8943.0500000000047</v>
      </c>
      <c r="Z18" s="6">
        <v>4480.5384615384619</v>
      </c>
      <c r="AA18" s="8">
        <v>1.240909090909091</v>
      </c>
      <c r="AB18" s="8">
        <v>0.76006017867482822</v>
      </c>
      <c r="AC18" s="8">
        <v>0.46363636363636368</v>
      </c>
      <c r="AD18" s="8">
        <v>0.1508833565780065</v>
      </c>
      <c r="AE18" s="8">
        <v>2.9917355371900825</v>
      </c>
      <c r="AF18" s="8">
        <v>2.7786993561284028</v>
      </c>
    </row>
    <row r="19" spans="1:32" x14ac:dyDescent="0.25">
      <c r="C19" s="23" t="s">
        <v>45</v>
      </c>
      <c r="D19" s="15">
        <v>42.086956521739133</v>
      </c>
      <c r="E19" s="15">
        <v>522.3378409090908</v>
      </c>
      <c r="F19" s="15">
        <v>21983.609999999997</v>
      </c>
      <c r="G19" s="15">
        <v>43.521739130434781</v>
      </c>
      <c r="H19" s="15">
        <v>896.65824175824196</v>
      </c>
      <c r="I19" s="15">
        <v>39024.12608695653</v>
      </c>
      <c r="J19" s="15">
        <v>25</v>
      </c>
      <c r="K19" s="15">
        <v>1218.3139999999999</v>
      </c>
      <c r="L19" s="15">
        <v>30457.85</v>
      </c>
      <c r="M19" s="15">
        <v>41.46153846153846</v>
      </c>
      <c r="N19" s="15">
        <v>1328.0935374149662</v>
      </c>
      <c r="O19" s="15">
        <v>55064.801282051289</v>
      </c>
      <c r="P19" s="15">
        <v>52.272727272727273</v>
      </c>
      <c r="Q19" s="15">
        <v>1218.3139999999999</v>
      </c>
      <c r="R19" s="15">
        <v>63684.595454545452</v>
      </c>
      <c r="S19" s="15">
        <v>86.692307692307693</v>
      </c>
      <c r="T19" s="15">
        <v>1328.093537414966</v>
      </c>
      <c r="U19" s="15">
        <v>115135.49358974359</v>
      </c>
      <c r="V19" s="6">
        <v>-16.46153846153846</v>
      </c>
      <c r="W19" s="6">
        <v>-109.7795374149664</v>
      </c>
      <c r="X19" s="6">
        <v>-24606.95128205129</v>
      </c>
      <c r="Y19" s="6">
        <v>-2744.48843537416</v>
      </c>
      <c r="Z19" s="6">
        <v>-21862.462846677136</v>
      </c>
      <c r="AA19" s="8">
        <v>0.60296846011131733</v>
      </c>
      <c r="AB19" s="8">
        <v>0.55312739337766248</v>
      </c>
      <c r="AC19" s="8">
        <v>-0.40599173553719009</v>
      </c>
      <c r="AD19" s="8">
        <v>0.38547990980553254</v>
      </c>
      <c r="AE19" s="8">
        <v>-0.42557442557442554</v>
      </c>
      <c r="AF19" s="8">
        <v>-0.2195123106118636</v>
      </c>
    </row>
    <row r="20" spans="1:32" ht="15" customHeight="1" x14ac:dyDescent="0.25">
      <c r="C20" s="23" t="s">
        <v>51</v>
      </c>
      <c r="D20" s="15">
        <v>18.65217391304348</v>
      </c>
      <c r="E20" s="15">
        <v>1266.7307692307691</v>
      </c>
      <c r="F20" s="15">
        <v>23627.282608695652</v>
      </c>
      <c r="G20" s="15">
        <v>27.260869565217391</v>
      </c>
      <c r="H20" s="15">
        <v>1412.5438596491229</v>
      </c>
      <c r="I20" s="15">
        <v>38507.17391304348</v>
      </c>
      <c r="J20" s="15">
        <v>37</v>
      </c>
      <c r="K20" s="15">
        <v>685.17000000000007</v>
      </c>
      <c r="L20" s="15">
        <v>25351.29</v>
      </c>
      <c r="M20" s="15">
        <v>57.369230769230768</v>
      </c>
      <c r="N20" s="15">
        <v>967.92267561572316</v>
      </c>
      <c r="O20" s="15">
        <v>55528.979344169718</v>
      </c>
      <c r="P20" s="15">
        <v>77.36363636363636</v>
      </c>
      <c r="Q20" s="15">
        <v>685.17000000000007</v>
      </c>
      <c r="R20" s="15">
        <v>53007.242727272729</v>
      </c>
      <c r="S20" s="15">
        <v>119.95384615384614</v>
      </c>
      <c r="T20" s="15">
        <v>967.92267561572328</v>
      </c>
      <c r="U20" s="15">
        <v>116106.04771962759</v>
      </c>
      <c r="V20" s="6">
        <v>-20.369230769230768</v>
      </c>
      <c r="W20" s="6">
        <v>-282.75267561572309</v>
      </c>
      <c r="X20" s="6">
        <v>-30177.689344169718</v>
      </c>
      <c r="Y20" s="6">
        <v>-10461.848997781755</v>
      </c>
      <c r="Z20" s="6">
        <v>-19715.840346387959</v>
      </c>
      <c r="AA20" s="8">
        <v>0.64494502547599897</v>
      </c>
      <c r="AB20" s="8">
        <v>0.45654161663718329</v>
      </c>
      <c r="AC20" s="8">
        <v>0.98368298368298346</v>
      </c>
      <c r="AD20" s="8">
        <v>7.2966807899857891E-2</v>
      </c>
      <c r="AE20" s="8">
        <v>0.35725677830940994</v>
      </c>
      <c r="AF20" s="8">
        <v>-0.34164760942342759</v>
      </c>
    </row>
    <row r="21" spans="1:32" ht="15" customHeight="1" x14ac:dyDescent="0.25">
      <c r="C21" s="23" t="s">
        <v>222</v>
      </c>
      <c r="D21" s="15">
        <v>2.3913043478260869</v>
      </c>
      <c r="E21" s="15">
        <v>1108.4000000000001</v>
      </c>
      <c r="F21" s="15">
        <v>2650.521739130435</v>
      </c>
      <c r="G21" s="15">
        <v>8.608695652173914</v>
      </c>
      <c r="H21" s="15">
        <v>1426.325</v>
      </c>
      <c r="I21" s="15">
        <v>12278.797826086959</v>
      </c>
      <c r="J21" s="15">
        <v>5</v>
      </c>
      <c r="K21" s="15">
        <v>630</v>
      </c>
      <c r="L21" s="15">
        <v>3150</v>
      </c>
      <c r="M21" s="15">
        <v>6.7692307692307701</v>
      </c>
      <c r="N21" s="15">
        <v>1225</v>
      </c>
      <c r="O21" s="15">
        <v>8292.3076923076933</v>
      </c>
      <c r="P21" s="15">
        <v>10.454545454545455</v>
      </c>
      <c r="Q21" s="15">
        <v>629.99999999999989</v>
      </c>
      <c r="R21" s="15">
        <v>6586.363636363636</v>
      </c>
      <c r="S21" s="15">
        <v>14.153846153846155</v>
      </c>
      <c r="T21" s="15">
        <v>1225</v>
      </c>
      <c r="U21" s="15">
        <v>17338.461538461539</v>
      </c>
      <c r="V21" s="6">
        <v>-1.7692307692307701</v>
      </c>
      <c r="W21" s="6">
        <v>-595</v>
      </c>
      <c r="X21" s="6">
        <v>-5142.3076923076933</v>
      </c>
      <c r="Y21" s="6">
        <v>-2975</v>
      </c>
      <c r="Z21" s="6">
        <v>-2167.3076923076933</v>
      </c>
      <c r="AA21" s="8">
        <v>0.73863636363636354</v>
      </c>
      <c r="AB21" s="8">
        <v>0.3798701298701298</v>
      </c>
      <c r="AC21" s="8">
        <v>1.0909090909090911</v>
      </c>
      <c r="AD21" s="8">
        <v>0.18844526098225114</v>
      </c>
      <c r="AE21" s="8">
        <v>-0.41919191919191923</v>
      </c>
      <c r="AF21" s="8">
        <v>-0.74346022757149255</v>
      </c>
    </row>
    <row r="22" spans="1:32" x14ac:dyDescent="0.25">
      <c r="C22" s="23" t="s">
        <v>278</v>
      </c>
      <c r="D22" s="15">
        <v>13.391304347826088</v>
      </c>
      <c r="E22" s="15">
        <v>1787.5</v>
      </c>
      <c r="F22" s="15">
        <v>23936.956521739132</v>
      </c>
      <c r="G22" s="15">
        <v>3.8260869565217392</v>
      </c>
      <c r="H22" s="15">
        <v>1193.75</v>
      </c>
      <c r="I22" s="15">
        <v>4567.391304347826</v>
      </c>
      <c r="J22" s="15">
        <v>28</v>
      </c>
      <c r="K22" s="15">
        <v>570.27928571428572</v>
      </c>
      <c r="L22" s="15">
        <v>15967.82</v>
      </c>
      <c r="M22" s="15">
        <v>58.401703784670048</v>
      </c>
      <c r="N22" s="15">
        <v>1007.3981214809619</v>
      </c>
      <c r="O22" s="15">
        <v>58833.76668396419</v>
      </c>
      <c r="P22" s="15">
        <v>58.545454545454547</v>
      </c>
      <c r="Q22" s="15">
        <v>570.27928571428561</v>
      </c>
      <c r="R22" s="15">
        <v>33387.259999999995</v>
      </c>
      <c r="S22" s="15">
        <v>122.11265336794645</v>
      </c>
      <c r="T22" s="15">
        <v>1007.398121480962</v>
      </c>
      <c r="U22" s="15">
        <v>123016.05761192512</v>
      </c>
      <c r="V22" s="6">
        <v>-30.401703784670048</v>
      </c>
      <c r="W22" s="6">
        <v>-437.11883576667617</v>
      </c>
      <c r="X22" s="6">
        <v>-42865.94668396419</v>
      </c>
      <c r="Y22" s="6">
        <v>-12239.327401466933</v>
      </c>
      <c r="Z22" s="6">
        <v>-30626.619282497257</v>
      </c>
      <c r="AA22" s="8">
        <v>0.47943806747894507</v>
      </c>
      <c r="AB22" s="8">
        <v>0.27140570628044131</v>
      </c>
      <c r="AC22" s="8">
        <v>1.0909090909090908</v>
      </c>
      <c r="AD22" s="8">
        <v>-0.33292187812187818</v>
      </c>
      <c r="AE22" s="8">
        <v>6.3181818181818183</v>
      </c>
      <c r="AF22" s="8">
        <v>2.4960481675392669</v>
      </c>
    </row>
    <row r="23" spans="1:32" ht="15" customHeight="1" x14ac:dyDescent="0.25">
      <c r="C23" s="23" t="s">
        <v>279</v>
      </c>
      <c r="D23" s="15">
        <v>0</v>
      </c>
      <c r="E23" s="15" t="s">
        <v>364</v>
      </c>
      <c r="F23" s="15">
        <v>0</v>
      </c>
      <c r="G23" s="15">
        <v>0</v>
      </c>
      <c r="H23" s="15" t="s">
        <v>364</v>
      </c>
      <c r="I23" s="15">
        <v>0</v>
      </c>
      <c r="J23" s="15">
        <v>0</v>
      </c>
      <c r="K23" s="15" t="s">
        <v>364</v>
      </c>
      <c r="L23" s="15">
        <v>0</v>
      </c>
      <c r="M23" s="15">
        <v>0</v>
      </c>
      <c r="N23" s="15" t="s">
        <v>364</v>
      </c>
      <c r="O23" s="15">
        <v>0</v>
      </c>
      <c r="P23" s="15">
        <v>0</v>
      </c>
      <c r="Q23" s="15">
        <v>0</v>
      </c>
      <c r="R23" s="15">
        <v>0</v>
      </c>
      <c r="S23" s="15">
        <v>0</v>
      </c>
      <c r="T23" s="15" t="s">
        <v>364</v>
      </c>
      <c r="U23" s="15">
        <v>0</v>
      </c>
      <c r="V23" s="6">
        <v>0</v>
      </c>
      <c r="W23" s="6">
        <v>0</v>
      </c>
      <c r="X23" s="6">
        <v>0</v>
      </c>
      <c r="Y23" s="6">
        <v>0</v>
      </c>
      <c r="Z23" s="6">
        <v>0</v>
      </c>
      <c r="AA23" s="8" t="s">
        <v>364</v>
      </c>
      <c r="AB23" s="8" t="s">
        <v>364</v>
      </c>
      <c r="AC23" s="8" t="s">
        <v>364</v>
      </c>
      <c r="AD23" s="8" t="s">
        <v>364</v>
      </c>
      <c r="AE23" s="8" t="s">
        <v>364</v>
      </c>
      <c r="AF23" s="8" t="s">
        <v>364</v>
      </c>
    </row>
    <row r="24" spans="1:32" ht="15" customHeight="1" x14ac:dyDescent="0.25">
      <c r="C24" s="23" t="s">
        <v>280</v>
      </c>
      <c r="D24" s="15">
        <v>0</v>
      </c>
      <c r="E24" s="15" t="s">
        <v>364</v>
      </c>
      <c r="F24" s="15">
        <v>0</v>
      </c>
      <c r="G24" s="15">
        <v>0</v>
      </c>
      <c r="H24" s="15" t="s">
        <v>364</v>
      </c>
      <c r="I24" s="15">
        <v>0</v>
      </c>
      <c r="J24" s="15">
        <v>0</v>
      </c>
      <c r="K24" s="15" t="s">
        <v>364</v>
      </c>
      <c r="L24" s="15">
        <v>0</v>
      </c>
      <c r="M24" s="15">
        <v>0</v>
      </c>
      <c r="N24" s="15" t="s">
        <v>364</v>
      </c>
      <c r="O24" s="15">
        <v>0</v>
      </c>
      <c r="P24" s="15">
        <v>0</v>
      </c>
      <c r="Q24" s="15">
        <v>0</v>
      </c>
      <c r="R24" s="15">
        <v>0</v>
      </c>
      <c r="S24" s="15">
        <v>0</v>
      </c>
      <c r="T24" s="15" t="s">
        <v>364</v>
      </c>
      <c r="U24" s="15">
        <v>0</v>
      </c>
      <c r="V24" s="6">
        <v>0</v>
      </c>
      <c r="W24" s="6">
        <v>0</v>
      </c>
      <c r="X24" s="6">
        <v>0</v>
      </c>
      <c r="Y24" s="6">
        <v>0</v>
      </c>
      <c r="Z24" s="6">
        <v>0</v>
      </c>
      <c r="AA24" s="8" t="s">
        <v>364</v>
      </c>
      <c r="AB24" s="8" t="s">
        <v>364</v>
      </c>
      <c r="AC24" s="8" t="s">
        <v>364</v>
      </c>
      <c r="AD24" s="8" t="s">
        <v>364</v>
      </c>
      <c r="AE24" s="8" t="s">
        <v>364</v>
      </c>
      <c r="AF24" s="8" t="s">
        <v>364</v>
      </c>
    </row>
    <row r="25" spans="1:32" ht="15" customHeight="1" x14ac:dyDescent="0.25">
      <c r="C25" s="23" t="s">
        <v>281</v>
      </c>
      <c r="D25" s="15">
        <v>0</v>
      </c>
      <c r="E25" s="15" t="s">
        <v>364</v>
      </c>
      <c r="F25" s="15">
        <v>0</v>
      </c>
      <c r="G25" s="15">
        <v>0</v>
      </c>
      <c r="H25" s="15" t="s">
        <v>364</v>
      </c>
      <c r="I25" s="15">
        <v>0</v>
      </c>
      <c r="J25" s="15">
        <v>0</v>
      </c>
      <c r="K25" s="15" t="s">
        <v>364</v>
      </c>
      <c r="L25" s="15">
        <v>0</v>
      </c>
      <c r="M25" s="15">
        <v>0</v>
      </c>
      <c r="N25" s="15" t="s">
        <v>364</v>
      </c>
      <c r="O25" s="15">
        <v>0</v>
      </c>
      <c r="P25" s="15">
        <v>0</v>
      </c>
      <c r="Q25" s="15">
        <v>0</v>
      </c>
      <c r="R25" s="15">
        <v>0</v>
      </c>
      <c r="S25" s="15">
        <v>0</v>
      </c>
      <c r="T25" s="15" t="s">
        <v>364</v>
      </c>
      <c r="U25" s="15">
        <v>0</v>
      </c>
      <c r="V25" s="6">
        <v>0</v>
      </c>
      <c r="W25" s="6">
        <v>0</v>
      </c>
      <c r="X25" s="6">
        <v>0</v>
      </c>
      <c r="Y25" s="6">
        <v>0</v>
      </c>
      <c r="Z25" s="6">
        <v>0</v>
      </c>
      <c r="AA25" s="8" t="s">
        <v>364</v>
      </c>
      <c r="AB25" s="8" t="s">
        <v>364</v>
      </c>
      <c r="AC25" s="8" t="s">
        <v>364</v>
      </c>
      <c r="AD25" s="8" t="s">
        <v>364</v>
      </c>
      <c r="AE25" s="8" t="s">
        <v>364</v>
      </c>
      <c r="AF25" s="8" t="s">
        <v>364</v>
      </c>
    </row>
    <row r="26" spans="1:32" ht="15" customHeight="1" x14ac:dyDescent="0.25">
      <c r="C26" s="23" t="s">
        <v>49</v>
      </c>
      <c r="D26" s="15">
        <v>0</v>
      </c>
      <c r="E26" s="15" t="s">
        <v>364</v>
      </c>
      <c r="F26" s="15">
        <v>0</v>
      </c>
      <c r="G26" s="15">
        <v>0</v>
      </c>
      <c r="H26" s="15" t="s">
        <v>364</v>
      </c>
      <c r="I26" s="15">
        <v>0</v>
      </c>
      <c r="J26" s="15">
        <v>0</v>
      </c>
      <c r="K26" s="15" t="s">
        <v>364</v>
      </c>
      <c r="L26" s="15">
        <v>4364.41</v>
      </c>
      <c r="M26" s="15">
        <v>0</v>
      </c>
      <c r="N26" s="15" t="s">
        <v>364</v>
      </c>
      <c r="O26" s="15">
        <v>0</v>
      </c>
      <c r="P26" s="15">
        <v>0</v>
      </c>
      <c r="Q26" s="15">
        <v>0</v>
      </c>
      <c r="R26" s="15">
        <v>9125.5845454545452</v>
      </c>
      <c r="S26" s="15">
        <v>0</v>
      </c>
      <c r="T26" s="15" t="s">
        <v>364</v>
      </c>
      <c r="U26" s="15">
        <v>0</v>
      </c>
      <c r="V26" s="6">
        <v>0</v>
      </c>
      <c r="W26" s="6">
        <v>0</v>
      </c>
      <c r="X26" s="6">
        <v>4364.41</v>
      </c>
      <c r="Y26" s="6">
        <v>0</v>
      </c>
      <c r="Z26" s="6">
        <v>0</v>
      </c>
      <c r="AA26" s="8" t="s">
        <v>364</v>
      </c>
      <c r="AB26" s="8" t="s">
        <v>364</v>
      </c>
      <c r="AC26" s="8" t="s">
        <v>364</v>
      </c>
      <c r="AD26" s="8" t="s">
        <v>364</v>
      </c>
      <c r="AE26" s="8" t="s">
        <v>364</v>
      </c>
      <c r="AF26" s="8" t="s">
        <v>364</v>
      </c>
    </row>
    <row r="27" spans="1:32" x14ac:dyDescent="0.25">
      <c r="C27"/>
      <c r="D27"/>
      <c r="E27"/>
      <c r="F27"/>
      <c r="G27"/>
      <c r="H27"/>
      <c r="I27"/>
      <c r="J27"/>
      <c r="K27"/>
      <c r="L27"/>
      <c r="M27"/>
      <c r="N27"/>
      <c r="O27"/>
      <c r="P27"/>
      <c r="Q27"/>
      <c r="R27"/>
      <c r="S27"/>
      <c r="T27"/>
      <c r="U27"/>
      <c r="V27"/>
      <c r="W27"/>
      <c r="X27"/>
      <c r="Y27"/>
      <c r="Z27"/>
      <c r="AA27"/>
      <c r="AB27"/>
    </row>
    <row r="28" spans="1:32" x14ac:dyDescent="0.25">
      <c r="A28" s="71"/>
      <c r="B28" s="71"/>
      <c r="C28" s="72">
        <v>0.47826086956521741</v>
      </c>
      <c r="D28" s="144" t="s">
        <v>30</v>
      </c>
      <c r="E28" s="144"/>
      <c r="F28" s="144"/>
      <c r="G28" s="144" t="s">
        <v>31</v>
      </c>
      <c r="H28" s="144"/>
      <c r="I28" s="144"/>
      <c r="J28" s="136" t="s">
        <v>357</v>
      </c>
      <c r="K28" s="137"/>
      <c r="L28" s="137"/>
      <c r="M28" s="136" t="s">
        <v>358</v>
      </c>
      <c r="N28" s="137"/>
      <c r="O28" s="137"/>
      <c r="P28" s="136" t="s">
        <v>3</v>
      </c>
      <c r="Q28" s="137"/>
      <c r="R28" s="137"/>
      <c r="S28" s="137"/>
      <c r="T28" s="137"/>
      <c r="AA28" s="61"/>
      <c r="AB28" s="61"/>
    </row>
    <row r="29" spans="1:32" x14ac:dyDescent="0.25">
      <c r="A29" s="71"/>
      <c r="B29" s="71"/>
      <c r="C29" s="71"/>
      <c r="D29" s="124" t="s">
        <v>20</v>
      </c>
      <c r="E29" s="125"/>
      <c r="F29" s="126"/>
      <c r="G29" s="141" t="s">
        <v>5</v>
      </c>
      <c r="H29" s="141" t="s">
        <v>5</v>
      </c>
      <c r="I29" s="141" t="s">
        <v>5</v>
      </c>
      <c r="J29" s="124" t="s">
        <v>17</v>
      </c>
      <c r="K29" s="125"/>
      <c r="L29" s="125"/>
      <c r="M29" s="124" t="s">
        <v>17</v>
      </c>
      <c r="N29" s="125"/>
      <c r="O29" s="125"/>
      <c r="P29" s="142" t="s">
        <v>17</v>
      </c>
      <c r="Q29" s="143"/>
      <c r="R29" s="143"/>
      <c r="S29" s="143"/>
      <c r="T29" s="143"/>
      <c r="U29" s="98" t="s">
        <v>6</v>
      </c>
      <c r="V29" s="139" t="s">
        <v>7</v>
      </c>
      <c r="W29" s="140"/>
      <c r="X29" s="139" t="s">
        <v>8</v>
      </c>
      <c r="Y29" s="140"/>
      <c r="AB29"/>
      <c r="AD29" s="62"/>
    </row>
    <row r="30" spans="1:32" x14ac:dyDescent="0.25">
      <c r="A30" s="18" t="s">
        <v>4</v>
      </c>
      <c r="B30" s="19" t="s">
        <v>33</v>
      </c>
      <c r="C30" s="19" t="s">
        <v>34</v>
      </c>
      <c r="D30" s="20" t="s">
        <v>9</v>
      </c>
      <c r="E30" s="20" t="s">
        <v>10</v>
      </c>
      <c r="F30" s="20" t="s">
        <v>11</v>
      </c>
      <c r="G30" s="20" t="s">
        <v>9</v>
      </c>
      <c r="H30" s="20" t="s">
        <v>10</v>
      </c>
      <c r="I30" s="20" t="s">
        <v>11</v>
      </c>
      <c r="J30" s="20" t="s">
        <v>9</v>
      </c>
      <c r="K30" s="20" t="s">
        <v>10</v>
      </c>
      <c r="L30" s="20" t="s">
        <v>11</v>
      </c>
      <c r="M30" s="20" t="s">
        <v>9</v>
      </c>
      <c r="N30" s="20" t="s">
        <v>10</v>
      </c>
      <c r="O30" s="20" t="s">
        <v>11</v>
      </c>
      <c r="P30" s="20" t="s">
        <v>9</v>
      </c>
      <c r="Q30" s="20" t="s">
        <v>10</v>
      </c>
      <c r="R30" s="20" t="s">
        <v>11</v>
      </c>
      <c r="S30" s="20" t="s">
        <v>14</v>
      </c>
      <c r="T30" s="20" t="s">
        <v>15</v>
      </c>
      <c r="U30" s="20" t="s">
        <v>16</v>
      </c>
      <c r="V30" s="20" t="s">
        <v>16</v>
      </c>
      <c r="W30" s="20" t="s">
        <v>11</v>
      </c>
      <c r="X30" s="20" t="s">
        <v>16</v>
      </c>
      <c r="Y30" s="20" t="s">
        <v>11</v>
      </c>
      <c r="Z30" s="62"/>
      <c r="AA30"/>
      <c r="AB30"/>
    </row>
    <row r="31" spans="1:32" x14ac:dyDescent="0.25">
      <c r="A31" s="21" t="s">
        <v>19</v>
      </c>
      <c r="B31" s="21" t="s">
        <v>154</v>
      </c>
      <c r="C31" s="21" t="s">
        <v>282</v>
      </c>
      <c r="D31" s="15">
        <v>29.65217391304348</v>
      </c>
      <c r="E31" s="57">
        <v>291.15080645161288</v>
      </c>
      <c r="F31" s="15">
        <v>8633.2543478260868</v>
      </c>
      <c r="G31" s="15">
        <v>22</v>
      </c>
      <c r="H31" s="57">
        <v>464.00978260869573</v>
      </c>
      <c r="I31" s="15">
        <v>10208.215217391305</v>
      </c>
      <c r="J31" s="15">
        <v>25</v>
      </c>
      <c r="K31" s="57">
        <v>504.28560000000004</v>
      </c>
      <c r="L31" s="15">
        <v>12607.140000000001</v>
      </c>
      <c r="M31" s="15">
        <v>49.76485356324936</v>
      </c>
      <c r="N31" s="15">
        <v>570.99999999999989</v>
      </c>
      <c r="O31" s="15">
        <v>28415.731384615381</v>
      </c>
      <c r="P31" s="15">
        <v>-24.76485356324936</v>
      </c>
      <c r="Q31" s="15">
        <v>-66.714399999999841</v>
      </c>
      <c r="R31" s="15">
        <v>-15808.59138461538</v>
      </c>
      <c r="S31" s="15">
        <v>-1667.859999999996</v>
      </c>
      <c r="T31" s="15">
        <v>-14140.731384615383</v>
      </c>
      <c r="U31" s="17">
        <v>0.50236257539120233</v>
      </c>
      <c r="V31" s="17">
        <v>-0.15689149560117308</v>
      </c>
      <c r="W31" s="17">
        <v>0.46029984662441531</v>
      </c>
      <c r="X31" s="17">
        <v>0.13636363636363635</v>
      </c>
      <c r="Y31" s="17">
        <v>0.23499943246903227</v>
      </c>
      <c r="Z31" s="86"/>
      <c r="AA31" s="86"/>
      <c r="AB31"/>
    </row>
    <row r="32" spans="1:32" x14ac:dyDescent="0.25">
      <c r="A32" s="21" t="s">
        <v>19</v>
      </c>
      <c r="B32" s="21" t="s">
        <v>39</v>
      </c>
      <c r="C32" s="21" t="s">
        <v>283</v>
      </c>
      <c r="D32" s="15" t="s">
        <v>364</v>
      </c>
      <c r="E32" s="57" t="s">
        <v>364</v>
      </c>
      <c r="F32" s="15" t="s">
        <v>364</v>
      </c>
      <c r="G32" s="15" t="s">
        <v>364</v>
      </c>
      <c r="H32" s="57" t="s">
        <v>364</v>
      </c>
      <c r="I32" s="15" t="s">
        <v>364</v>
      </c>
      <c r="J32" s="15">
        <v>4</v>
      </c>
      <c r="K32" s="57">
        <v>275</v>
      </c>
      <c r="L32" s="15">
        <v>1100</v>
      </c>
      <c r="M32" s="15" t="s">
        <v>364</v>
      </c>
      <c r="N32" s="15" t="s">
        <v>364</v>
      </c>
      <c r="O32" s="15" t="s">
        <v>364</v>
      </c>
      <c r="P32" s="15" t="s">
        <v>364</v>
      </c>
      <c r="Q32" s="15" t="s">
        <v>364</v>
      </c>
      <c r="R32" s="15" t="s">
        <v>364</v>
      </c>
      <c r="S32" s="15" t="s">
        <v>364</v>
      </c>
      <c r="T32" s="15" t="s">
        <v>364</v>
      </c>
      <c r="U32" s="17" t="s">
        <v>364</v>
      </c>
      <c r="V32" s="17" t="s">
        <v>364</v>
      </c>
      <c r="W32" s="17" t="s">
        <v>364</v>
      </c>
      <c r="X32" s="17" t="s">
        <v>364</v>
      </c>
      <c r="Y32" s="17" t="s">
        <v>364</v>
      </c>
      <c r="Z32" s="86"/>
      <c r="AA32" s="86"/>
      <c r="AB32"/>
    </row>
    <row r="33" spans="1:28" x14ac:dyDescent="0.25">
      <c r="A33" s="21" t="s">
        <v>19</v>
      </c>
      <c r="B33" s="21" t="s">
        <v>49</v>
      </c>
      <c r="C33" s="21" t="s">
        <v>264</v>
      </c>
      <c r="D33" s="15" t="s">
        <v>364</v>
      </c>
      <c r="E33" s="57" t="s">
        <v>364</v>
      </c>
      <c r="F33" s="15" t="s">
        <v>364</v>
      </c>
      <c r="G33" s="15" t="s">
        <v>364</v>
      </c>
      <c r="H33" s="57" t="s">
        <v>364</v>
      </c>
      <c r="I33" s="15" t="s">
        <v>364</v>
      </c>
      <c r="J33" s="15">
        <v>0</v>
      </c>
      <c r="K33" s="57" t="s">
        <v>364</v>
      </c>
      <c r="L33" s="15">
        <v>4364.41</v>
      </c>
      <c r="M33" s="15" t="s">
        <v>364</v>
      </c>
      <c r="N33" s="15" t="s">
        <v>364</v>
      </c>
      <c r="O33" s="15" t="s">
        <v>364</v>
      </c>
      <c r="P33" s="15" t="s">
        <v>364</v>
      </c>
      <c r="Q33" s="15" t="s">
        <v>364</v>
      </c>
      <c r="R33" s="15" t="s">
        <v>364</v>
      </c>
      <c r="S33" s="15" t="s">
        <v>364</v>
      </c>
      <c r="T33" s="15" t="s">
        <v>364</v>
      </c>
      <c r="U33" s="17" t="s">
        <v>364</v>
      </c>
      <c r="V33" s="17" t="s">
        <v>364</v>
      </c>
      <c r="W33" s="17" t="s">
        <v>364</v>
      </c>
      <c r="X33" s="17" t="s">
        <v>364</v>
      </c>
      <c r="Y33" s="17" t="s">
        <v>364</v>
      </c>
      <c r="Z33" s="86"/>
      <c r="AA33" s="86"/>
      <c r="AB33"/>
    </row>
    <row r="34" spans="1:28" x14ac:dyDescent="0.25">
      <c r="A34" s="21" t="s">
        <v>19</v>
      </c>
      <c r="B34" s="21" t="s">
        <v>278</v>
      </c>
      <c r="C34" s="21" t="s">
        <v>284</v>
      </c>
      <c r="D34" s="15" t="s">
        <v>364</v>
      </c>
      <c r="E34" s="57" t="s">
        <v>364</v>
      </c>
      <c r="F34" s="15" t="s">
        <v>364</v>
      </c>
      <c r="G34" s="15" t="s">
        <v>364</v>
      </c>
      <c r="H34" s="57" t="s">
        <v>364</v>
      </c>
      <c r="I34" s="15" t="s">
        <v>364</v>
      </c>
      <c r="J34" s="15">
        <v>12</v>
      </c>
      <c r="K34" s="57">
        <v>312.33666666666664</v>
      </c>
      <c r="L34" s="15">
        <v>3748.04</v>
      </c>
      <c r="M34" s="15">
        <v>10.576923076923078</v>
      </c>
      <c r="N34" s="15">
        <v>549.99999999999989</v>
      </c>
      <c r="O34" s="15">
        <v>5817.3076923076924</v>
      </c>
      <c r="P34" s="15">
        <v>1.4230769230769216</v>
      </c>
      <c r="Q34" s="15">
        <v>-237.66333333333324</v>
      </c>
      <c r="R34" s="15">
        <v>-2069.2676923076924</v>
      </c>
      <c r="S34" s="15">
        <v>-2851.9599999999991</v>
      </c>
      <c r="T34" s="15">
        <v>782.69230769230671</v>
      </c>
      <c r="U34" s="17">
        <v>1.1345454545454543</v>
      </c>
      <c r="V34" s="17" t="s">
        <v>364</v>
      </c>
      <c r="W34" s="17" t="s">
        <v>364</v>
      </c>
      <c r="X34" s="17" t="s">
        <v>364</v>
      </c>
      <c r="Y34" s="17" t="s">
        <v>364</v>
      </c>
      <c r="Z34" s="86"/>
      <c r="AA34" s="86"/>
      <c r="AB34"/>
    </row>
    <row r="35" spans="1:28" x14ac:dyDescent="0.25">
      <c r="A35" s="21" t="s">
        <v>19</v>
      </c>
      <c r="B35" s="21" t="s">
        <v>154</v>
      </c>
      <c r="C35" s="21" t="s">
        <v>285</v>
      </c>
      <c r="D35" s="15" t="s">
        <v>364</v>
      </c>
      <c r="E35" s="57" t="s">
        <v>364</v>
      </c>
      <c r="F35" s="15" t="s">
        <v>364</v>
      </c>
      <c r="G35" s="15" t="s">
        <v>364</v>
      </c>
      <c r="H35" s="57" t="s">
        <v>364</v>
      </c>
      <c r="I35" s="15" t="s">
        <v>364</v>
      </c>
      <c r="J35" s="15">
        <v>28</v>
      </c>
      <c r="K35" s="57">
        <v>639.82214285714292</v>
      </c>
      <c r="L35" s="15">
        <v>17915.02</v>
      </c>
      <c r="M35" s="15">
        <v>23.992460607471202</v>
      </c>
      <c r="N35" s="15">
        <v>1983</v>
      </c>
      <c r="O35" s="15">
        <v>47577.049384615391</v>
      </c>
      <c r="P35" s="15">
        <v>4.0075393925287983</v>
      </c>
      <c r="Q35" s="15">
        <v>-1343.1778571428572</v>
      </c>
      <c r="R35" s="15">
        <v>-29662.029384615391</v>
      </c>
      <c r="S35" s="15">
        <v>-37608.980000000003</v>
      </c>
      <c r="T35" s="15">
        <v>7946.9506153846069</v>
      </c>
      <c r="U35" s="17">
        <v>1.1670332800830299</v>
      </c>
      <c r="V35" s="17" t="s">
        <v>364</v>
      </c>
      <c r="W35" s="17" t="s">
        <v>364</v>
      </c>
      <c r="X35" s="17" t="s">
        <v>364</v>
      </c>
      <c r="Y35" s="17" t="s">
        <v>364</v>
      </c>
      <c r="Z35" s="86"/>
      <c r="AA35" s="86"/>
      <c r="AB35"/>
    </row>
    <row r="36" spans="1:28" x14ac:dyDescent="0.25">
      <c r="A36" s="21" t="s">
        <v>19</v>
      </c>
      <c r="B36" s="21" t="s">
        <v>39</v>
      </c>
      <c r="C36" s="21" t="s">
        <v>286</v>
      </c>
      <c r="D36" s="15" t="s">
        <v>364</v>
      </c>
      <c r="E36" s="57" t="s">
        <v>364</v>
      </c>
      <c r="F36" s="15" t="s">
        <v>364</v>
      </c>
      <c r="G36" s="15" t="s">
        <v>364</v>
      </c>
      <c r="H36" s="57" t="s">
        <v>364</v>
      </c>
      <c r="I36" s="15" t="s">
        <v>364</v>
      </c>
      <c r="J36" s="15">
        <v>64</v>
      </c>
      <c r="K36" s="57">
        <v>1267.99609375</v>
      </c>
      <c r="L36" s="15">
        <v>81151.75</v>
      </c>
      <c r="M36" s="15">
        <v>78.184615384615384</v>
      </c>
      <c r="N36" s="15">
        <v>1600</v>
      </c>
      <c r="O36" s="15">
        <v>125095.38461538461</v>
      </c>
      <c r="P36" s="15">
        <v>-14.184615384615384</v>
      </c>
      <c r="Q36" s="15">
        <v>-332.00390625</v>
      </c>
      <c r="R36" s="15">
        <v>-43943.63461538461</v>
      </c>
      <c r="S36" s="15">
        <v>-21248.25</v>
      </c>
      <c r="T36" s="15">
        <v>-22695.384615384613</v>
      </c>
      <c r="U36" s="17">
        <v>0.81857536402990949</v>
      </c>
      <c r="V36" s="17" t="s">
        <v>364</v>
      </c>
      <c r="W36" s="17" t="s">
        <v>364</v>
      </c>
      <c r="X36" s="17" t="s">
        <v>364</v>
      </c>
      <c r="Y36" s="17" t="s">
        <v>364</v>
      </c>
      <c r="Z36" s="86"/>
      <c r="AA36" s="86"/>
      <c r="AB36"/>
    </row>
    <row r="37" spans="1:28" x14ac:dyDescent="0.25">
      <c r="A37" s="21" t="s">
        <v>19</v>
      </c>
      <c r="B37" s="21" t="s">
        <v>39</v>
      </c>
      <c r="C37" s="21" t="s">
        <v>287</v>
      </c>
      <c r="D37" s="15" t="s">
        <v>364</v>
      </c>
      <c r="E37" s="57" t="s">
        <v>364</v>
      </c>
      <c r="F37" s="15" t="s">
        <v>364</v>
      </c>
      <c r="G37" s="15" t="s">
        <v>364</v>
      </c>
      <c r="H37" s="57" t="s">
        <v>364</v>
      </c>
      <c r="I37" s="15" t="s">
        <v>364</v>
      </c>
      <c r="J37" s="15">
        <v>52</v>
      </c>
      <c r="K37" s="57">
        <v>1849.7096153846155</v>
      </c>
      <c r="L37" s="15">
        <v>96184.900000000009</v>
      </c>
      <c r="M37" s="15">
        <v>53.307692307692307</v>
      </c>
      <c r="N37" s="15">
        <v>1842.4779047619045</v>
      </c>
      <c r="O37" s="15">
        <v>98218.245230769215</v>
      </c>
      <c r="P37" s="15">
        <v>-1.3076923076923066</v>
      </c>
      <c r="Q37" s="15">
        <v>7.2317106227110344</v>
      </c>
      <c r="R37" s="15">
        <v>-2033.345230769206</v>
      </c>
      <c r="S37" s="15">
        <v>376.04895238097379</v>
      </c>
      <c r="T37" s="15">
        <v>-2409.3941831501807</v>
      </c>
      <c r="U37" s="17">
        <v>0.97546897546897549</v>
      </c>
      <c r="V37" s="17" t="s">
        <v>364</v>
      </c>
      <c r="W37" s="17" t="s">
        <v>364</v>
      </c>
      <c r="X37" s="17" t="s">
        <v>364</v>
      </c>
      <c r="Y37" s="17" t="s">
        <v>364</v>
      </c>
      <c r="Z37" s="86"/>
      <c r="AA37" s="86"/>
      <c r="AB37"/>
    </row>
    <row r="38" spans="1:28" x14ac:dyDescent="0.25">
      <c r="A38" s="21" t="s">
        <v>19</v>
      </c>
      <c r="B38" s="21" t="s">
        <v>51</v>
      </c>
      <c r="C38" s="21" t="s">
        <v>288</v>
      </c>
      <c r="D38" s="15">
        <v>16.739130434782609</v>
      </c>
      <c r="E38" s="57">
        <v>1354.3571428571429</v>
      </c>
      <c r="F38" s="15">
        <v>22670.76086956522</v>
      </c>
      <c r="G38" s="15">
        <v>22.478260869565219</v>
      </c>
      <c r="H38" s="57">
        <v>1608.8297872340424</v>
      </c>
      <c r="I38" s="15">
        <v>36163.695652173912</v>
      </c>
      <c r="J38" s="15">
        <v>7</v>
      </c>
      <c r="K38" s="57">
        <v>965.71428571428567</v>
      </c>
      <c r="L38" s="15">
        <v>6760</v>
      </c>
      <c r="M38" s="15">
        <v>20.815384615384616</v>
      </c>
      <c r="N38" s="15">
        <v>1522.0193702413214</v>
      </c>
      <c r="O38" s="15">
        <v>31681.418583638584</v>
      </c>
      <c r="P38" s="15">
        <v>-13.815384615384616</v>
      </c>
      <c r="Q38" s="15">
        <v>-556.30508452703577</v>
      </c>
      <c r="R38" s="15">
        <v>-24921.418583638584</v>
      </c>
      <c r="S38" s="15">
        <v>-3894.1355916892503</v>
      </c>
      <c r="T38" s="15">
        <v>-21027.282991949334</v>
      </c>
      <c r="U38" s="17">
        <v>0.33628972653362899</v>
      </c>
      <c r="V38" s="17">
        <v>-0.58181818181818179</v>
      </c>
      <c r="W38" s="17">
        <v>-0.70181856538061382</v>
      </c>
      <c r="X38" s="17">
        <v>-0.68858800773694395</v>
      </c>
      <c r="Y38" s="17">
        <v>-0.81307220188394558</v>
      </c>
      <c r="Z38" s="86"/>
      <c r="AA38" s="86"/>
      <c r="AB38"/>
    </row>
    <row r="39" spans="1:28" x14ac:dyDescent="0.25">
      <c r="A39" s="21" t="s">
        <v>19</v>
      </c>
      <c r="B39" s="21" t="s">
        <v>39</v>
      </c>
      <c r="C39" s="21" t="s">
        <v>289</v>
      </c>
      <c r="D39" s="15" t="s">
        <v>364</v>
      </c>
      <c r="E39" s="57" t="s">
        <v>364</v>
      </c>
      <c r="F39" s="15" t="s">
        <v>364</v>
      </c>
      <c r="G39" s="15" t="s">
        <v>364</v>
      </c>
      <c r="H39" s="57" t="s">
        <v>364</v>
      </c>
      <c r="I39" s="15" t="s">
        <v>364</v>
      </c>
      <c r="J39" s="15">
        <v>5</v>
      </c>
      <c r="K39" s="57">
        <v>984.05</v>
      </c>
      <c r="L39" s="15">
        <v>4920.25</v>
      </c>
      <c r="M39" s="15" t="s">
        <v>364</v>
      </c>
      <c r="N39" s="15" t="s">
        <v>364</v>
      </c>
      <c r="O39" s="15" t="s">
        <v>364</v>
      </c>
      <c r="P39" s="15" t="s">
        <v>364</v>
      </c>
      <c r="Q39" s="15" t="s">
        <v>364</v>
      </c>
      <c r="R39" s="15" t="s">
        <v>364</v>
      </c>
      <c r="S39" s="15" t="s">
        <v>364</v>
      </c>
      <c r="T39" s="15" t="s">
        <v>364</v>
      </c>
      <c r="U39" s="17" t="s">
        <v>364</v>
      </c>
      <c r="V39" s="17" t="s">
        <v>364</v>
      </c>
      <c r="W39" s="17" t="s">
        <v>364</v>
      </c>
      <c r="X39" s="17" t="s">
        <v>364</v>
      </c>
      <c r="Y39" s="17" t="s">
        <v>364</v>
      </c>
      <c r="Z39" s="86"/>
      <c r="AA39" s="86"/>
      <c r="AB39"/>
    </row>
    <row r="40" spans="1:28" x14ac:dyDescent="0.25">
      <c r="A40" s="21" t="s">
        <v>19</v>
      </c>
      <c r="B40" s="21" t="s">
        <v>46</v>
      </c>
      <c r="C40" s="21" t="s">
        <v>290</v>
      </c>
      <c r="D40" s="15">
        <v>14.347826086956522</v>
      </c>
      <c r="E40" s="57">
        <v>856.06666666666672</v>
      </c>
      <c r="F40" s="15">
        <v>12282.695652173914</v>
      </c>
      <c r="G40" s="15">
        <v>5.2608695652173916</v>
      </c>
      <c r="H40" s="57">
        <v>711.09090909090912</v>
      </c>
      <c r="I40" s="15">
        <v>3740.9565217391305</v>
      </c>
      <c r="J40" s="15">
        <v>21</v>
      </c>
      <c r="K40" s="57">
        <v>673.14047619047619</v>
      </c>
      <c r="L40" s="15">
        <v>14135.95</v>
      </c>
      <c r="M40" s="15">
        <v>16.923076923076923</v>
      </c>
      <c r="N40" s="15">
        <v>1099.0000000000002</v>
      </c>
      <c r="O40" s="15">
        <v>18598.461538461543</v>
      </c>
      <c r="P40" s="15">
        <v>4.0769230769230766</v>
      </c>
      <c r="Q40" s="15">
        <v>-425.85952380952403</v>
      </c>
      <c r="R40" s="15">
        <v>-4462.5115384615419</v>
      </c>
      <c r="S40" s="15">
        <v>-8943.0500000000047</v>
      </c>
      <c r="T40" s="15">
        <v>4480.5384615384619</v>
      </c>
      <c r="U40" s="17">
        <v>1.240909090909091</v>
      </c>
      <c r="V40" s="17">
        <v>0.46363636363636368</v>
      </c>
      <c r="W40" s="17">
        <v>0.1508833565780065</v>
      </c>
      <c r="X40" s="17">
        <v>2.9917355371900825</v>
      </c>
      <c r="Y40" s="17">
        <v>2.7786993561284028</v>
      </c>
      <c r="Z40" s="86"/>
      <c r="AA40" s="86"/>
      <c r="AB40"/>
    </row>
    <row r="41" spans="1:28" x14ac:dyDescent="0.25">
      <c r="A41" s="21" t="s">
        <v>19</v>
      </c>
      <c r="B41" s="21" t="s">
        <v>278</v>
      </c>
      <c r="C41" s="21" t="s">
        <v>291</v>
      </c>
      <c r="D41" s="15">
        <v>4.304347826086957</v>
      </c>
      <c r="E41" s="57">
        <v>3020.5555555555557</v>
      </c>
      <c r="F41" s="15">
        <v>13001.521739130436</v>
      </c>
      <c r="G41" s="15" t="s">
        <v>364</v>
      </c>
      <c r="H41" s="57" t="s">
        <v>364</v>
      </c>
      <c r="I41" s="15" t="s">
        <v>364</v>
      </c>
      <c r="J41" s="15">
        <v>4</v>
      </c>
      <c r="K41" s="57">
        <v>1432.5625</v>
      </c>
      <c r="L41" s="15">
        <v>5730.25</v>
      </c>
      <c r="M41" s="15">
        <v>8.4615384615384617</v>
      </c>
      <c r="N41" s="15">
        <v>2081.6400000000003</v>
      </c>
      <c r="O41" s="15">
        <v>17613.876923076925</v>
      </c>
      <c r="P41" s="15">
        <v>-4.4615384615384617</v>
      </c>
      <c r="Q41" s="15">
        <v>-649.07750000000033</v>
      </c>
      <c r="R41" s="15">
        <v>-11883.626923076925</v>
      </c>
      <c r="S41" s="15">
        <v>-2596.3100000000013</v>
      </c>
      <c r="T41" s="15">
        <v>-9287.3169230769254</v>
      </c>
      <c r="U41" s="17">
        <v>0.47272727272727272</v>
      </c>
      <c r="V41" s="17">
        <v>-7.0707070707070802E-2</v>
      </c>
      <c r="W41" s="17">
        <v>-0.55926312973397763</v>
      </c>
      <c r="X41" s="17" t="s">
        <v>364</v>
      </c>
      <c r="Y41" s="17" t="s">
        <v>364</v>
      </c>
      <c r="Z41" s="86"/>
      <c r="AA41" s="86"/>
      <c r="AB41"/>
    </row>
    <row r="42" spans="1:28" x14ac:dyDescent="0.25">
      <c r="A42" s="21" t="s">
        <v>19</v>
      </c>
      <c r="B42" s="21" t="s">
        <v>39</v>
      </c>
      <c r="C42" s="21" t="s">
        <v>292</v>
      </c>
      <c r="D42" s="15" t="s">
        <v>364</v>
      </c>
      <c r="E42" s="57" t="s">
        <v>364</v>
      </c>
      <c r="F42" s="15" t="s">
        <v>364</v>
      </c>
      <c r="G42" s="15" t="s">
        <v>364</v>
      </c>
      <c r="H42" s="57" t="s">
        <v>364</v>
      </c>
      <c r="I42" s="15" t="s">
        <v>364</v>
      </c>
      <c r="J42" s="15">
        <v>45</v>
      </c>
      <c r="K42" s="57">
        <v>1036.5311111111112</v>
      </c>
      <c r="L42" s="15">
        <v>46643.9</v>
      </c>
      <c r="M42" s="15">
        <v>72.092307692307699</v>
      </c>
      <c r="N42" s="15">
        <v>1299.9999999999998</v>
      </c>
      <c r="O42" s="15">
        <v>93720</v>
      </c>
      <c r="P42" s="15">
        <v>-27.092307692307699</v>
      </c>
      <c r="Q42" s="15">
        <v>-263.46888888888861</v>
      </c>
      <c r="R42" s="15">
        <v>-47076.1</v>
      </c>
      <c r="S42" s="15">
        <v>-11856.099999999988</v>
      </c>
      <c r="T42" s="15">
        <v>-35220</v>
      </c>
      <c r="U42" s="17">
        <v>0.62419974391805377</v>
      </c>
      <c r="V42" s="17" t="s">
        <v>364</v>
      </c>
      <c r="W42" s="17" t="s">
        <v>364</v>
      </c>
      <c r="X42" s="17" t="s">
        <v>364</v>
      </c>
      <c r="Y42" s="17" t="s">
        <v>364</v>
      </c>
      <c r="Z42" s="86"/>
      <c r="AA42" s="86"/>
      <c r="AB42"/>
    </row>
    <row r="43" spans="1:28" x14ac:dyDescent="0.25">
      <c r="A43" s="21" t="s">
        <v>19</v>
      </c>
      <c r="B43" s="21" t="s">
        <v>45</v>
      </c>
      <c r="C43" s="21" t="s">
        <v>293</v>
      </c>
      <c r="D43" s="15">
        <v>38.739130434782609</v>
      </c>
      <c r="E43" s="57">
        <v>567.47814814814808</v>
      </c>
      <c r="F43" s="15">
        <v>21983.609999999997</v>
      </c>
      <c r="G43" s="15">
        <v>42.565217391304351</v>
      </c>
      <c r="H43" s="57">
        <v>890.35842696629209</v>
      </c>
      <c r="I43" s="15">
        <v>37898.300000000003</v>
      </c>
      <c r="J43" s="15">
        <v>25</v>
      </c>
      <c r="K43" s="57">
        <v>1218.3139999999999</v>
      </c>
      <c r="L43" s="15">
        <v>30457.85</v>
      </c>
      <c r="M43" s="15">
        <v>41.46153846153846</v>
      </c>
      <c r="N43" s="15">
        <v>1328.0935374149662</v>
      </c>
      <c r="O43" s="15">
        <v>55064.801282051289</v>
      </c>
      <c r="P43" s="15">
        <v>-16.46153846153846</v>
      </c>
      <c r="Q43" s="15">
        <v>-109.7795374149664</v>
      </c>
      <c r="R43" s="15">
        <v>-24606.95128205129</v>
      </c>
      <c r="S43" s="15">
        <v>-2744.48843537416</v>
      </c>
      <c r="T43" s="15">
        <v>-21862.462846677136</v>
      </c>
      <c r="U43" s="17">
        <v>0.60296846011131733</v>
      </c>
      <c r="V43" s="17">
        <v>-0.35465768799102132</v>
      </c>
      <c r="W43" s="17">
        <v>0.38547990980553254</v>
      </c>
      <c r="X43" s="17">
        <v>-0.41266598569969359</v>
      </c>
      <c r="Y43" s="17">
        <v>-0.19632674816548509</v>
      </c>
      <c r="Z43" s="86"/>
      <c r="AA43" s="86"/>
      <c r="AB43"/>
    </row>
    <row r="44" spans="1:28" x14ac:dyDescent="0.25">
      <c r="A44" s="21" t="s">
        <v>19</v>
      </c>
      <c r="B44" s="21" t="s">
        <v>51</v>
      </c>
      <c r="C44" s="21" t="s">
        <v>294</v>
      </c>
      <c r="D44" s="15" t="s">
        <v>364</v>
      </c>
      <c r="E44" s="57" t="s">
        <v>364</v>
      </c>
      <c r="F44" s="15" t="s">
        <v>364</v>
      </c>
      <c r="G44" s="15" t="s">
        <v>364</v>
      </c>
      <c r="H44" s="57" t="s">
        <v>364</v>
      </c>
      <c r="I44" s="15" t="s">
        <v>364</v>
      </c>
      <c r="J44" s="15">
        <v>18</v>
      </c>
      <c r="K44" s="57">
        <v>753.88888888888891</v>
      </c>
      <c r="L44" s="15">
        <v>13570</v>
      </c>
      <c r="M44" s="15">
        <v>19.8</v>
      </c>
      <c r="N44" s="15">
        <v>842.02739494301989</v>
      </c>
      <c r="O44" s="15">
        <v>16672.142419871794</v>
      </c>
      <c r="P44" s="15">
        <v>-1.8000000000000007</v>
      </c>
      <c r="Q44" s="15">
        <v>-88.138506054130971</v>
      </c>
      <c r="R44" s="15">
        <v>-3102.1424198717941</v>
      </c>
      <c r="S44" s="15">
        <v>-1586.4931089743575</v>
      </c>
      <c r="T44" s="15">
        <v>-1515.6493108974364</v>
      </c>
      <c r="U44" s="17">
        <v>0.90909090909090906</v>
      </c>
      <c r="V44" s="17" t="s">
        <v>364</v>
      </c>
      <c r="W44" s="17" t="s">
        <v>364</v>
      </c>
      <c r="X44" s="17" t="s">
        <v>364</v>
      </c>
      <c r="Y44" s="17" t="s">
        <v>364</v>
      </c>
      <c r="Z44" s="86"/>
      <c r="AA44" s="86"/>
      <c r="AB44"/>
    </row>
    <row r="45" spans="1:28" x14ac:dyDescent="0.25">
      <c r="A45" s="21" t="s">
        <v>19</v>
      </c>
      <c r="B45" s="21" t="s">
        <v>278</v>
      </c>
      <c r="C45" s="21" t="s">
        <v>295</v>
      </c>
      <c r="D45" s="15" t="s">
        <v>364</v>
      </c>
      <c r="E45" s="57" t="s">
        <v>364</v>
      </c>
      <c r="F45" s="15" t="s">
        <v>364</v>
      </c>
      <c r="G45" s="15" t="s">
        <v>364</v>
      </c>
      <c r="H45" s="57" t="s">
        <v>364</v>
      </c>
      <c r="I45" s="15" t="s">
        <v>364</v>
      </c>
      <c r="J45" s="15">
        <v>8</v>
      </c>
      <c r="K45" s="57">
        <v>313.35999999999996</v>
      </c>
      <c r="L45" s="15">
        <v>2506.8799999999997</v>
      </c>
      <c r="M45" s="15">
        <v>20.324780707746964</v>
      </c>
      <c r="N45" s="15">
        <v>563</v>
      </c>
      <c r="O45" s="15">
        <v>11442.85153846154</v>
      </c>
      <c r="P45" s="15">
        <v>-12.324780707746964</v>
      </c>
      <c r="Q45" s="15">
        <v>-249.64000000000004</v>
      </c>
      <c r="R45" s="15">
        <v>-8935.9715384615411</v>
      </c>
      <c r="S45" s="15">
        <v>-1997.1200000000003</v>
      </c>
      <c r="T45" s="15">
        <v>-6938.8515384615403</v>
      </c>
      <c r="U45" s="17">
        <v>0.39360818279090865</v>
      </c>
      <c r="V45" s="17" t="s">
        <v>364</v>
      </c>
      <c r="W45" s="17" t="s">
        <v>364</v>
      </c>
      <c r="X45" s="17" t="s">
        <v>364</v>
      </c>
      <c r="Y45" s="17" t="s">
        <v>364</v>
      </c>
      <c r="Z45" s="86"/>
      <c r="AA45" s="86"/>
      <c r="AB45"/>
    </row>
    <row r="46" spans="1:28" x14ac:dyDescent="0.25">
      <c r="A46" s="21" t="s">
        <v>19</v>
      </c>
      <c r="B46" s="21" t="s">
        <v>154</v>
      </c>
      <c r="C46" s="21" t="s">
        <v>296</v>
      </c>
      <c r="D46" s="15" t="s">
        <v>364</v>
      </c>
      <c r="E46" s="57" t="s">
        <v>364</v>
      </c>
      <c r="F46" s="15" t="s">
        <v>364</v>
      </c>
      <c r="G46" s="15" t="s">
        <v>364</v>
      </c>
      <c r="H46" s="57" t="s">
        <v>364</v>
      </c>
      <c r="I46" s="15" t="s">
        <v>364</v>
      </c>
      <c r="J46" s="15">
        <v>6</v>
      </c>
      <c r="K46" s="57">
        <v>3155.8333333333335</v>
      </c>
      <c r="L46" s="15">
        <v>18935</v>
      </c>
      <c r="M46" s="15">
        <v>12.692307692307692</v>
      </c>
      <c r="N46" s="15">
        <v>1200</v>
      </c>
      <c r="O46" s="15">
        <v>15230.76923076923</v>
      </c>
      <c r="P46" s="15">
        <v>-6.6923076923076916</v>
      </c>
      <c r="Q46" s="15">
        <v>1955.8333333333335</v>
      </c>
      <c r="R46" s="15">
        <v>3704.2307692307695</v>
      </c>
      <c r="S46" s="15">
        <v>11735</v>
      </c>
      <c r="T46" s="15">
        <v>-8030.7692307692296</v>
      </c>
      <c r="U46" s="17">
        <v>0.47272727272727277</v>
      </c>
      <c r="V46" s="17" t="s">
        <v>364</v>
      </c>
      <c r="W46" s="17" t="s">
        <v>364</v>
      </c>
      <c r="X46" s="17" t="s">
        <v>364</v>
      </c>
      <c r="Y46" s="17" t="s">
        <v>364</v>
      </c>
      <c r="Z46" s="86"/>
      <c r="AA46" s="86"/>
      <c r="AB46"/>
    </row>
    <row r="47" spans="1:28" x14ac:dyDescent="0.25">
      <c r="A47" s="21" t="s">
        <v>19</v>
      </c>
      <c r="B47" s="21" t="s">
        <v>39</v>
      </c>
      <c r="C47" s="21" t="s">
        <v>297</v>
      </c>
      <c r="D47" s="15">
        <v>6.6956521739130439</v>
      </c>
      <c r="E47" s="57">
        <v>2261.7857142857142</v>
      </c>
      <c r="F47" s="15">
        <v>15144.13043478261</v>
      </c>
      <c r="G47" s="15">
        <v>14.347826086956522</v>
      </c>
      <c r="H47" s="57">
        <v>2577.1616666666669</v>
      </c>
      <c r="I47" s="15">
        <v>36976.667391304349</v>
      </c>
      <c r="J47" s="15">
        <v>10</v>
      </c>
      <c r="K47" s="57">
        <v>1823.068</v>
      </c>
      <c r="L47" s="15">
        <v>18230.68</v>
      </c>
      <c r="M47" s="15">
        <v>16.923076923076923</v>
      </c>
      <c r="N47" s="15">
        <v>1884.425</v>
      </c>
      <c r="O47" s="15">
        <v>31890.26923076923</v>
      </c>
      <c r="P47" s="15">
        <v>-6.9230769230769234</v>
      </c>
      <c r="Q47" s="15">
        <v>-61.356999999999971</v>
      </c>
      <c r="R47" s="15">
        <v>-13659.58923076923</v>
      </c>
      <c r="S47" s="15">
        <v>-613.56999999999971</v>
      </c>
      <c r="T47" s="15">
        <v>-13046.01923076923</v>
      </c>
      <c r="U47" s="17">
        <v>0.59090909090909094</v>
      </c>
      <c r="V47" s="17">
        <v>0.49350649350649339</v>
      </c>
      <c r="W47" s="17">
        <v>0.20381160730947553</v>
      </c>
      <c r="X47" s="17">
        <v>-0.30303030303030304</v>
      </c>
      <c r="Y47" s="17">
        <v>-0.50696800749850068</v>
      </c>
      <c r="Z47" s="86"/>
      <c r="AA47" s="86"/>
      <c r="AB47"/>
    </row>
    <row r="48" spans="1:28" x14ac:dyDescent="0.25">
      <c r="A48" s="21" t="s">
        <v>19</v>
      </c>
      <c r="B48" s="21" t="s">
        <v>51</v>
      </c>
      <c r="C48" s="21" t="s">
        <v>298</v>
      </c>
      <c r="D48" s="15">
        <v>1.9130434782608696</v>
      </c>
      <c r="E48" s="57">
        <v>500.00000000000006</v>
      </c>
      <c r="F48" s="15">
        <v>956.52173913043487</v>
      </c>
      <c r="G48" s="15">
        <v>4.7826086956521738</v>
      </c>
      <c r="H48" s="57">
        <v>490.00000000000006</v>
      </c>
      <c r="I48" s="15">
        <v>2343.4782608695655</v>
      </c>
      <c r="J48" s="15">
        <v>12</v>
      </c>
      <c r="K48" s="57">
        <v>418.44083333333327</v>
      </c>
      <c r="L48" s="15">
        <v>5021.2899999999991</v>
      </c>
      <c r="M48" s="15">
        <v>16.753846153846155</v>
      </c>
      <c r="N48" s="15">
        <v>428.28484126984125</v>
      </c>
      <c r="O48" s="15">
        <v>7175.4183406593411</v>
      </c>
      <c r="P48" s="15">
        <v>-4.7538461538461547</v>
      </c>
      <c r="Q48" s="15">
        <v>-9.8440079365079782</v>
      </c>
      <c r="R48" s="15">
        <v>-2154.128340659342</v>
      </c>
      <c r="S48" s="15">
        <v>-118.12809523809574</v>
      </c>
      <c r="T48" s="15">
        <v>-2036.0002454212456</v>
      </c>
      <c r="U48" s="17">
        <v>0.71625344352617071</v>
      </c>
      <c r="V48" s="17">
        <v>5.2727272727272725</v>
      </c>
      <c r="W48" s="17">
        <v>4.2495304545454529</v>
      </c>
      <c r="X48" s="17">
        <v>1.509090909090909</v>
      </c>
      <c r="Y48" s="17">
        <v>1.1426654916512053</v>
      </c>
    </row>
    <row r="49" spans="1:25" x14ac:dyDescent="0.25">
      <c r="A49" s="21" t="s">
        <v>19</v>
      </c>
      <c r="B49" s="21" t="s">
        <v>154</v>
      </c>
      <c r="C49" s="21" t="s">
        <v>227</v>
      </c>
      <c r="D49" s="15">
        <v>0.95652173913043481</v>
      </c>
      <c r="E49" s="57">
        <v>600</v>
      </c>
      <c r="F49" s="15">
        <v>573.91304347826087</v>
      </c>
      <c r="G49" s="15" t="s">
        <v>364</v>
      </c>
      <c r="H49" s="57" t="s">
        <v>364</v>
      </c>
      <c r="I49" s="15" t="s">
        <v>364</v>
      </c>
      <c r="J49" s="15">
        <v>2</v>
      </c>
      <c r="K49" s="57">
        <v>700</v>
      </c>
      <c r="L49" s="15">
        <v>1400</v>
      </c>
      <c r="M49" s="15">
        <v>9.5189134615384621</v>
      </c>
      <c r="N49" s="15">
        <v>1199.9999999999998</v>
      </c>
      <c r="O49" s="15">
        <v>11422.696153846153</v>
      </c>
      <c r="P49" s="15">
        <v>-7.5189134615384621</v>
      </c>
      <c r="Q49" s="15">
        <v>-499.99999999999977</v>
      </c>
      <c r="R49" s="15">
        <v>-10022.696153846153</v>
      </c>
      <c r="S49" s="15">
        <v>-999.99999999999955</v>
      </c>
      <c r="T49" s="15">
        <v>-9022.6961538461528</v>
      </c>
      <c r="U49" s="17">
        <v>0.21010801370146681</v>
      </c>
      <c r="V49" s="17">
        <v>1.0909090909090908</v>
      </c>
      <c r="W49" s="17">
        <v>1.4393939393939394</v>
      </c>
      <c r="X49" s="17" t="s">
        <v>364</v>
      </c>
      <c r="Y49" s="17" t="s">
        <v>364</v>
      </c>
    </row>
    <row r="50" spans="1:25" x14ac:dyDescent="0.25">
      <c r="A50" s="21" t="s">
        <v>19</v>
      </c>
      <c r="B50" s="21" t="s">
        <v>39</v>
      </c>
      <c r="C50" s="21" t="s">
        <v>299</v>
      </c>
      <c r="D50" s="15">
        <v>111.43478260869566</v>
      </c>
      <c r="E50" s="57">
        <v>1300.2302575107299</v>
      </c>
      <c r="F50" s="15">
        <v>144890.87608695656</v>
      </c>
      <c r="G50" s="15">
        <v>43.04347826086957</v>
      </c>
      <c r="H50" s="57">
        <v>2194.4248888888887</v>
      </c>
      <c r="I50" s="15">
        <v>94455.680000000008</v>
      </c>
      <c r="J50" s="15">
        <v>0</v>
      </c>
      <c r="K50" s="57" t="s">
        <v>364</v>
      </c>
      <c r="L50" s="15">
        <v>0</v>
      </c>
      <c r="M50" s="15">
        <v>80.807692307692307</v>
      </c>
      <c r="N50" s="15">
        <v>1400</v>
      </c>
      <c r="O50" s="15">
        <v>113130.76923076923</v>
      </c>
      <c r="P50" s="15">
        <v>-80.807692307692307</v>
      </c>
      <c r="Q50" s="15" t="s">
        <v>364</v>
      </c>
      <c r="R50" s="15">
        <v>-113130.76923076923</v>
      </c>
      <c r="S50" s="15" t="s">
        <v>364</v>
      </c>
      <c r="T50" s="15">
        <v>-113130.76923076923</v>
      </c>
      <c r="U50" s="17">
        <v>0</v>
      </c>
      <c r="V50" s="17">
        <v>-1</v>
      </c>
      <c r="W50" s="17">
        <v>-1</v>
      </c>
      <c r="X50" s="17">
        <v>-1</v>
      </c>
      <c r="Y50" s="17">
        <v>-1</v>
      </c>
    </row>
    <row r="51" spans="1:25" x14ac:dyDescent="0.25">
      <c r="A51" s="21" t="s">
        <v>19</v>
      </c>
      <c r="B51" s="21" t="s">
        <v>39</v>
      </c>
      <c r="C51" s="21" t="s">
        <v>300</v>
      </c>
      <c r="D51" s="15" t="s">
        <v>364</v>
      </c>
      <c r="E51" s="57" t="s">
        <v>364</v>
      </c>
      <c r="F51" s="15" t="s">
        <v>364</v>
      </c>
      <c r="G51" s="15" t="s">
        <v>364</v>
      </c>
      <c r="H51" s="57" t="s">
        <v>364</v>
      </c>
      <c r="I51" s="15" t="s">
        <v>364</v>
      </c>
      <c r="J51" s="15">
        <v>0</v>
      </c>
      <c r="K51" s="57" t="s">
        <v>364</v>
      </c>
      <c r="L51" s="15">
        <v>0</v>
      </c>
      <c r="M51" s="15">
        <v>13.53846153846154</v>
      </c>
      <c r="N51" s="15">
        <v>4123.8203125</v>
      </c>
      <c r="O51" s="15">
        <v>55830.182692307695</v>
      </c>
      <c r="P51" s="15">
        <v>-13.53846153846154</v>
      </c>
      <c r="Q51" s="15" t="s">
        <v>364</v>
      </c>
      <c r="R51" s="15">
        <v>-55830.182692307695</v>
      </c>
      <c r="S51" s="15" t="s">
        <v>364</v>
      </c>
      <c r="T51" s="15">
        <v>-55830.182692307702</v>
      </c>
      <c r="U51" s="17">
        <v>0</v>
      </c>
      <c r="V51" s="17" t="s">
        <v>364</v>
      </c>
      <c r="W51" s="17" t="s">
        <v>364</v>
      </c>
      <c r="X51" s="17" t="s">
        <v>364</v>
      </c>
      <c r="Y51" s="17" t="s">
        <v>364</v>
      </c>
    </row>
    <row r="52" spans="1:25" x14ac:dyDescent="0.25">
      <c r="A52" s="21" t="s">
        <v>19</v>
      </c>
      <c r="B52" s="21" t="s">
        <v>222</v>
      </c>
      <c r="C52" s="21" t="s">
        <v>301</v>
      </c>
      <c r="D52" s="15" t="s">
        <v>364</v>
      </c>
      <c r="E52" s="57" t="s">
        <v>364</v>
      </c>
      <c r="F52" s="15" t="s">
        <v>364</v>
      </c>
      <c r="G52" s="15" t="s">
        <v>364</v>
      </c>
      <c r="H52" s="57" t="s">
        <v>364</v>
      </c>
      <c r="I52" s="15" t="s">
        <v>364</v>
      </c>
      <c r="J52" s="15">
        <v>0</v>
      </c>
      <c r="K52" s="57" t="s">
        <v>364</v>
      </c>
      <c r="L52" s="15">
        <v>0</v>
      </c>
      <c r="M52" s="15">
        <v>2.5384615384615388</v>
      </c>
      <c r="N52" s="15">
        <v>1225</v>
      </c>
      <c r="O52" s="15">
        <v>3109.6153846153852</v>
      </c>
      <c r="P52" s="15">
        <v>-2.5384615384615388</v>
      </c>
      <c r="Q52" s="15" t="s">
        <v>364</v>
      </c>
      <c r="R52" s="15">
        <v>-3109.6153846153852</v>
      </c>
      <c r="S52" s="15" t="s">
        <v>364</v>
      </c>
      <c r="T52" s="15">
        <v>-3109.6153846153852</v>
      </c>
      <c r="U52" s="17">
        <v>0</v>
      </c>
      <c r="V52" s="17" t="s">
        <v>364</v>
      </c>
      <c r="W52" s="17" t="s">
        <v>364</v>
      </c>
      <c r="X52" s="17" t="s">
        <v>364</v>
      </c>
      <c r="Y52" s="17" t="s">
        <v>364</v>
      </c>
    </row>
    <row r="53" spans="1:25" x14ac:dyDescent="0.25">
      <c r="A53" s="21" t="s">
        <v>19</v>
      </c>
      <c r="B53" s="21" t="s">
        <v>222</v>
      </c>
      <c r="C53" s="21" t="s">
        <v>710</v>
      </c>
      <c r="D53" s="15" t="s">
        <v>364</v>
      </c>
      <c r="E53" s="57" t="s">
        <v>364</v>
      </c>
      <c r="F53" s="15" t="s">
        <v>364</v>
      </c>
      <c r="G53" s="15" t="s">
        <v>364</v>
      </c>
      <c r="H53" s="57" t="s">
        <v>364</v>
      </c>
      <c r="I53" s="15" t="s">
        <v>364</v>
      </c>
      <c r="J53" s="15">
        <v>5</v>
      </c>
      <c r="K53" s="57">
        <v>630</v>
      </c>
      <c r="L53" s="15">
        <v>3150</v>
      </c>
      <c r="M53" s="15">
        <v>4.2307692307692308</v>
      </c>
      <c r="N53" s="15">
        <v>1225.0000000000002</v>
      </c>
      <c r="O53" s="15">
        <v>5182.6923076923085</v>
      </c>
      <c r="P53" s="15">
        <v>0.76923076923076916</v>
      </c>
      <c r="Q53" s="15">
        <v>-595.00000000000023</v>
      </c>
      <c r="R53" s="15">
        <v>-2032.6923076923085</v>
      </c>
      <c r="S53" s="15">
        <v>-2975.0000000000009</v>
      </c>
      <c r="T53" s="15">
        <v>942.30769230769238</v>
      </c>
      <c r="U53" s="17">
        <v>1.1818181818181819</v>
      </c>
      <c r="V53" s="17" t="s">
        <v>364</v>
      </c>
      <c r="W53" s="17" t="s">
        <v>364</v>
      </c>
      <c r="X53" s="17" t="s">
        <v>364</v>
      </c>
      <c r="Y53" s="17" t="s">
        <v>364</v>
      </c>
    </row>
    <row r="54" spans="1:25" x14ac:dyDescent="0.25">
      <c r="A54" s="21" t="s">
        <v>19</v>
      </c>
      <c r="B54" s="21" t="s">
        <v>278</v>
      </c>
      <c r="C54" s="21" t="s">
        <v>302</v>
      </c>
      <c r="D54" s="15" t="s">
        <v>364</v>
      </c>
      <c r="E54" s="57" t="s">
        <v>364</v>
      </c>
      <c r="F54" s="15" t="s">
        <v>364</v>
      </c>
      <c r="G54" s="15" t="s">
        <v>364</v>
      </c>
      <c r="H54" s="57" t="s">
        <v>364</v>
      </c>
      <c r="I54" s="15" t="s">
        <v>364</v>
      </c>
      <c r="J54" s="15">
        <v>0</v>
      </c>
      <c r="K54" s="57" t="s">
        <v>364</v>
      </c>
      <c r="L54" s="15">
        <v>0</v>
      </c>
      <c r="M54" s="15">
        <v>4.2307692307692308</v>
      </c>
      <c r="N54" s="15">
        <v>1735.1376058201058</v>
      </c>
      <c r="O54" s="15">
        <v>7340.9667938542943</v>
      </c>
      <c r="P54" s="15">
        <v>-4.2307692307692308</v>
      </c>
      <c r="Q54" s="15" t="s">
        <v>364</v>
      </c>
      <c r="R54" s="15">
        <v>-7340.9667938542943</v>
      </c>
      <c r="S54" s="15" t="s">
        <v>364</v>
      </c>
      <c r="T54" s="15">
        <v>-7340.9667938542943</v>
      </c>
      <c r="U54" s="17">
        <v>0</v>
      </c>
      <c r="V54" s="17" t="s">
        <v>364</v>
      </c>
      <c r="W54" s="17" t="s">
        <v>364</v>
      </c>
      <c r="X54" s="17" t="s">
        <v>364</v>
      </c>
      <c r="Y54" s="17" t="s">
        <v>364</v>
      </c>
    </row>
    <row r="55" spans="1:25" x14ac:dyDescent="0.25">
      <c r="A55" s="21" t="s">
        <v>19</v>
      </c>
      <c r="B55" s="21" t="s">
        <v>278</v>
      </c>
      <c r="C55" s="21" t="s">
        <v>709</v>
      </c>
      <c r="D55" s="15" t="s">
        <v>364</v>
      </c>
      <c r="E55" s="57" t="s">
        <v>364</v>
      </c>
      <c r="F55" s="15" t="s">
        <v>364</v>
      </c>
      <c r="G55" s="15" t="s">
        <v>364</v>
      </c>
      <c r="H55" s="57" t="s">
        <v>364</v>
      </c>
      <c r="I55" s="15" t="s">
        <v>364</v>
      </c>
      <c r="J55" s="15">
        <v>3</v>
      </c>
      <c r="K55" s="57">
        <v>1194.2166666666667</v>
      </c>
      <c r="L55" s="15">
        <v>3582.65</v>
      </c>
      <c r="M55" s="15">
        <v>4.2307692307692308</v>
      </c>
      <c r="N55" s="15">
        <v>1813.0714285714289</v>
      </c>
      <c r="O55" s="15">
        <v>7670.686813186815</v>
      </c>
      <c r="P55" s="15">
        <v>-1.2307692307692308</v>
      </c>
      <c r="Q55" s="15">
        <v>-618.8547619047622</v>
      </c>
      <c r="R55" s="15">
        <v>-4088.0368131868149</v>
      </c>
      <c r="S55" s="15">
        <v>-1856.5642857142866</v>
      </c>
      <c r="T55" s="15">
        <v>-2231.4725274725279</v>
      </c>
      <c r="U55" s="17">
        <v>0.70909090909090911</v>
      </c>
      <c r="V55" s="17" t="s">
        <v>364</v>
      </c>
      <c r="W55" s="17" t="s">
        <v>364</v>
      </c>
      <c r="X55" s="17" t="s">
        <v>364</v>
      </c>
      <c r="Y55" s="17" t="s">
        <v>364</v>
      </c>
    </row>
    <row r="56" spans="1:25" x14ac:dyDescent="0.25">
      <c r="A56" s="21" t="s">
        <v>19</v>
      </c>
      <c r="B56" s="21" t="s">
        <v>278</v>
      </c>
      <c r="C56" s="21" t="s">
        <v>303</v>
      </c>
      <c r="D56" s="15" t="s">
        <v>364</v>
      </c>
      <c r="E56" s="57" t="s">
        <v>364</v>
      </c>
      <c r="F56" s="15" t="s">
        <v>364</v>
      </c>
      <c r="G56" s="15" t="s">
        <v>364</v>
      </c>
      <c r="H56" s="57" t="s">
        <v>364</v>
      </c>
      <c r="I56" s="15" t="s">
        <v>364</v>
      </c>
      <c r="J56" s="15">
        <v>1</v>
      </c>
      <c r="K56" s="57">
        <v>400</v>
      </c>
      <c r="L56" s="15">
        <v>400</v>
      </c>
      <c r="M56" s="15">
        <v>10.576923076923078</v>
      </c>
      <c r="N56" s="15">
        <v>846</v>
      </c>
      <c r="O56" s="15">
        <v>8948.0769230769238</v>
      </c>
      <c r="P56" s="15">
        <v>-9.5769230769230784</v>
      </c>
      <c r="Q56" s="15">
        <v>-446</v>
      </c>
      <c r="R56" s="15">
        <v>-8548.0769230769238</v>
      </c>
      <c r="S56" s="15">
        <v>-446</v>
      </c>
      <c r="T56" s="15">
        <v>-8102.0769230769247</v>
      </c>
      <c r="U56" s="17">
        <v>9.454545454545453E-2</v>
      </c>
      <c r="V56" s="17" t="s">
        <v>364</v>
      </c>
      <c r="W56" s="17" t="s">
        <v>364</v>
      </c>
      <c r="X56" s="17" t="s">
        <v>364</v>
      </c>
      <c r="Y56" s="17" t="s">
        <v>364</v>
      </c>
    </row>
    <row r="57" spans="1:25" x14ac:dyDescent="0.25">
      <c r="A57" s="21" t="s">
        <v>19</v>
      </c>
      <c r="B57" s="21" t="s">
        <v>39</v>
      </c>
      <c r="C57" s="21" t="s">
        <v>343</v>
      </c>
      <c r="D57" s="15" t="s">
        <v>364</v>
      </c>
      <c r="E57" s="57" t="s">
        <v>364</v>
      </c>
      <c r="F57" s="15" t="s">
        <v>364</v>
      </c>
      <c r="G57" s="15" t="s">
        <v>364</v>
      </c>
      <c r="H57" s="57" t="s">
        <v>364</v>
      </c>
      <c r="I57" s="15" t="s">
        <v>364</v>
      </c>
      <c r="J57" s="15">
        <v>2</v>
      </c>
      <c r="K57" s="57">
        <v>254.42500000000001</v>
      </c>
      <c r="L57" s="15">
        <v>508.85</v>
      </c>
      <c r="M57" s="15" t="s">
        <v>364</v>
      </c>
      <c r="N57" s="15" t="s">
        <v>364</v>
      </c>
      <c r="O57" s="15" t="s">
        <v>364</v>
      </c>
      <c r="P57" s="15" t="s">
        <v>364</v>
      </c>
      <c r="Q57" s="15" t="s">
        <v>364</v>
      </c>
      <c r="R57" s="15" t="s">
        <v>364</v>
      </c>
      <c r="S57" s="15" t="s">
        <v>364</v>
      </c>
      <c r="T57" s="15" t="s">
        <v>364</v>
      </c>
      <c r="U57" s="17" t="s">
        <v>364</v>
      </c>
      <c r="V57" s="17" t="s">
        <v>364</v>
      </c>
      <c r="W57" s="17" t="s">
        <v>364</v>
      </c>
      <c r="X57" s="17" t="s">
        <v>364</v>
      </c>
      <c r="Y57" s="17" t="s">
        <v>364</v>
      </c>
    </row>
    <row r="58" spans="1:25" x14ac:dyDescent="0.25">
      <c r="A58" s="21" t="s">
        <v>19</v>
      </c>
      <c r="B58" s="21" t="s">
        <v>154</v>
      </c>
      <c r="C58" s="21" t="s">
        <v>202</v>
      </c>
      <c r="D58" s="15">
        <v>1.9130434782608696</v>
      </c>
      <c r="E58" s="57" t="s">
        <v>364</v>
      </c>
      <c r="F58" s="15" t="s">
        <v>364</v>
      </c>
      <c r="G58" s="15" t="s">
        <v>364</v>
      </c>
      <c r="H58" s="57" t="s">
        <v>364</v>
      </c>
      <c r="I58" s="15" t="s">
        <v>364</v>
      </c>
      <c r="J58" s="15">
        <v>2</v>
      </c>
      <c r="K58" s="57">
        <v>274.5</v>
      </c>
      <c r="L58" s="15">
        <v>549</v>
      </c>
      <c r="M58" s="15" t="s">
        <v>364</v>
      </c>
      <c r="N58" s="15" t="s">
        <v>364</v>
      </c>
      <c r="O58" s="15" t="s">
        <v>364</v>
      </c>
      <c r="P58" s="15" t="s">
        <v>364</v>
      </c>
      <c r="Q58" s="15" t="s">
        <v>364</v>
      </c>
      <c r="R58" s="15" t="s">
        <v>364</v>
      </c>
      <c r="S58" s="15" t="s">
        <v>364</v>
      </c>
      <c r="T58" s="15" t="s">
        <v>364</v>
      </c>
      <c r="U58" s="17" t="s">
        <v>364</v>
      </c>
      <c r="V58" s="17">
        <v>4.5454545454545421E-2</v>
      </c>
      <c r="W58" s="17" t="s">
        <v>364</v>
      </c>
      <c r="X58" s="17" t="s">
        <v>364</v>
      </c>
      <c r="Y58" s="17" t="s">
        <v>364</v>
      </c>
    </row>
  </sheetData>
  <autoFilter ref="A30:AM57" xr:uid="{3966D9AF-630A-4EB3-A2F8-03ED27A55B52}"/>
  <mergeCells count="49">
    <mergeCell ref="X29:Y29"/>
    <mergeCell ref="D29:F29"/>
    <mergeCell ref="G29:I29"/>
    <mergeCell ref="J29:L29"/>
    <mergeCell ref="M29:O29"/>
    <mergeCell ref="P29:T29"/>
    <mergeCell ref="V29:W29"/>
    <mergeCell ref="D28:F28"/>
    <mergeCell ref="G28:I28"/>
    <mergeCell ref="J28:L28"/>
    <mergeCell ref="M28:O28"/>
    <mergeCell ref="P28:T28"/>
    <mergeCell ref="S14:U14"/>
    <mergeCell ref="V14:Z14"/>
    <mergeCell ref="AA14:AB14"/>
    <mergeCell ref="AC14:AD14"/>
    <mergeCell ref="AE14:AF14"/>
    <mergeCell ref="D14:F14"/>
    <mergeCell ref="G14:I14"/>
    <mergeCell ref="J14:L14"/>
    <mergeCell ref="M14:O14"/>
    <mergeCell ref="P14:R14"/>
    <mergeCell ref="AC8:AD8"/>
    <mergeCell ref="AE8:AF8"/>
    <mergeCell ref="AG8:AH8"/>
    <mergeCell ref="D13:F13"/>
    <mergeCell ref="G13:I13"/>
    <mergeCell ref="J13:L13"/>
    <mergeCell ref="M13:O13"/>
    <mergeCell ref="P13:R13"/>
    <mergeCell ref="S13:U13"/>
    <mergeCell ref="V13:Z13"/>
    <mergeCell ref="R7:T7"/>
    <mergeCell ref="U7:W7"/>
    <mergeCell ref="X7:AB7"/>
    <mergeCell ref="C8:C9"/>
    <mergeCell ref="D8:F8"/>
    <mergeCell ref="G8:I8"/>
    <mergeCell ref="J8:N8"/>
    <mergeCell ref="O8:Q8"/>
    <mergeCell ref="R8:T8"/>
    <mergeCell ref="U8:W8"/>
    <mergeCell ref="O7:Q7"/>
    <mergeCell ref="X8:AB8"/>
    <mergeCell ref="C1:C2"/>
    <mergeCell ref="D1:H2"/>
    <mergeCell ref="D7:F7"/>
    <mergeCell ref="G7:I7"/>
    <mergeCell ref="J7:N7"/>
  </mergeCells>
  <conditionalFormatting sqref="N9">
    <cfRule type="duplicateValues" dxfId="9" priority="1"/>
    <cfRule type="duplicateValues" dxfId="8" priority="2"/>
  </conditionalFormatting>
  <conditionalFormatting sqref="C30:C58">
    <cfRule type="duplicateValues" dxfId="7" priority="3"/>
  </conditionalFormatting>
  <pageMargins left="0.7" right="0.7" top="0.75" bottom="0.75" header="0.3" footer="0.3"/>
  <pageSetup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73B0-95AB-49B3-98D6-26E483672BCE}">
  <sheetPr codeName="Sheet9">
    <outlinePr summaryBelow="0"/>
  </sheetPr>
  <dimension ref="A1:AK58"/>
  <sheetViews>
    <sheetView showGridLines="0" topLeftCell="A17" zoomScale="90" zoomScaleNormal="90" workbookViewId="0"/>
  </sheetViews>
  <sheetFormatPr defaultRowHeight="15" x14ac:dyDescent="0.25"/>
  <cols>
    <col min="1" max="1" width="4.5703125" bestFit="1" customWidth="1"/>
    <col min="2" max="2" width="13.85546875" bestFit="1" customWidth="1"/>
    <col min="3" max="3" width="43.85546875" style="3" bestFit="1" customWidth="1"/>
    <col min="4" max="4" width="4.42578125" style="3" bestFit="1" customWidth="1"/>
    <col min="5" max="5" width="6.42578125" style="3" bestFit="1" customWidth="1"/>
    <col min="6" max="6" width="7.85546875" style="3" bestFit="1" customWidth="1"/>
    <col min="7" max="7" width="4.42578125" style="3" bestFit="1" customWidth="1"/>
    <col min="8" max="8" width="6.42578125" style="3" bestFit="1" customWidth="1"/>
    <col min="9" max="9" width="7.85546875" style="3" bestFit="1" customWidth="1"/>
    <col min="10" max="10" width="7.42578125" style="3" bestFit="1" customWidth="1"/>
    <col min="11" max="11" width="6.42578125" style="3" bestFit="1" customWidth="1"/>
    <col min="12" max="12" width="7.85546875" style="3" bestFit="1" customWidth="1"/>
    <col min="13" max="13" width="7.42578125" style="3" bestFit="1" customWidth="1"/>
    <col min="14" max="14" width="6.42578125" style="3" bestFit="1" customWidth="1"/>
    <col min="15" max="15" width="7.85546875" style="3" bestFit="1" customWidth="1"/>
    <col min="16" max="16" width="6.28515625" style="3" bestFit="1" customWidth="1"/>
    <col min="17" max="17" width="6.42578125" style="3" bestFit="1" customWidth="1"/>
    <col min="18" max="18" width="9.140625" style="3" bestFit="1" customWidth="1"/>
    <col min="19" max="19" width="11.28515625" style="3" bestFit="1" customWidth="1"/>
    <col min="20" max="20" width="12.5703125" style="3" bestFit="1" customWidth="1"/>
    <col min="21" max="21" width="9.140625" style="3" bestFit="1" customWidth="1"/>
    <col min="22" max="22" width="7.5703125" style="3" bestFit="1" customWidth="1"/>
    <col min="23" max="23" width="7.28515625" style="3" bestFit="1" customWidth="1"/>
    <col min="24" max="24" width="8.28515625" style="3" bestFit="1" customWidth="1"/>
    <col min="25" max="25" width="12" style="3" bestFit="1" customWidth="1"/>
    <col min="26" max="26" width="13.42578125" style="3" bestFit="1" customWidth="1"/>
    <col min="27" max="27" width="7.5703125" bestFit="1" customWidth="1"/>
    <col min="28" max="28" width="7.85546875" bestFit="1" customWidth="1"/>
    <col min="29" max="29" width="7.5703125" bestFit="1" customWidth="1"/>
    <col min="30" max="30" width="7.85546875" bestFit="1" customWidth="1"/>
    <col min="31" max="31" width="7.5703125" bestFit="1" customWidth="1"/>
    <col min="32" max="32" width="7.85546875" bestFit="1" customWidth="1"/>
    <col min="33" max="33" width="7.5703125" bestFit="1" customWidth="1"/>
    <col min="34" max="38" width="7.85546875" bestFit="1" customWidth="1"/>
  </cols>
  <sheetData>
    <row r="1" spans="3:37" ht="15" customHeight="1" x14ac:dyDescent="0.25">
      <c r="C1" s="112" t="s">
        <v>19</v>
      </c>
      <c r="D1" s="114" t="s">
        <v>725</v>
      </c>
      <c r="E1" s="115"/>
      <c r="F1" s="115"/>
      <c r="G1" s="115"/>
      <c r="H1" s="115"/>
      <c r="I1"/>
      <c r="J1"/>
      <c r="K1" s="94">
        <v>0.47826086956521741</v>
      </c>
      <c r="L1" s="95">
        <v>0.04</v>
      </c>
      <c r="M1" s="95">
        <v>3.7037037037037035E-2</v>
      </c>
      <c r="AA1" s="3"/>
      <c r="AB1" s="3"/>
      <c r="AC1" s="3"/>
    </row>
    <row r="2" spans="3:37" ht="24.75" customHeight="1" x14ac:dyDescent="0.25">
      <c r="C2" s="113"/>
      <c r="D2" s="114"/>
      <c r="E2" s="115"/>
      <c r="F2" s="115"/>
      <c r="G2" s="115"/>
      <c r="H2" s="115"/>
      <c r="I2"/>
      <c r="J2"/>
      <c r="AA2" s="3"/>
      <c r="AB2" s="3"/>
      <c r="AC2" s="3"/>
    </row>
    <row r="3" spans="3:37" x14ac:dyDescent="0.25">
      <c r="C3"/>
      <c r="D3"/>
      <c r="E3"/>
      <c r="F3"/>
      <c r="G3"/>
      <c r="H3"/>
      <c r="I3"/>
      <c r="J3"/>
      <c r="K3"/>
      <c r="L3"/>
      <c r="M3"/>
      <c r="N3"/>
      <c r="O3"/>
      <c r="P3"/>
      <c r="Q3"/>
      <c r="R3"/>
      <c r="S3"/>
      <c r="T3"/>
      <c r="U3"/>
      <c r="V3"/>
      <c r="W3"/>
      <c r="X3"/>
      <c r="Y3"/>
      <c r="Z3"/>
    </row>
    <row r="4" spans="3:37" x14ac:dyDescent="0.25">
      <c r="C4"/>
      <c r="D4"/>
      <c r="E4"/>
      <c r="F4"/>
      <c r="G4"/>
      <c r="H4"/>
      <c r="I4"/>
      <c r="J4"/>
      <c r="K4"/>
      <c r="L4"/>
      <c r="M4"/>
      <c r="N4"/>
      <c r="O4"/>
      <c r="P4"/>
      <c r="Q4"/>
      <c r="R4"/>
      <c r="S4"/>
      <c r="T4"/>
      <c r="U4"/>
      <c r="V4"/>
      <c r="W4"/>
      <c r="X4"/>
      <c r="Y4"/>
      <c r="Z4"/>
    </row>
    <row r="5" spans="3:37" x14ac:dyDescent="0.25">
      <c r="C5"/>
      <c r="D5"/>
      <c r="E5"/>
      <c r="F5"/>
      <c r="G5"/>
      <c r="H5"/>
      <c r="I5"/>
      <c r="J5"/>
      <c r="K5"/>
      <c r="L5"/>
      <c r="M5"/>
      <c r="N5"/>
      <c r="O5"/>
      <c r="P5"/>
      <c r="Q5"/>
      <c r="R5"/>
      <c r="S5"/>
      <c r="T5"/>
      <c r="U5"/>
      <c r="V5"/>
      <c r="W5"/>
      <c r="X5"/>
      <c r="Y5"/>
      <c r="Z5"/>
    </row>
    <row r="6" spans="3:37" x14ac:dyDescent="0.25">
      <c r="C6" s="33"/>
      <c r="D6" s="34"/>
      <c r="E6" s="34"/>
      <c r="F6" s="34"/>
      <c r="G6" s="34"/>
      <c r="AA6" s="3"/>
      <c r="AB6" s="3"/>
      <c r="AC6" s="3"/>
    </row>
    <row r="7" spans="3:37" x14ac:dyDescent="0.25">
      <c r="D7" s="118" t="s">
        <v>25</v>
      </c>
      <c r="E7" s="118"/>
      <c r="F7" s="118"/>
      <c r="G7" s="118" t="s">
        <v>26</v>
      </c>
      <c r="H7" s="118"/>
      <c r="I7" s="118"/>
      <c r="J7" s="118" t="s">
        <v>27</v>
      </c>
      <c r="K7" s="118"/>
      <c r="L7" s="118"/>
      <c r="M7" s="119" t="s">
        <v>28</v>
      </c>
      <c r="N7" s="120"/>
      <c r="O7" s="121"/>
      <c r="P7" s="119" t="s">
        <v>1</v>
      </c>
      <c r="Q7" s="120"/>
      <c r="R7" s="121"/>
      <c r="S7" s="119" t="s">
        <v>2</v>
      </c>
      <c r="T7" s="120"/>
      <c r="U7" s="121"/>
      <c r="V7" s="122" t="s">
        <v>3</v>
      </c>
      <c r="W7" s="123"/>
      <c r="X7" s="123"/>
      <c r="Y7" s="123"/>
      <c r="Z7" s="123"/>
    </row>
    <row r="8" spans="3:37" x14ac:dyDescent="0.25">
      <c r="C8" s="116" t="s">
        <v>4</v>
      </c>
      <c r="D8" s="124" t="s">
        <v>20</v>
      </c>
      <c r="E8" s="125"/>
      <c r="F8" s="126"/>
      <c r="G8" s="124" t="s">
        <v>5</v>
      </c>
      <c r="H8" s="125"/>
      <c r="I8" s="126"/>
      <c r="J8" s="134" t="s">
        <v>17</v>
      </c>
      <c r="K8" s="135"/>
      <c r="L8" s="145"/>
      <c r="M8" s="134" t="s">
        <v>17</v>
      </c>
      <c r="N8" s="135"/>
      <c r="O8" s="145"/>
      <c r="P8" s="134" t="s">
        <v>17</v>
      </c>
      <c r="Q8" s="135"/>
      <c r="R8" s="145"/>
      <c r="S8" s="134" t="s">
        <v>17</v>
      </c>
      <c r="T8" s="135"/>
      <c r="U8" s="145"/>
      <c r="V8" s="134" t="s">
        <v>17</v>
      </c>
      <c r="W8" s="135"/>
      <c r="X8" s="135"/>
      <c r="Y8" s="135"/>
      <c r="Z8" s="145"/>
      <c r="AA8" s="127" t="s">
        <v>6</v>
      </c>
      <c r="AB8" s="128"/>
      <c r="AC8" s="127" t="s">
        <v>7</v>
      </c>
      <c r="AD8" s="129"/>
      <c r="AE8" s="127" t="s">
        <v>8</v>
      </c>
      <c r="AF8" s="129"/>
      <c r="AG8" s="127" t="s">
        <v>597</v>
      </c>
      <c r="AH8" s="129"/>
    </row>
    <row r="9" spans="3:37" x14ac:dyDescent="0.25">
      <c r="C9" s="117"/>
      <c r="D9" s="4" t="s">
        <v>9</v>
      </c>
      <c r="E9" s="4" t="s">
        <v>10</v>
      </c>
      <c r="F9" s="4" t="s">
        <v>11</v>
      </c>
      <c r="G9" s="4" t="s">
        <v>9</v>
      </c>
      <c r="H9" s="4" t="s">
        <v>10</v>
      </c>
      <c r="I9" s="4" t="s">
        <v>11</v>
      </c>
      <c r="J9" s="4" t="s">
        <v>9</v>
      </c>
      <c r="K9" s="4" t="s">
        <v>10</v>
      </c>
      <c r="L9" s="4" t="s">
        <v>11</v>
      </c>
      <c r="M9" s="4" t="s">
        <v>9</v>
      </c>
      <c r="N9" s="4" t="s">
        <v>10</v>
      </c>
      <c r="O9" s="4" t="s">
        <v>11</v>
      </c>
      <c r="P9" s="4" t="s">
        <v>9</v>
      </c>
      <c r="Q9" s="4" t="s">
        <v>10</v>
      </c>
      <c r="R9" s="4" t="s">
        <v>11</v>
      </c>
      <c r="S9" s="4" t="s">
        <v>9</v>
      </c>
      <c r="T9" s="4" t="s">
        <v>10</v>
      </c>
      <c r="U9" s="4" t="s">
        <v>11</v>
      </c>
      <c r="V9" s="4" t="s">
        <v>9</v>
      </c>
      <c r="W9" s="4" t="s">
        <v>10</v>
      </c>
      <c r="X9" s="4" t="s">
        <v>11</v>
      </c>
      <c r="Y9" s="4" t="s">
        <v>14</v>
      </c>
      <c r="Z9" s="4" t="s">
        <v>15</v>
      </c>
      <c r="AA9" s="4" t="s">
        <v>16</v>
      </c>
      <c r="AB9" s="4" t="s">
        <v>11</v>
      </c>
      <c r="AC9" s="4" t="s">
        <v>16</v>
      </c>
      <c r="AD9" s="4" t="s">
        <v>11</v>
      </c>
      <c r="AE9" s="4" t="s">
        <v>16</v>
      </c>
      <c r="AF9" s="4" t="s">
        <v>11</v>
      </c>
      <c r="AG9" s="4" t="s">
        <v>16</v>
      </c>
      <c r="AH9" s="4" t="s">
        <v>11</v>
      </c>
    </row>
    <row r="10" spans="3:37" x14ac:dyDescent="0.25">
      <c r="C10" s="5" t="s">
        <v>19</v>
      </c>
      <c r="D10" s="6">
        <v>38.24</v>
      </c>
      <c r="E10" s="53">
        <v>1165.9415167364016</v>
      </c>
      <c r="F10" s="6">
        <v>44585.603599999995</v>
      </c>
      <c r="G10" s="6">
        <v>30.037037037037035</v>
      </c>
      <c r="H10" s="53">
        <v>1848.1043156596795</v>
      </c>
      <c r="I10" s="6">
        <v>55511.577777777777</v>
      </c>
      <c r="J10" s="6">
        <v>32</v>
      </c>
      <c r="K10" s="53">
        <v>936.47750000000008</v>
      </c>
      <c r="L10" s="6">
        <v>29967.280000000002</v>
      </c>
      <c r="M10" s="6">
        <v>53.795196562378166</v>
      </c>
      <c r="N10" s="53">
        <v>1380.4027562667463</v>
      </c>
      <c r="O10" s="6">
        <v>74259.037608618222</v>
      </c>
      <c r="P10" s="6">
        <v>736</v>
      </c>
      <c r="Q10" s="6">
        <v>936.47750000000008</v>
      </c>
      <c r="R10" s="6">
        <v>689247.44000000006</v>
      </c>
      <c r="S10" s="6">
        <v>1237.2895209346977</v>
      </c>
      <c r="T10" s="6">
        <v>1380.4027562667466</v>
      </c>
      <c r="U10" s="6">
        <v>1707957.8649982191</v>
      </c>
      <c r="V10" s="6">
        <v>-21.795196562378166</v>
      </c>
      <c r="W10" s="6">
        <v>-443.92525626674626</v>
      </c>
      <c r="X10" s="6">
        <v>-44291.757608618223</v>
      </c>
      <c r="Y10" s="6">
        <v>-14205.60820053588</v>
      </c>
      <c r="Z10" s="6">
        <v>-30086.149408082336</v>
      </c>
      <c r="AA10" s="8">
        <v>0.59484864904052226</v>
      </c>
      <c r="AB10" s="8">
        <v>0.40355061101037099</v>
      </c>
      <c r="AC10" s="8">
        <v>-0.16317991631799167</v>
      </c>
      <c r="AD10" s="8">
        <v>-0.32787093634861081</v>
      </c>
      <c r="AE10" s="8">
        <v>6.5351418002466174E-2</v>
      </c>
      <c r="AF10" s="8">
        <v>-0.46016162394151205</v>
      </c>
      <c r="AG10" s="8" t="s">
        <v>364</v>
      </c>
      <c r="AH10" s="8" t="s">
        <v>364</v>
      </c>
    </row>
    <row r="11" spans="3:37" x14ac:dyDescent="0.25">
      <c r="C11" s="41"/>
      <c r="D11" s="42"/>
      <c r="E11" s="43"/>
      <c r="F11" s="42"/>
      <c r="G11" s="42"/>
      <c r="H11" s="43"/>
      <c r="I11" s="42"/>
      <c r="J11" s="42"/>
      <c r="K11" s="44"/>
      <c r="L11" s="42"/>
      <c r="M11" s="42"/>
      <c r="N11" s="43"/>
      <c r="O11" s="42"/>
      <c r="P11" s="42"/>
      <c r="Q11" s="43"/>
      <c r="R11" s="42"/>
      <c r="S11" s="42"/>
      <c r="T11" s="43"/>
      <c r="U11" s="42"/>
      <c r="V11" s="45"/>
      <c r="W11" s="45"/>
      <c r="X11" s="45"/>
      <c r="Y11" s="42"/>
      <c r="Z11" s="42"/>
      <c r="AA11" s="42"/>
      <c r="AB11" s="46"/>
      <c r="AC11" s="46"/>
      <c r="AD11" s="47"/>
      <c r="AE11" s="47"/>
      <c r="AF11" s="47"/>
      <c r="AG11" s="47"/>
      <c r="AH11" s="47"/>
      <c r="AI11" s="47"/>
      <c r="AJ11" s="47"/>
      <c r="AK11" s="47"/>
    </row>
    <row r="12" spans="3:37" x14ac:dyDescent="0.25">
      <c r="C12" s="41"/>
      <c r="D12" s="68"/>
      <c r="E12" s="69"/>
      <c r="F12" s="68"/>
      <c r="G12" s="68"/>
      <c r="H12" s="69"/>
      <c r="I12" s="68"/>
      <c r="J12" s="68"/>
      <c r="K12" s="68"/>
      <c r="L12" s="68"/>
      <c r="M12" s="68"/>
      <c r="N12" s="68"/>
      <c r="O12" s="68"/>
      <c r="P12" s="68"/>
      <c r="Q12" s="69"/>
      <c r="R12" s="50"/>
      <c r="S12" s="70"/>
      <c r="T12" s="69"/>
      <c r="U12" s="68"/>
      <c r="V12" s="49"/>
      <c r="W12" s="49"/>
      <c r="X12" s="50"/>
      <c r="Y12" s="50"/>
      <c r="Z12" s="50"/>
      <c r="AA12" s="50"/>
      <c r="AB12" s="50"/>
      <c r="AC12" s="50"/>
      <c r="AD12" s="50"/>
      <c r="AE12" s="50"/>
    </row>
    <row r="13" spans="3:37" x14ac:dyDescent="0.25">
      <c r="C13" s="24"/>
      <c r="D13" s="118" t="s">
        <v>30</v>
      </c>
      <c r="E13" s="118"/>
      <c r="F13" s="118"/>
      <c r="G13" s="118" t="s">
        <v>31</v>
      </c>
      <c r="H13" s="118"/>
      <c r="I13" s="118"/>
      <c r="J13" s="118" t="s">
        <v>27</v>
      </c>
      <c r="K13" s="118"/>
      <c r="L13" s="118"/>
      <c r="M13" s="119" t="s">
        <v>28</v>
      </c>
      <c r="N13" s="120"/>
      <c r="O13" s="121"/>
      <c r="P13" s="119" t="s">
        <v>32</v>
      </c>
      <c r="Q13" s="120"/>
      <c r="R13" s="121"/>
      <c r="S13" s="119" t="s">
        <v>2</v>
      </c>
      <c r="T13" s="120"/>
      <c r="U13" s="121"/>
      <c r="V13" s="122" t="s">
        <v>3</v>
      </c>
      <c r="W13" s="123"/>
      <c r="X13" s="123"/>
      <c r="Y13" s="123"/>
      <c r="Z13" s="123"/>
    </row>
    <row r="14" spans="3:37" x14ac:dyDescent="0.25">
      <c r="D14" s="133" t="s">
        <v>20</v>
      </c>
      <c r="E14" s="133" t="s">
        <v>5</v>
      </c>
      <c r="F14" s="133" t="s">
        <v>5</v>
      </c>
      <c r="G14" s="133" t="s">
        <v>5</v>
      </c>
      <c r="H14" s="133" t="s">
        <v>5</v>
      </c>
      <c r="I14" s="133" t="s">
        <v>5</v>
      </c>
      <c r="J14" s="134" t="s">
        <v>17</v>
      </c>
      <c r="K14" s="135"/>
      <c r="L14" s="145"/>
      <c r="M14" s="134" t="s">
        <v>17</v>
      </c>
      <c r="N14" s="135"/>
      <c r="O14" s="145"/>
      <c r="P14" s="134" t="s">
        <v>17</v>
      </c>
      <c r="Q14" s="135"/>
      <c r="R14" s="145"/>
      <c r="S14" s="134" t="s">
        <v>17</v>
      </c>
      <c r="T14" s="135"/>
      <c r="U14" s="145"/>
      <c r="V14" s="134" t="s">
        <v>17</v>
      </c>
      <c r="W14" s="135"/>
      <c r="X14" s="135"/>
      <c r="Y14" s="135"/>
      <c r="Z14" s="145"/>
      <c r="AA14" s="127" t="s">
        <v>6</v>
      </c>
      <c r="AB14" s="128"/>
      <c r="AC14" s="127" t="s">
        <v>7</v>
      </c>
      <c r="AD14" s="129"/>
      <c r="AE14" s="127" t="s">
        <v>8</v>
      </c>
      <c r="AF14" s="129"/>
    </row>
    <row r="15" spans="3:37" x14ac:dyDescent="0.25">
      <c r="C15" s="97" t="s">
        <v>33</v>
      </c>
      <c r="D15" s="4" t="s">
        <v>9</v>
      </c>
      <c r="E15" s="4" t="s">
        <v>10</v>
      </c>
      <c r="F15" s="4" t="s">
        <v>11</v>
      </c>
      <c r="G15" s="4" t="s">
        <v>9</v>
      </c>
      <c r="H15" s="4" t="s">
        <v>10</v>
      </c>
      <c r="I15" s="4" t="s">
        <v>11</v>
      </c>
      <c r="J15" s="4" t="s">
        <v>9</v>
      </c>
      <c r="K15" s="4" t="s">
        <v>10</v>
      </c>
      <c r="L15" s="4" t="s">
        <v>11</v>
      </c>
      <c r="M15" s="4" t="s">
        <v>9</v>
      </c>
      <c r="N15" s="4" t="s">
        <v>10</v>
      </c>
      <c r="O15" s="4" t="s">
        <v>11</v>
      </c>
      <c r="P15" s="4" t="s">
        <v>9</v>
      </c>
      <c r="Q15" s="4" t="s">
        <v>10</v>
      </c>
      <c r="R15" s="4" t="s">
        <v>11</v>
      </c>
      <c r="S15" s="4" t="s">
        <v>9</v>
      </c>
      <c r="T15" s="4" t="s">
        <v>10</v>
      </c>
      <c r="U15" s="4" t="s">
        <v>11</v>
      </c>
      <c r="V15" s="4" t="s">
        <v>9</v>
      </c>
      <c r="W15" s="4" t="s">
        <v>10</v>
      </c>
      <c r="X15" s="4" t="s">
        <v>11</v>
      </c>
      <c r="Y15" s="4" t="s">
        <v>14</v>
      </c>
      <c r="Z15" s="4" t="s">
        <v>15</v>
      </c>
      <c r="AA15" s="4" t="s">
        <v>16</v>
      </c>
      <c r="AB15" s="4" t="s">
        <v>11</v>
      </c>
      <c r="AC15" s="4" t="s">
        <v>16</v>
      </c>
      <c r="AD15" s="4" t="s">
        <v>11</v>
      </c>
      <c r="AE15" s="4" t="s">
        <v>16</v>
      </c>
      <c r="AF15" s="4" t="s">
        <v>11</v>
      </c>
    </row>
    <row r="16" spans="3:37" x14ac:dyDescent="0.25">
      <c r="C16" s="52" t="s">
        <v>154</v>
      </c>
      <c r="D16" s="15">
        <v>4.28</v>
      </c>
      <c r="E16" s="57">
        <v>340.53130841121492</v>
      </c>
      <c r="F16" s="15">
        <v>1457.4739999999999</v>
      </c>
      <c r="G16" s="15">
        <v>4</v>
      </c>
      <c r="H16" s="57">
        <v>905.86574074074065</v>
      </c>
      <c r="I16" s="15">
        <v>3623.4629629629626</v>
      </c>
      <c r="J16" s="15">
        <v>3</v>
      </c>
      <c r="K16" s="57">
        <v>408.33333333333331</v>
      </c>
      <c r="L16" s="15">
        <v>1225</v>
      </c>
      <c r="M16" s="15">
        <v>8.724412302233338</v>
      </c>
      <c r="N16" s="15">
        <v>1069.5822938913816</v>
      </c>
      <c r="O16" s="15">
        <v>9331.4769230769234</v>
      </c>
      <c r="P16" s="15">
        <v>69</v>
      </c>
      <c r="Q16" s="15">
        <v>408.33333333333331</v>
      </c>
      <c r="R16" s="15">
        <v>28175</v>
      </c>
      <c r="S16" s="15">
        <v>200.66148295136676</v>
      </c>
      <c r="T16" s="15">
        <v>1069.5822938913816</v>
      </c>
      <c r="U16" s="15">
        <v>214623.96923076923</v>
      </c>
      <c r="V16" s="6">
        <v>-5.724412302233338</v>
      </c>
      <c r="W16" s="6">
        <v>-661.24896055804834</v>
      </c>
      <c r="X16" s="6">
        <v>-8106.4769230769234</v>
      </c>
      <c r="Y16" s="6">
        <v>-1983.746881674145</v>
      </c>
      <c r="Z16" s="6">
        <v>-6122.7300414027786</v>
      </c>
      <c r="AA16" s="8">
        <v>0.34386270342038266</v>
      </c>
      <c r="AB16" s="8">
        <v>0.13127611096272995</v>
      </c>
      <c r="AC16" s="8">
        <v>-0.2990654205607477</v>
      </c>
      <c r="AD16" s="8">
        <v>-0.15950473215988756</v>
      </c>
      <c r="AE16" s="8">
        <v>-0.25</v>
      </c>
      <c r="AF16" s="8">
        <v>-0.6619256185253517</v>
      </c>
    </row>
    <row r="17" spans="1:32" s="16" customFormat="1" ht="15" customHeight="1" x14ac:dyDescent="0.25">
      <c r="C17" s="52" t="s">
        <v>39</v>
      </c>
      <c r="D17" s="15">
        <v>25.84</v>
      </c>
      <c r="E17" s="57">
        <v>1388.300015479876</v>
      </c>
      <c r="F17" s="15">
        <v>35873.672399999996</v>
      </c>
      <c r="G17" s="15">
        <v>18.74074074074074</v>
      </c>
      <c r="H17" s="57">
        <v>2348.8228260869569</v>
      </c>
      <c r="I17" s="15">
        <v>44018.679629629638</v>
      </c>
      <c r="J17" s="15">
        <v>12</v>
      </c>
      <c r="K17" s="57">
        <v>1802.2666666666664</v>
      </c>
      <c r="L17" s="15">
        <v>21627.199999999997</v>
      </c>
      <c r="M17" s="15">
        <v>28.623076923076923</v>
      </c>
      <c r="N17" s="15">
        <v>1644.8420666487502</v>
      </c>
      <c r="O17" s="15">
        <v>47080.440999999999</v>
      </c>
      <c r="P17" s="15">
        <v>276</v>
      </c>
      <c r="Q17" s="15">
        <v>1802.2666666666664</v>
      </c>
      <c r="R17" s="15">
        <v>497425.59999999992</v>
      </c>
      <c r="S17" s="15">
        <v>658.33076923076919</v>
      </c>
      <c r="T17" s="15">
        <v>1644.8420666487502</v>
      </c>
      <c r="U17" s="15">
        <v>1082850.1429999999</v>
      </c>
      <c r="V17" s="6">
        <v>-16.623076923076923</v>
      </c>
      <c r="W17" s="6">
        <v>157.42460001791619</v>
      </c>
      <c r="X17" s="6">
        <v>-25453.241000000002</v>
      </c>
      <c r="Y17" s="6">
        <v>1889.0952002149943</v>
      </c>
      <c r="Z17" s="6">
        <v>-27342.336200214995</v>
      </c>
      <c r="AA17" s="8">
        <v>0.41924213920988984</v>
      </c>
      <c r="AB17" s="8">
        <v>0.4593669800161812</v>
      </c>
      <c r="AC17" s="8">
        <v>-0.5356037151702786</v>
      </c>
      <c r="AD17" s="8">
        <v>-0.39712890950077362</v>
      </c>
      <c r="AE17" s="8">
        <v>-0.35968379446640314</v>
      </c>
      <c r="AF17" s="8">
        <v>-0.50868131025351337</v>
      </c>
    </row>
    <row r="18" spans="1:32" s="16" customFormat="1" ht="15" customHeight="1" x14ac:dyDescent="0.25">
      <c r="C18" s="52" t="s">
        <v>46</v>
      </c>
      <c r="D18" s="15">
        <v>1.2</v>
      </c>
      <c r="E18" s="57">
        <v>856.06666666666672</v>
      </c>
      <c r="F18" s="15">
        <v>1027.28</v>
      </c>
      <c r="G18" s="15">
        <v>0.40740740740740738</v>
      </c>
      <c r="H18" s="57">
        <v>711.09090909090912</v>
      </c>
      <c r="I18" s="15">
        <v>289.7037037037037</v>
      </c>
      <c r="J18" s="15">
        <v>0</v>
      </c>
      <c r="K18" s="57" t="s">
        <v>364</v>
      </c>
      <c r="L18" s="15">
        <v>0</v>
      </c>
      <c r="M18" s="15">
        <v>1.5384615384615385</v>
      </c>
      <c r="N18" s="15">
        <v>1099</v>
      </c>
      <c r="O18" s="15">
        <v>1690.7692307692309</v>
      </c>
      <c r="P18" s="15">
        <v>0</v>
      </c>
      <c r="Q18" s="15" t="s">
        <v>364</v>
      </c>
      <c r="R18" s="15">
        <v>0</v>
      </c>
      <c r="S18" s="15">
        <v>35.384615384615387</v>
      </c>
      <c r="T18" s="15">
        <v>1099</v>
      </c>
      <c r="U18" s="15">
        <v>38887.692307692312</v>
      </c>
      <c r="V18" s="6">
        <v>-1.5384615384615385</v>
      </c>
      <c r="W18" s="6">
        <v>0</v>
      </c>
      <c r="X18" s="6">
        <v>-1690.7692307692309</v>
      </c>
      <c r="Y18" s="6">
        <v>0</v>
      </c>
      <c r="Z18" s="6">
        <v>-1690.7692307692309</v>
      </c>
      <c r="AA18" s="8">
        <v>0</v>
      </c>
      <c r="AB18" s="8">
        <v>0</v>
      </c>
      <c r="AC18" s="8">
        <v>-1</v>
      </c>
      <c r="AD18" s="8">
        <v>-1</v>
      </c>
      <c r="AE18" s="8">
        <v>-1</v>
      </c>
      <c r="AF18" s="8">
        <v>-1</v>
      </c>
    </row>
    <row r="19" spans="1:32" x14ac:dyDescent="0.25">
      <c r="C19" s="52" t="s">
        <v>45</v>
      </c>
      <c r="D19" s="15">
        <v>3.52</v>
      </c>
      <c r="E19" s="57">
        <v>522.33784090909091</v>
      </c>
      <c r="F19" s="15">
        <v>1838.6291999999999</v>
      </c>
      <c r="G19" s="15">
        <v>3.3703703703703702</v>
      </c>
      <c r="H19" s="57">
        <v>896.65824175824184</v>
      </c>
      <c r="I19" s="15">
        <v>3022.0703703703707</v>
      </c>
      <c r="J19" s="15">
        <v>2</v>
      </c>
      <c r="K19" s="57">
        <v>200</v>
      </c>
      <c r="L19" s="15">
        <v>400</v>
      </c>
      <c r="M19" s="15">
        <v>3.7692307692307692</v>
      </c>
      <c r="N19" s="15">
        <v>1328.093537414966</v>
      </c>
      <c r="O19" s="15">
        <v>5005.8910256410254</v>
      </c>
      <c r="P19" s="15">
        <v>46</v>
      </c>
      <c r="Q19" s="15">
        <v>200</v>
      </c>
      <c r="R19" s="15">
        <v>9200</v>
      </c>
      <c r="S19" s="15">
        <v>86.692307692307693</v>
      </c>
      <c r="T19" s="15">
        <v>1328.093537414966</v>
      </c>
      <c r="U19" s="15">
        <v>115135.49358974359</v>
      </c>
      <c r="V19" s="6">
        <v>-1.7692307692307692</v>
      </c>
      <c r="W19" s="6">
        <v>-1128.093537414966</v>
      </c>
      <c r="X19" s="6">
        <v>-4605.8910256410254</v>
      </c>
      <c r="Y19" s="6">
        <v>-2256.187074829932</v>
      </c>
      <c r="Z19" s="6">
        <v>-2349.7039508110938</v>
      </c>
      <c r="AA19" s="8">
        <v>0.53061224489795922</v>
      </c>
      <c r="AB19" s="8">
        <v>7.9905854512439839E-2</v>
      </c>
      <c r="AC19" s="8">
        <v>-0.43181818181818182</v>
      </c>
      <c r="AD19" s="8">
        <v>-0.78244661838286911</v>
      </c>
      <c r="AE19" s="8">
        <v>-0.40659340659340659</v>
      </c>
      <c r="AF19" s="8">
        <v>-0.86764040840287315</v>
      </c>
    </row>
    <row r="20" spans="1:32" ht="15" customHeight="1" x14ac:dyDescent="0.25">
      <c r="C20" s="52" t="s">
        <v>51</v>
      </c>
      <c r="D20" s="15">
        <v>1.56</v>
      </c>
      <c r="E20" s="57">
        <v>1266.7307692307693</v>
      </c>
      <c r="F20" s="15">
        <v>1976.1000000000001</v>
      </c>
      <c r="G20" s="15">
        <v>2.1111111111111112</v>
      </c>
      <c r="H20" s="57">
        <v>1412.5438596491226</v>
      </c>
      <c r="I20" s="15">
        <v>2982.037037037037</v>
      </c>
      <c r="J20" s="15">
        <v>9</v>
      </c>
      <c r="K20" s="57">
        <v>341.34333333333331</v>
      </c>
      <c r="L20" s="15">
        <v>3072.0899999999997</v>
      </c>
      <c r="M20" s="15">
        <v>5.2153846153846146</v>
      </c>
      <c r="N20" s="15">
        <v>967.92267561572339</v>
      </c>
      <c r="O20" s="15">
        <v>5048.0890312881565</v>
      </c>
      <c r="P20" s="15">
        <v>207</v>
      </c>
      <c r="Q20" s="15">
        <v>341.34333333333331</v>
      </c>
      <c r="R20" s="15">
        <v>70658.069999999992</v>
      </c>
      <c r="S20" s="15">
        <v>119.95384615384614</v>
      </c>
      <c r="T20" s="15">
        <v>967.92267561572328</v>
      </c>
      <c r="U20" s="15">
        <v>116106.04771962759</v>
      </c>
      <c r="V20" s="6">
        <v>3.7846153846153854</v>
      </c>
      <c r="W20" s="6">
        <v>-626.57934228239014</v>
      </c>
      <c r="X20" s="6">
        <v>-1975.9990312881569</v>
      </c>
      <c r="Y20" s="6">
        <v>-5639.2140805415111</v>
      </c>
      <c r="Z20" s="6">
        <v>3663.2150492533538</v>
      </c>
      <c r="AA20" s="8">
        <v>1.7256637168141595</v>
      </c>
      <c r="AB20" s="8">
        <v>0.60856494030892172</v>
      </c>
      <c r="AC20" s="8">
        <v>4.7692307692307692</v>
      </c>
      <c r="AD20" s="8">
        <v>0.55462274176408055</v>
      </c>
      <c r="AE20" s="8">
        <v>3.263157894736842</v>
      </c>
      <c r="AF20" s="8">
        <v>3.0198472334347564E-2</v>
      </c>
    </row>
    <row r="21" spans="1:32" ht="15" customHeight="1" x14ac:dyDescent="0.25">
      <c r="C21" s="52" t="s">
        <v>222</v>
      </c>
      <c r="D21" s="15">
        <v>0.2</v>
      </c>
      <c r="E21" s="57">
        <v>1108.3999999999999</v>
      </c>
      <c r="F21" s="15">
        <v>221.68</v>
      </c>
      <c r="G21" s="15">
        <v>0.66666666666666663</v>
      </c>
      <c r="H21" s="57">
        <v>1426.325</v>
      </c>
      <c r="I21" s="15">
        <v>950.88333333333333</v>
      </c>
      <c r="J21" s="15">
        <v>2</v>
      </c>
      <c r="K21" s="57">
        <v>725</v>
      </c>
      <c r="L21" s="15">
        <v>1450</v>
      </c>
      <c r="M21" s="15">
        <v>0.61538461538461542</v>
      </c>
      <c r="N21" s="15">
        <v>1225</v>
      </c>
      <c r="O21" s="15">
        <v>753.84615384615392</v>
      </c>
      <c r="P21" s="15">
        <v>46</v>
      </c>
      <c r="Q21" s="15">
        <v>725</v>
      </c>
      <c r="R21" s="15">
        <v>33350</v>
      </c>
      <c r="S21" s="15">
        <v>14.153846153846155</v>
      </c>
      <c r="T21" s="15">
        <v>1225</v>
      </c>
      <c r="U21" s="15">
        <v>17338.461538461539</v>
      </c>
      <c r="V21" s="6">
        <v>1.3846153846153846</v>
      </c>
      <c r="W21" s="6">
        <v>-500</v>
      </c>
      <c r="X21" s="6">
        <v>696.15384615384608</v>
      </c>
      <c r="Y21" s="6">
        <v>-1000</v>
      </c>
      <c r="Z21" s="6">
        <v>1696.1538461538462</v>
      </c>
      <c r="AA21" s="8">
        <v>3.25</v>
      </c>
      <c r="AB21" s="8">
        <v>1.9234693877551019</v>
      </c>
      <c r="AC21" s="8">
        <v>9</v>
      </c>
      <c r="AD21" s="8">
        <v>5.5409599422591116</v>
      </c>
      <c r="AE21" s="8">
        <v>2.0000000000000004</v>
      </c>
      <c r="AF21" s="8">
        <v>0.52489790195081765</v>
      </c>
    </row>
    <row r="22" spans="1:32" x14ac:dyDescent="0.25">
      <c r="C22" s="52" t="s">
        <v>278</v>
      </c>
      <c r="D22" s="15">
        <v>1.1200000000000001</v>
      </c>
      <c r="E22" s="57">
        <v>1787.4999999999998</v>
      </c>
      <c r="F22" s="15">
        <v>2002</v>
      </c>
      <c r="G22" s="15">
        <v>0.29629629629629628</v>
      </c>
      <c r="H22" s="57">
        <v>1193.75</v>
      </c>
      <c r="I22" s="15">
        <v>353.7037037037037</v>
      </c>
      <c r="J22" s="15">
        <v>4</v>
      </c>
      <c r="K22" s="57">
        <v>477.47499999999997</v>
      </c>
      <c r="L22" s="15">
        <v>1909.8999999999999</v>
      </c>
      <c r="M22" s="15">
        <v>5.3092457986063675</v>
      </c>
      <c r="N22" s="15">
        <v>1007.3981214809619</v>
      </c>
      <c r="O22" s="15">
        <v>5348.5242439967442</v>
      </c>
      <c r="P22" s="15">
        <v>92</v>
      </c>
      <c r="Q22" s="15">
        <v>477.47499999999997</v>
      </c>
      <c r="R22" s="15">
        <v>43927.7</v>
      </c>
      <c r="S22" s="15">
        <v>122.11265336794645</v>
      </c>
      <c r="T22" s="15">
        <v>1007.398121480962</v>
      </c>
      <c r="U22" s="15">
        <v>123016.05761192512</v>
      </c>
      <c r="V22" s="6">
        <v>-1.3092457986063675</v>
      </c>
      <c r="W22" s="6">
        <v>-529.92312148096198</v>
      </c>
      <c r="X22" s="6">
        <v>-3438.6242439967446</v>
      </c>
      <c r="Y22" s="6">
        <v>-2119.6924859238479</v>
      </c>
      <c r="Z22" s="6">
        <v>-1318.9317580728964</v>
      </c>
      <c r="AA22" s="8">
        <v>0.75340267746691381</v>
      </c>
      <c r="AB22" s="8">
        <v>0.35708915447914391</v>
      </c>
      <c r="AC22" s="8">
        <v>2.5714285714285712</v>
      </c>
      <c r="AD22" s="8">
        <v>-4.6003996003996073E-2</v>
      </c>
      <c r="AE22" s="8">
        <v>12.5</v>
      </c>
      <c r="AF22" s="8">
        <v>4.3997172774869107</v>
      </c>
    </row>
    <row r="23" spans="1:32" ht="15" customHeight="1" x14ac:dyDescent="0.25">
      <c r="C23" s="52" t="s">
        <v>279</v>
      </c>
      <c r="D23" s="15">
        <v>0</v>
      </c>
      <c r="E23" s="57" t="s">
        <v>364</v>
      </c>
      <c r="F23" s="15">
        <v>0</v>
      </c>
      <c r="G23" s="15">
        <v>0</v>
      </c>
      <c r="H23" s="57" t="s">
        <v>364</v>
      </c>
      <c r="I23" s="15">
        <v>0</v>
      </c>
      <c r="J23" s="15">
        <v>0</v>
      </c>
      <c r="K23" s="57" t="s">
        <v>364</v>
      </c>
      <c r="L23" s="15">
        <v>0</v>
      </c>
      <c r="M23" s="15">
        <v>0</v>
      </c>
      <c r="N23" s="15" t="s">
        <v>364</v>
      </c>
      <c r="O23" s="15">
        <v>0</v>
      </c>
      <c r="P23" s="15">
        <v>0</v>
      </c>
      <c r="Q23" s="15" t="s">
        <v>364</v>
      </c>
      <c r="R23" s="15">
        <v>0</v>
      </c>
      <c r="S23" s="15">
        <v>0</v>
      </c>
      <c r="T23" s="15" t="s">
        <v>364</v>
      </c>
      <c r="U23" s="15">
        <v>0</v>
      </c>
      <c r="V23" s="6">
        <v>0</v>
      </c>
      <c r="W23" s="6">
        <v>0</v>
      </c>
      <c r="X23" s="6">
        <v>0</v>
      </c>
      <c r="Y23" s="6">
        <v>0</v>
      </c>
      <c r="Z23" s="6">
        <v>0</v>
      </c>
      <c r="AA23" s="8" t="s">
        <v>364</v>
      </c>
      <c r="AB23" s="8" t="s">
        <v>364</v>
      </c>
      <c r="AC23" s="8" t="s">
        <v>364</v>
      </c>
      <c r="AD23" s="8" t="s">
        <v>364</v>
      </c>
      <c r="AE23" s="8" t="s">
        <v>364</v>
      </c>
      <c r="AF23" s="8" t="s">
        <v>364</v>
      </c>
    </row>
    <row r="24" spans="1:32" ht="15" customHeight="1" x14ac:dyDescent="0.25">
      <c r="C24" s="52" t="s">
        <v>280</v>
      </c>
      <c r="D24" s="15">
        <v>0</v>
      </c>
      <c r="E24" s="57" t="s">
        <v>364</v>
      </c>
      <c r="F24" s="15">
        <v>0</v>
      </c>
      <c r="G24" s="15">
        <v>0</v>
      </c>
      <c r="H24" s="57" t="s">
        <v>364</v>
      </c>
      <c r="I24" s="15">
        <v>0</v>
      </c>
      <c r="J24" s="15">
        <v>0</v>
      </c>
      <c r="K24" s="57" t="s">
        <v>364</v>
      </c>
      <c r="L24" s="15">
        <v>0</v>
      </c>
      <c r="M24" s="15">
        <v>0</v>
      </c>
      <c r="N24" s="15" t="s">
        <v>364</v>
      </c>
      <c r="O24" s="15">
        <v>0</v>
      </c>
      <c r="P24" s="15">
        <v>0</v>
      </c>
      <c r="Q24" s="15" t="s">
        <v>364</v>
      </c>
      <c r="R24" s="15">
        <v>0</v>
      </c>
      <c r="S24" s="15">
        <v>0</v>
      </c>
      <c r="T24" s="15" t="s">
        <v>364</v>
      </c>
      <c r="U24" s="15">
        <v>0</v>
      </c>
      <c r="V24" s="6">
        <v>0</v>
      </c>
      <c r="W24" s="6">
        <v>0</v>
      </c>
      <c r="X24" s="6">
        <v>0</v>
      </c>
      <c r="Y24" s="6">
        <v>0</v>
      </c>
      <c r="Z24" s="6">
        <v>0</v>
      </c>
      <c r="AA24" s="8" t="s">
        <v>364</v>
      </c>
      <c r="AB24" s="8" t="s">
        <v>364</v>
      </c>
      <c r="AC24" s="8" t="s">
        <v>364</v>
      </c>
      <c r="AD24" s="8" t="s">
        <v>364</v>
      </c>
      <c r="AE24" s="8" t="s">
        <v>364</v>
      </c>
      <c r="AF24" s="8" t="s">
        <v>364</v>
      </c>
    </row>
    <row r="25" spans="1:32" ht="15" customHeight="1" x14ac:dyDescent="0.25">
      <c r="C25" s="52" t="s">
        <v>281</v>
      </c>
      <c r="D25" s="15">
        <v>0</v>
      </c>
      <c r="E25" s="57" t="s">
        <v>364</v>
      </c>
      <c r="F25" s="15">
        <v>0</v>
      </c>
      <c r="G25" s="15">
        <v>0</v>
      </c>
      <c r="H25" s="57" t="s">
        <v>364</v>
      </c>
      <c r="I25" s="15">
        <v>0</v>
      </c>
      <c r="J25" s="15">
        <v>0</v>
      </c>
      <c r="K25" s="57" t="s">
        <v>364</v>
      </c>
      <c r="L25" s="15">
        <v>0</v>
      </c>
      <c r="M25" s="15">
        <v>0</v>
      </c>
      <c r="N25" s="15" t="s">
        <v>364</v>
      </c>
      <c r="O25" s="15">
        <v>0</v>
      </c>
      <c r="P25" s="15">
        <v>0</v>
      </c>
      <c r="Q25" s="15" t="s">
        <v>364</v>
      </c>
      <c r="R25" s="15">
        <v>0</v>
      </c>
      <c r="S25" s="15">
        <v>0</v>
      </c>
      <c r="T25" s="15" t="s">
        <v>364</v>
      </c>
      <c r="U25" s="15">
        <v>0</v>
      </c>
      <c r="V25" s="6">
        <v>0</v>
      </c>
      <c r="W25" s="6">
        <v>0</v>
      </c>
      <c r="X25" s="6">
        <v>0</v>
      </c>
      <c r="Y25" s="6">
        <v>0</v>
      </c>
      <c r="Z25" s="6">
        <v>0</v>
      </c>
      <c r="AA25" s="8" t="s">
        <v>364</v>
      </c>
      <c r="AB25" s="8" t="s">
        <v>364</v>
      </c>
      <c r="AC25" s="8" t="s">
        <v>364</v>
      </c>
      <c r="AD25" s="8" t="s">
        <v>364</v>
      </c>
      <c r="AE25" s="8" t="s">
        <v>364</v>
      </c>
      <c r="AF25" s="8" t="s">
        <v>364</v>
      </c>
    </row>
    <row r="26" spans="1:32" ht="15" customHeight="1" x14ac:dyDescent="0.25">
      <c r="C26" s="52" t="s">
        <v>49</v>
      </c>
      <c r="D26" s="15">
        <v>0</v>
      </c>
      <c r="E26" s="57" t="s">
        <v>364</v>
      </c>
      <c r="F26" s="15">
        <v>0</v>
      </c>
      <c r="G26" s="15">
        <v>0</v>
      </c>
      <c r="H26" s="57" t="s">
        <v>364</v>
      </c>
      <c r="I26" s="15">
        <v>0</v>
      </c>
      <c r="J26" s="15">
        <v>0</v>
      </c>
      <c r="K26" s="57" t="s">
        <v>364</v>
      </c>
      <c r="L26" s="15">
        <v>283.08999999999997</v>
      </c>
      <c r="M26" s="15">
        <v>0</v>
      </c>
      <c r="N26" s="15" t="s">
        <v>364</v>
      </c>
      <c r="O26" s="15">
        <v>0</v>
      </c>
      <c r="P26" s="15">
        <v>0</v>
      </c>
      <c r="Q26" s="15" t="s">
        <v>364</v>
      </c>
      <c r="R26" s="15">
        <v>6511.07</v>
      </c>
      <c r="S26" s="15">
        <v>0</v>
      </c>
      <c r="T26" s="15" t="s">
        <v>364</v>
      </c>
      <c r="U26" s="15">
        <v>0</v>
      </c>
      <c r="V26" s="6">
        <v>0</v>
      </c>
      <c r="W26" s="6">
        <v>0</v>
      </c>
      <c r="X26" s="6">
        <v>283.08999999999997</v>
      </c>
      <c r="Y26" s="6">
        <v>0</v>
      </c>
      <c r="Z26" s="6">
        <v>0</v>
      </c>
      <c r="AA26" s="8" t="s">
        <v>364</v>
      </c>
      <c r="AB26" s="8" t="s">
        <v>364</v>
      </c>
      <c r="AC26" s="8" t="s">
        <v>364</v>
      </c>
      <c r="AD26" s="8" t="s">
        <v>364</v>
      </c>
      <c r="AE26" s="8" t="s">
        <v>364</v>
      </c>
      <c r="AF26" s="8" t="s">
        <v>364</v>
      </c>
    </row>
    <row r="27" spans="1:32" x14ac:dyDescent="0.25">
      <c r="C27"/>
      <c r="D27"/>
      <c r="E27"/>
      <c r="F27"/>
      <c r="G27"/>
      <c r="H27"/>
      <c r="I27"/>
      <c r="J27"/>
      <c r="K27"/>
      <c r="L27"/>
      <c r="M27"/>
      <c r="N27"/>
      <c r="O27"/>
      <c r="P27"/>
      <c r="Q27"/>
      <c r="R27"/>
      <c r="S27"/>
      <c r="T27"/>
      <c r="U27"/>
      <c r="V27"/>
      <c r="W27"/>
      <c r="X27"/>
      <c r="Y27"/>
      <c r="Z27"/>
    </row>
    <row r="28" spans="1:32" x14ac:dyDescent="0.25">
      <c r="A28" s="71"/>
      <c r="B28" s="71"/>
      <c r="C28" s="72">
        <v>0.47826086956521741</v>
      </c>
      <c r="D28" s="144" t="s">
        <v>30</v>
      </c>
      <c r="E28" s="144"/>
      <c r="F28" s="144"/>
      <c r="G28" s="144" t="s">
        <v>31</v>
      </c>
      <c r="H28" s="144"/>
      <c r="I28" s="144"/>
      <c r="J28" s="144" t="s">
        <v>27</v>
      </c>
      <c r="K28" s="144"/>
      <c r="L28" s="144"/>
      <c r="M28" s="136" t="s">
        <v>28</v>
      </c>
      <c r="N28" s="137"/>
      <c r="O28" s="138"/>
      <c r="P28" s="136" t="s">
        <v>3</v>
      </c>
      <c r="Q28" s="137"/>
      <c r="R28" s="137"/>
      <c r="S28" s="137"/>
      <c r="T28" s="137"/>
      <c r="U28" s="61"/>
      <c r="V28" s="61"/>
      <c r="W28" s="61"/>
      <c r="X28" s="61"/>
      <c r="Y28" s="61"/>
      <c r="Z28" s="61"/>
    </row>
    <row r="29" spans="1:32" x14ac:dyDescent="0.25">
      <c r="A29" s="71"/>
      <c r="B29" s="71"/>
      <c r="C29" s="71"/>
      <c r="D29" s="133" t="s">
        <v>20</v>
      </c>
      <c r="E29" s="133" t="s">
        <v>5</v>
      </c>
      <c r="F29" s="133" t="s">
        <v>5</v>
      </c>
      <c r="G29" s="141" t="s">
        <v>5</v>
      </c>
      <c r="H29" s="141" t="s">
        <v>5</v>
      </c>
      <c r="I29" s="141" t="s">
        <v>5</v>
      </c>
      <c r="J29" s="146" t="s">
        <v>17</v>
      </c>
      <c r="K29" s="147"/>
      <c r="L29" s="148"/>
      <c r="M29" s="146" t="s">
        <v>17</v>
      </c>
      <c r="N29" s="147"/>
      <c r="O29" s="148"/>
      <c r="P29" s="146" t="s">
        <v>17</v>
      </c>
      <c r="Q29" s="147"/>
      <c r="R29" s="147"/>
      <c r="S29" s="147"/>
      <c r="T29" s="148"/>
      <c r="U29" s="139" t="s">
        <v>6</v>
      </c>
      <c r="V29" s="149"/>
      <c r="W29" s="139" t="s">
        <v>7</v>
      </c>
      <c r="X29" s="140"/>
      <c r="Y29" s="139" t="s">
        <v>8</v>
      </c>
      <c r="Z29" s="140"/>
      <c r="AC29" s="62"/>
    </row>
    <row r="30" spans="1:32" x14ac:dyDescent="0.25">
      <c r="A30" s="18" t="s">
        <v>4</v>
      </c>
      <c r="B30" s="19" t="s">
        <v>33</v>
      </c>
      <c r="C30" s="19" t="s">
        <v>34</v>
      </c>
      <c r="D30" s="20" t="s">
        <v>9</v>
      </c>
      <c r="E30" s="20" t="s">
        <v>10</v>
      </c>
      <c r="F30" s="20" t="s">
        <v>11</v>
      </c>
      <c r="G30" s="20" t="s">
        <v>9</v>
      </c>
      <c r="H30" s="20" t="s">
        <v>10</v>
      </c>
      <c r="I30" s="20" t="s">
        <v>11</v>
      </c>
      <c r="J30" s="20" t="s">
        <v>9</v>
      </c>
      <c r="K30" s="20" t="s">
        <v>10</v>
      </c>
      <c r="L30" s="20" t="s">
        <v>11</v>
      </c>
      <c r="M30" s="20" t="s">
        <v>9</v>
      </c>
      <c r="N30" s="20" t="s">
        <v>10</v>
      </c>
      <c r="O30" s="20" t="s">
        <v>11</v>
      </c>
      <c r="P30" s="20" t="s">
        <v>9</v>
      </c>
      <c r="Q30" s="20" t="s">
        <v>10</v>
      </c>
      <c r="R30" s="20" t="s">
        <v>11</v>
      </c>
      <c r="S30" s="20" t="s">
        <v>14</v>
      </c>
      <c r="T30" s="20" t="s">
        <v>15</v>
      </c>
      <c r="U30" s="20" t="s">
        <v>16</v>
      </c>
      <c r="V30" s="20" t="s">
        <v>11</v>
      </c>
      <c r="W30" s="20" t="s">
        <v>16</v>
      </c>
      <c r="X30" s="20" t="s">
        <v>11</v>
      </c>
      <c r="Y30" s="20" t="s">
        <v>16</v>
      </c>
      <c r="Z30" s="20" t="s">
        <v>11</v>
      </c>
      <c r="AA30" s="62"/>
    </row>
    <row r="31" spans="1:32" x14ac:dyDescent="0.25">
      <c r="A31" s="21" t="s">
        <v>19</v>
      </c>
      <c r="B31" s="21" t="s">
        <v>154</v>
      </c>
      <c r="C31" s="21" t="s">
        <v>282</v>
      </c>
      <c r="D31" s="15">
        <v>2.48</v>
      </c>
      <c r="E31" s="57">
        <v>291.15080645161288</v>
      </c>
      <c r="F31" s="15">
        <v>722.05399999999997</v>
      </c>
      <c r="G31" s="15">
        <v>1.7037037037037037</v>
      </c>
      <c r="H31" s="57">
        <v>464.00978260869562</v>
      </c>
      <c r="I31" s="15">
        <v>790.53518518518513</v>
      </c>
      <c r="J31" s="15">
        <v>0</v>
      </c>
      <c r="K31" s="57" t="s">
        <v>364</v>
      </c>
      <c r="L31" s="15">
        <v>0</v>
      </c>
      <c r="M31" s="15">
        <v>4.5240775966590325</v>
      </c>
      <c r="N31" s="15">
        <v>570.99999999999989</v>
      </c>
      <c r="O31" s="15">
        <v>2583.2483076923072</v>
      </c>
      <c r="P31" s="15">
        <v>-4.5240775966590325</v>
      </c>
      <c r="Q31" s="15" t="s">
        <v>364</v>
      </c>
      <c r="R31" s="15">
        <v>-2583.2483076923072</v>
      </c>
      <c r="S31" s="15" t="s">
        <v>364</v>
      </c>
      <c r="T31" s="15">
        <v>-2583.2483076923072</v>
      </c>
      <c r="U31" s="17">
        <v>0</v>
      </c>
      <c r="V31" s="17">
        <v>0</v>
      </c>
      <c r="W31" s="17">
        <v>-1</v>
      </c>
      <c r="X31" s="17">
        <v>-1</v>
      </c>
      <c r="Y31" s="17">
        <v>-1</v>
      </c>
      <c r="Z31" s="17">
        <v>-1</v>
      </c>
      <c r="AA31" s="86"/>
      <c r="AB31" s="86"/>
    </row>
    <row r="32" spans="1:32" x14ac:dyDescent="0.25">
      <c r="A32" s="21" t="s">
        <v>19</v>
      </c>
      <c r="B32" s="21" t="s">
        <v>39</v>
      </c>
      <c r="C32" s="21" t="s">
        <v>283</v>
      </c>
      <c r="D32" s="15">
        <v>0</v>
      </c>
      <c r="E32" s="57" t="s">
        <v>364</v>
      </c>
      <c r="F32" s="15">
        <v>0</v>
      </c>
      <c r="G32" s="15">
        <v>0</v>
      </c>
      <c r="H32" s="57" t="s">
        <v>364</v>
      </c>
      <c r="I32" s="15">
        <v>0</v>
      </c>
      <c r="J32" s="15">
        <v>1</v>
      </c>
      <c r="K32" s="57">
        <v>350</v>
      </c>
      <c r="L32" s="15">
        <v>350</v>
      </c>
      <c r="M32" s="15" t="s">
        <v>364</v>
      </c>
      <c r="N32" s="15" t="s">
        <v>364</v>
      </c>
      <c r="O32" s="15" t="s">
        <v>364</v>
      </c>
      <c r="P32" s="15" t="s">
        <v>364</v>
      </c>
      <c r="Q32" s="15" t="s">
        <v>364</v>
      </c>
      <c r="R32" s="15" t="s">
        <v>364</v>
      </c>
      <c r="S32" s="15" t="s">
        <v>364</v>
      </c>
      <c r="T32" s="15" t="s">
        <v>364</v>
      </c>
      <c r="U32" s="17" t="s">
        <v>364</v>
      </c>
      <c r="V32" s="17" t="s">
        <v>364</v>
      </c>
      <c r="W32" s="17" t="s">
        <v>364</v>
      </c>
      <c r="X32" s="17" t="s">
        <v>364</v>
      </c>
      <c r="Y32" s="17" t="s">
        <v>364</v>
      </c>
      <c r="Z32" s="17" t="s">
        <v>364</v>
      </c>
      <c r="AA32" s="86"/>
      <c r="AB32" s="86"/>
    </row>
    <row r="33" spans="1:28" x14ac:dyDescent="0.25">
      <c r="A33" s="21" t="s">
        <v>19</v>
      </c>
      <c r="B33" s="21" t="s">
        <v>49</v>
      </c>
      <c r="C33" s="21" t="s">
        <v>264</v>
      </c>
      <c r="D33" s="15">
        <v>0</v>
      </c>
      <c r="E33" s="57" t="s">
        <v>364</v>
      </c>
      <c r="F33" s="15">
        <v>0</v>
      </c>
      <c r="G33" s="15">
        <v>0</v>
      </c>
      <c r="H33" s="57" t="s">
        <v>364</v>
      </c>
      <c r="I33" s="15">
        <v>0</v>
      </c>
      <c r="J33" s="15">
        <v>0</v>
      </c>
      <c r="K33" s="57" t="s">
        <v>364</v>
      </c>
      <c r="L33" s="15">
        <v>283.08999999999997</v>
      </c>
      <c r="M33" s="15" t="s">
        <v>364</v>
      </c>
      <c r="N33" s="15" t="s">
        <v>364</v>
      </c>
      <c r="O33" s="15" t="s">
        <v>364</v>
      </c>
      <c r="P33" s="15" t="s">
        <v>364</v>
      </c>
      <c r="Q33" s="15" t="s">
        <v>364</v>
      </c>
      <c r="R33" s="15" t="s">
        <v>364</v>
      </c>
      <c r="S33" s="15" t="s">
        <v>364</v>
      </c>
      <c r="T33" s="15" t="s">
        <v>364</v>
      </c>
      <c r="U33" s="17" t="s">
        <v>364</v>
      </c>
      <c r="V33" s="17" t="s">
        <v>364</v>
      </c>
      <c r="W33" s="17" t="s">
        <v>364</v>
      </c>
      <c r="X33" s="17" t="s">
        <v>364</v>
      </c>
      <c r="Y33" s="17" t="s">
        <v>364</v>
      </c>
      <c r="Z33" s="17" t="s">
        <v>364</v>
      </c>
      <c r="AA33" s="86"/>
      <c r="AB33" s="86"/>
    </row>
    <row r="34" spans="1:28" x14ac:dyDescent="0.25">
      <c r="A34" s="21" t="s">
        <v>19</v>
      </c>
      <c r="B34" s="21" t="s">
        <v>278</v>
      </c>
      <c r="C34" s="21" t="s">
        <v>284</v>
      </c>
      <c r="D34" s="15">
        <v>0</v>
      </c>
      <c r="E34" s="57" t="s">
        <v>364</v>
      </c>
      <c r="F34" s="15">
        <v>0</v>
      </c>
      <c r="G34" s="15">
        <v>0</v>
      </c>
      <c r="H34" s="57" t="s">
        <v>364</v>
      </c>
      <c r="I34" s="15">
        <v>0</v>
      </c>
      <c r="J34" s="15">
        <v>2</v>
      </c>
      <c r="K34" s="57">
        <v>452.4</v>
      </c>
      <c r="L34" s="15">
        <v>904.8</v>
      </c>
      <c r="M34" s="15">
        <v>0.96153846153846156</v>
      </c>
      <c r="N34" s="15">
        <v>550</v>
      </c>
      <c r="O34" s="15">
        <v>528.84615384615381</v>
      </c>
      <c r="P34" s="15">
        <v>1.0384615384615383</v>
      </c>
      <c r="Q34" s="15">
        <v>-97.600000000000023</v>
      </c>
      <c r="R34" s="15">
        <v>375.95384615384614</v>
      </c>
      <c r="S34" s="15">
        <v>-195.20000000000005</v>
      </c>
      <c r="T34" s="15">
        <v>571.15384615384608</v>
      </c>
      <c r="U34" s="17">
        <v>2.08</v>
      </c>
      <c r="V34" s="17">
        <v>1.7108945454545454</v>
      </c>
      <c r="W34" s="17" t="s">
        <v>364</v>
      </c>
      <c r="X34" s="17" t="s">
        <v>364</v>
      </c>
      <c r="Y34" s="17" t="s">
        <v>364</v>
      </c>
      <c r="Z34" s="17" t="s">
        <v>364</v>
      </c>
      <c r="AA34" s="86"/>
      <c r="AB34" s="86"/>
    </row>
    <row r="35" spans="1:28" x14ac:dyDescent="0.25">
      <c r="A35" s="21" t="s">
        <v>19</v>
      </c>
      <c r="B35" s="21" t="s">
        <v>154</v>
      </c>
      <c r="C35" s="21" t="s">
        <v>285</v>
      </c>
      <c r="D35" s="15">
        <v>0</v>
      </c>
      <c r="E35" s="57" t="s">
        <v>364</v>
      </c>
      <c r="F35" s="15">
        <v>0</v>
      </c>
      <c r="G35" s="15">
        <v>0</v>
      </c>
      <c r="H35" s="57" t="s">
        <v>364</v>
      </c>
      <c r="I35" s="15">
        <v>0</v>
      </c>
      <c r="J35" s="15">
        <v>3</v>
      </c>
      <c r="K35" s="57">
        <v>408.33333333333331</v>
      </c>
      <c r="L35" s="15">
        <v>1225</v>
      </c>
      <c r="M35" s="15">
        <v>2.1811327824973819</v>
      </c>
      <c r="N35" s="15">
        <v>1983</v>
      </c>
      <c r="O35" s="15">
        <v>4325.1863076923082</v>
      </c>
      <c r="P35" s="15">
        <v>0.81886721750261815</v>
      </c>
      <c r="Q35" s="15">
        <v>-1574.6666666666667</v>
      </c>
      <c r="R35" s="15">
        <v>-3100.1863076923082</v>
      </c>
      <c r="S35" s="15">
        <v>-4724</v>
      </c>
      <c r="T35" s="15">
        <v>1623.8136923076918</v>
      </c>
      <c r="U35" s="17">
        <v>1.3754320800978568</v>
      </c>
      <c r="V35" s="17">
        <v>0.28322479376699855</v>
      </c>
      <c r="W35" s="17" t="s">
        <v>364</v>
      </c>
      <c r="X35" s="17" t="s">
        <v>364</v>
      </c>
      <c r="Y35" s="17" t="s">
        <v>364</v>
      </c>
      <c r="Z35" s="17" t="s">
        <v>364</v>
      </c>
      <c r="AA35" s="86"/>
      <c r="AB35" s="86"/>
    </row>
    <row r="36" spans="1:28" x14ac:dyDescent="0.25">
      <c r="A36" s="21" t="s">
        <v>19</v>
      </c>
      <c r="B36" s="21" t="s">
        <v>39</v>
      </c>
      <c r="C36" s="21" t="s">
        <v>286</v>
      </c>
      <c r="D36" s="15">
        <v>0</v>
      </c>
      <c r="E36" s="57" t="s">
        <v>364</v>
      </c>
      <c r="F36" s="15">
        <v>0</v>
      </c>
      <c r="G36" s="15">
        <v>0</v>
      </c>
      <c r="H36" s="57" t="s">
        <v>364</v>
      </c>
      <c r="I36" s="15">
        <v>0</v>
      </c>
      <c r="J36" s="15">
        <v>3</v>
      </c>
      <c r="K36" s="57">
        <v>3437.1666666666665</v>
      </c>
      <c r="L36" s="15">
        <v>10311.5</v>
      </c>
      <c r="M36" s="15">
        <v>7.1076923076923073</v>
      </c>
      <c r="N36" s="15">
        <v>1600</v>
      </c>
      <c r="O36" s="15">
        <v>11372.307692307691</v>
      </c>
      <c r="P36" s="15">
        <v>-4.1076923076923073</v>
      </c>
      <c r="Q36" s="15">
        <v>1837.1666666666665</v>
      </c>
      <c r="R36" s="15">
        <v>-1060.8076923076915</v>
      </c>
      <c r="S36" s="15">
        <v>5511.5</v>
      </c>
      <c r="T36" s="15">
        <v>-6572.3076923076915</v>
      </c>
      <c r="U36" s="17">
        <v>0.42207792207792211</v>
      </c>
      <c r="V36" s="17">
        <v>0.90672010281385285</v>
      </c>
      <c r="W36" s="17" t="s">
        <v>364</v>
      </c>
      <c r="X36" s="17" t="s">
        <v>364</v>
      </c>
      <c r="Y36" s="17" t="s">
        <v>364</v>
      </c>
      <c r="Z36" s="17" t="s">
        <v>364</v>
      </c>
      <c r="AA36" s="86"/>
      <c r="AB36" s="86"/>
    </row>
    <row r="37" spans="1:28" x14ac:dyDescent="0.25">
      <c r="A37" s="21" t="s">
        <v>19</v>
      </c>
      <c r="B37" s="21" t="s">
        <v>39</v>
      </c>
      <c r="C37" s="21" t="s">
        <v>287</v>
      </c>
      <c r="D37" s="15">
        <v>0</v>
      </c>
      <c r="E37" s="57" t="s">
        <v>364</v>
      </c>
      <c r="F37" s="15">
        <v>0</v>
      </c>
      <c r="G37" s="15">
        <v>0</v>
      </c>
      <c r="H37" s="57" t="s">
        <v>364</v>
      </c>
      <c r="I37" s="15">
        <v>0</v>
      </c>
      <c r="J37" s="15">
        <v>5</v>
      </c>
      <c r="K37" s="57">
        <v>1218.46</v>
      </c>
      <c r="L37" s="15">
        <v>6092.3</v>
      </c>
      <c r="M37" s="15">
        <v>4.8461538461538458</v>
      </c>
      <c r="N37" s="15">
        <v>1842.4779047619043</v>
      </c>
      <c r="O37" s="15">
        <v>8928.9313846153818</v>
      </c>
      <c r="P37" s="15">
        <v>0.15384615384615419</v>
      </c>
      <c r="Q37" s="15">
        <v>-624.01790476190422</v>
      </c>
      <c r="R37" s="15">
        <v>-2836.6313846153816</v>
      </c>
      <c r="S37" s="15">
        <v>-3120.0895238095209</v>
      </c>
      <c r="T37" s="15">
        <v>283.45813919413973</v>
      </c>
      <c r="U37" s="17">
        <v>1.0317460317460319</v>
      </c>
      <c r="V37" s="17">
        <v>0.68231009261613107</v>
      </c>
      <c r="W37" s="17" t="s">
        <v>364</v>
      </c>
      <c r="X37" s="17" t="s">
        <v>364</v>
      </c>
      <c r="Y37" s="17" t="s">
        <v>364</v>
      </c>
      <c r="Z37" s="17" t="s">
        <v>364</v>
      </c>
      <c r="AA37" s="86"/>
      <c r="AB37" s="86"/>
    </row>
    <row r="38" spans="1:28" x14ac:dyDescent="0.25">
      <c r="A38" s="21" t="s">
        <v>19</v>
      </c>
      <c r="B38" s="21" t="s">
        <v>51</v>
      </c>
      <c r="C38" s="21" t="s">
        <v>288</v>
      </c>
      <c r="D38" s="15">
        <v>1.4000000000000001</v>
      </c>
      <c r="E38" s="57">
        <v>1354.3571428571429</v>
      </c>
      <c r="F38" s="15">
        <v>1896.1000000000001</v>
      </c>
      <c r="G38" s="15">
        <v>1.7407407407407407</v>
      </c>
      <c r="H38" s="57">
        <v>1608.8297872340424</v>
      </c>
      <c r="I38" s="15">
        <v>2800.5555555555552</v>
      </c>
      <c r="J38" s="15">
        <v>0</v>
      </c>
      <c r="K38" s="57" t="s">
        <v>364</v>
      </c>
      <c r="L38" s="15">
        <v>0</v>
      </c>
      <c r="M38" s="15">
        <v>1.8923076923076922</v>
      </c>
      <c r="N38" s="15">
        <v>1522.0193702413217</v>
      </c>
      <c r="O38" s="15">
        <v>2880.1289621489623</v>
      </c>
      <c r="P38" s="15">
        <v>-1.8923076923076922</v>
      </c>
      <c r="Q38" s="15" t="s">
        <v>364</v>
      </c>
      <c r="R38" s="15">
        <v>-2880.1289621489623</v>
      </c>
      <c r="S38" s="15" t="s">
        <v>364</v>
      </c>
      <c r="T38" s="15">
        <v>-2880.1289621489623</v>
      </c>
      <c r="U38" s="17">
        <v>0</v>
      </c>
      <c r="V38" s="17">
        <v>0</v>
      </c>
      <c r="W38" s="17">
        <v>-1</v>
      </c>
      <c r="X38" s="17">
        <v>-1</v>
      </c>
      <c r="Y38" s="17">
        <v>-1</v>
      </c>
      <c r="Z38" s="17">
        <v>-1</v>
      </c>
      <c r="AA38" s="86"/>
      <c r="AB38" s="86"/>
    </row>
    <row r="39" spans="1:28" x14ac:dyDescent="0.25">
      <c r="A39" s="21" t="s">
        <v>19</v>
      </c>
      <c r="B39" s="21" t="s">
        <v>39</v>
      </c>
      <c r="C39" s="21" t="s">
        <v>289</v>
      </c>
      <c r="D39" s="15">
        <v>0</v>
      </c>
      <c r="E39" s="57" t="s">
        <v>364</v>
      </c>
      <c r="F39" s="15">
        <v>0</v>
      </c>
      <c r="G39" s="15">
        <v>0</v>
      </c>
      <c r="H39" s="57" t="s">
        <v>364</v>
      </c>
      <c r="I39" s="15">
        <v>0</v>
      </c>
      <c r="J39" s="15">
        <v>0</v>
      </c>
      <c r="K39" s="57" t="s">
        <v>364</v>
      </c>
      <c r="L39" s="15">
        <v>0</v>
      </c>
      <c r="M39" s="15" t="s">
        <v>364</v>
      </c>
      <c r="N39" s="15" t="s">
        <v>364</v>
      </c>
      <c r="O39" s="15" t="s">
        <v>364</v>
      </c>
      <c r="P39" s="15" t="s">
        <v>364</v>
      </c>
      <c r="Q39" s="15" t="s">
        <v>364</v>
      </c>
      <c r="R39" s="15" t="s">
        <v>364</v>
      </c>
      <c r="S39" s="15" t="s">
        <v>364</v>
      </c>
      <c r="T39" s="15" t="s">
        <v>364</v>
      </c>
      <c r="U39" s="17" t="s">
        <v>364</v>
      </c>
      <c r="V39" s="17" t="s">
        <v>364</v>
      </c>
      <c r="W39" s="17" t="s">
        <v>364</v>
      </c>
      <c r="X39" s="17" t="s">
        <v>364</v>
      </c>
      <c r="Y39" s="17" t="s">
        <v>364</v>
      </c>
      <c r="Z39" s="17" t="s">
        <v>364</v>
      </c>
      <c r="AA39" s="86"/>
      <c r="AB39" s="86"/>
    </row>
    <row r="40" spans="1:28" x14ac:dyDescent="0.25">
      <c r="A40" s="21" t="s">
        <v>19</v>
      </c>
      <c r="B40" s="21" t="s">
        <v>46</v>
      </c>
      <c r="C40" s="21" t="s">
        <v>290</v>
      </c>
      <c r="D40" s="15">
        <v>1.2</v>
      </c>
      <c r="E40" s="57">
        <v>856.06666666666672</v>
      </c>
      <c r="F40" s="15">
        <v>1027.28</v>
      </c>
      <c r="G40" s="15">
        <v>0.40740740740740738</v>
      </c>
      <c r="H40" s="57">
        <v>711.09090909090912</v>
      </c>
      <c r="I40" s="15">
        <v>289.7037037037037</v>
      </c>
      <c r="J40" s="15">
        <v>0</v>
      </c>
      <c r="K40" s="57" t="s">
        <v>364</v>
      </c>
      <c r="L40" s="15">
        <v>0</v>
      </c>
      <c r="M40" s="15">
        <v>1.5384615384615385</v>
      </c>
      <c r="N40" s="15">
        <v>1099</v>
      </c>
      <c r="O40" s="15">
        <v>1690.7692307692309</v>
      </c>
      <c r="P40" s="15">
        <v>-1.5384615384615385</v>
      </c>
      <c r="Q40" s="15" t="s">
        <v>364</v>
      </c>
      <c r="R40" s="15">
        <v>-1690.7692307692309</v>
      </c>
      <c r="S40" s="15" t="s">
        <v>364</v>
      </c>
      <c r="T40" s="15">
        <v>-1690.7692307692309</v>
      </c>
      <c r="U40" s="17">
        <v>0</v>
      </c>
      <c r="V40" s="17">
        <v>0</v>
      </c>
      <c r="W40" s="17">
        <v>-1</v>
      </c>
      <c r="X40" s="17">
        <v>-1</v>
      </c>
      <c r="Y40" s="17">
        <v>-1</v>
      </c>
      <c r="Z40" s="17">
        <v>-1</v>
      </c>
      <c r="AA40" s="86"/>
      <c r="AB40" s="86"/>
    </row>
    <row r="41" spans="1:28" x14ac:dyDescent="0.25">
      <c r="A41" s="21" t="s">
        <v>19</v>
      </c>
      <c r="B41" s="21" t="s">
        <v>278</v>
      </c>
      <c r="C41" s="21" t="s">
        <v>291</v>
      </c>
      <c r="D41" s="15">
        <v>0.36</v>
      </c>
      <c r="E41" s="57">
        <v>3020.5555555555561</v>
      </c>
      <c r="F41" s="15">
        <v>1087.4000000000001</v>
      </c>
      <c r="G41" s="15">
        <v>0</v>
      </c>
      <c r="H41" s="57" t="s">
        <v>364</v>
      </c>
      <c r="I41" s="15">
        <v>0</v>
      </c>
      <c r="J41" s="15">
        <v>0</v>
      </c>
      <c r="K41" s="57" t="s">
        <v>364</v>
      </c>
      <c r="L41" s="15">
        <v>0</v>
      </c>
      <c r="M41" s="15">
        <v>0.76923076923076927</v>
      </c>
      <c r="N41" s="15">
        <v>2081.64</v>
      </c>
      <c r="O41" s="15">
        <v>1601.2615384615383</v>
      </c>
      <c r="P41" s="15">
        <v>-0.76923076923076927</v>
      </c>
      <c r="Q41" s="15" t="s">
        <v>364</v>
      </c>
      <c r="R41" s="15">
        <v>-1601.2615384615383</v>
      </c>
      <c r="S41" s="15" t="s">
        <v>364</v>
      </c>
      <c r="T41" s="15">
        <v>-1601.2615384615385</v>
      </c>
      <c r="U41" s="17">
        <v>0</v>
      </c>
      <c r="V41" s="17">
        <v>0</v>
      </c>
      <c r="W41" s="17">
        <v>-1</v>
      </c>
      <c r="X41" s="17">
        <v>-1</v>
      </c>
      <c r="Y41" s="17" t="s">
        <v>364</v>
      </c>
      <c r="Z41" s="17" t="s">
        <v>364</v>
      </c>
      <c r="AA41" s="86"/>
      <c r="AB41" s="86"/>
    </row>
    <row r="42" spans="1:28" x14ac:dyDescent="0.25">
      <c r="A42" s="21" t="s">
        <v>19</v>
      </c>
      <c r="B42" s="21" t="s">
        <v>39</v>
      </c>
      <c r="C42" s="21" t="s">
        <v>292</v>
      </c>
      <c r="D42" s="15">
        <v>0</v>
      </c>
      <c r="E42" s="57" t="s">
        <v>364</v>
      </c>
      <c r="F42" s="15">
        <v>0</v>
      </c>
      <c r="G42" s="15">
        <v>0</v>
      </c>
      <c r="H42" s="57" t="s">
        <v>364</v>
      </c>
      <c r="I42" s="15">
        <v>0</v>
      </c>
      <c r="J42" s="15">
        <v>3</v>
      </c>
      <c r="K42" s="57">
        <v>1624.4666666666665</v>
      </c>
      <c r="L42" s="15">
        <v>4873.3999999999996</v>
      </c>
      <c r="M42" s="15">
        <v>6.5538461538461537</v>
      </c>
      <c r="N42" s="15">
        <v>1300</v>
      </c>
      <c r="O42" s="15">
        <v>8520</v>
      </c>
      <c r="P42" s="15">
        <v>-3.5538461538461537</v>
      </c>
      <c r="Q42" s="15">
        <v>324.46666666666647</v>
      </c>
      <c r="R42" s="15">
        <v>-3646.6000000000004</v>
      </c>
      <c r="S42" s="15">
        <v>973.39999999999941</v>
      </c>
      <c r="T42" s="15">
        <v>-4620</v>
      </c>
      <c r="U42" s="17">
        <v>0.45774647887323944</v>
      </c>
      <c r="V42" s="17">
        <v>0.57199530516431918</v>
      </c>
      <c r="W42" s="17" t="s">
        <v>364</v>
      </c>
      <c r="X42" s="17" t="s">
        <v>364</v>
      </c>
      <c r="Y42" s="17" t="s">
        <v>364</v>
      </c>
      <c r="Z42" s="17" t="s">
        <v>364</v>
      </c>
      <c r="AA42" s="86"/>
      <c r="AB42" s="86"/>
    </row>
    <row r="43" spans="1:28" x14ac:dyDescent="0.25">
      <c r="A43" s="21" t="s">
        <v>19</v>
      </c>
      <c r="B43" s="21" t="s">
        <v>45</v>
      </c>
      <c r="C43" s="21" t="s">
        <v>293</v>
      </c>
      <c r="D43" s="15">
        <v>3.24</v>
      </c>
      <c r="E43" s="57">
        <v>567.47814814814808</v>
      </c>
      <c r="F43" s="15">
        <v>1838.6291999999999</v>
      </c>
      <c r="G43" s="15">
        <v>3.2962962962962963</v>
      </c>
      <c r="H43" s="57">
        <v>890.3584269662922</v>
      </c>
      <c r="I43" s="15">
        <v>2934.8851851851855</v>
      </c>
      <c r="J43" s="15">
        <v>2</v>
      </c>
      <c r="K43" s="57">
        <v>200</v>
      </c>
      <c r="L43" s="15">
        <v>400</v>
      </c>
      <c r="M43" s="15">
        <v>3.7692307692307692</v>
      </c>
      <c r="N43" s="15">
        <v>1328.093537414966</v>
      </c>
      <c r="O43" s="15">
        <v>5005.8910256410254</v>
      </c>
      <c r="P43" s="15">
        <v>-1.7692307692307692</v>
      </c>
      <c r="Q43" s="15">
        <v>-1128.093537414966</v>
      </c>
      <c r="R43" s="15">
        <v>-4605.8910256410254</v>
      </c>
      <c r="S43" s="15">
        <v>-2256.187074829932</v>
      </c>
      <c r="T43" s="15">
        <v>-2349.7039508110938</v>
      </c>
      <c r="U43" s="17">
        <v>0.53061224489795922</v>
      </c>
      <c r="V43" s="17">
        <v>7.9905854512439839E-2</v>
      </c>
      <c r="W43" s="17">
        <v>-0.38271604938271608</v>
      </c>
      <c r="X43" s="17">
        <v>-0.78244661838286911</v>
      </c>
      <c r="Y43" s="17">
        <v>-0.39325842696629215</v>
      </c>
      <c r="Z43" s="17">
        <v>-0.86370846736385676</v>
      </c>
      <c r="AA43" s="86"/>
      <c r="AB43" s="86"/>
    </row>
    <row r="44" spans="1:28" x14ac:dyDescent="0.25">
      <c r="A44" s="21" t="s">
        <v>19</v>
      </c>
      <c r="B44" s="21" t="s">
        <v>51</v>
      </c>
      <c r="C44" s="21" t="s">
        <v>294</v>
      </c>
      <c r="D44" s="15">
        <v>0</v>
      </c>
      <c r="E44" s="57" t="s">
        <v>364</v>
      </c>
      <c r="F44" s="15">
        <v>0</v>
      </c>
      <c r="G44" s="15">
        <v>0</v>
      </c>
      <c r="H44" s="57" t="s">
        <v>364</v>
      </c>
      <c r="I44" s="15">
        <v>0</v>
      </c>
      <c r="J44" s="15">
        <v>3</v>
      </c>
      <c r="K44" s="57">
        <v>250</v>
      </c>
      <c r="L44" s="15">
        <v>750</v>
      </c>
      <c r="M44" s="15">
        <v>1.7999999999999998</v>
      </c>
      <c r="N44" s="15">
        <v>842.02739494301989</v>
      </c>
      <c r="O44" s="15">
        <v>1515.6493108974357</v>
      </c>
      <c r="P44" s="15">
        <v>1.2000000000000002</v>
      </c>
      <c r="Q44" s="15">
        <v>-592.02739494301989</v>
      </c>
      <c r="R44" s="15">
        <v>-765.64931089743573</v>
      </c>
      <c r="S44" s="15">
        <v>-1776.0821848290598</v>
      </c>
      <c r="T44" s="15">
        <v>1010.432873931624</v>
      </c>
      <c r="U44" s="17">
        <v>1.6666666666666667</v>
      </c>
      <c r="V44" s="17">
        <v>0.49483742354352089</v>
      </c>
      <c r="W44" s="17" t="s">
        <v>364</v>
      </c>
      <c r="X44" s="17" t="s">
        <v>364</v>
      </c>
      <c r="Y44" s="17" t="s">
        <v>364</v>
      </c>
      <c r="Z44" s="17" t="s">
        <v>364</v>
      </c>
      <c r="AA44" s="86"/>
      <c r="AB44" s="86"/>
    </row>
    <row r="45" spans="1:28" x14ac:dyDescent="0.25">
      <c r="A45" s="21" t="s">
        <v>19</v>
      </c>
      <c r="B45" s="21" t="s">
        <v>278</v>
      </c>
      <c r="C45" s="21" t="s">
        <v>295</v>
      </c>
      <c r="D45" s="15">
        <v>0</v>
      </c>
      <c r="E45" s="57" t="s">
        <v>364</v>
      </c>
      <c r="F45" s="15">
        <v>0</v>
      </c>
      <c r="G45" s="15">
        <v>0</v>
      </c>
      <c r="H45" s="57" t="s">
        <v>364</v>
      </c>
      <c r="I45" s="15">
        <v>0</v>
      </c>
      <c r="J45" s="15">
        <v>1</v>
      </c>
      <c r="K45" s="57">
        <v>200.1</v>
      </c>
      <c r="L45" s="15">
        <v>200.1</v>
      </c>
      <c r="M45" s="15">
        <v>1.8477073370679056</v>
      </c>
      <c r="N45" s="15">
        <v>562.99999999999989</v>
      </c>
      <c r="O45" s="15">
        <v>1040.2592307692307</v>
      </c>
      <c r="P45" s="15">
        <v>-0.84770733706790558</v>
      </c>
      <c r="Q45" s="15">
        <v>-362.89999999999986</v>
      </c>
      <c r="R45" s="15">
        <v>-840.1592307692307</v>
      </c>
      <c r="S45" s="15">
        <v>-362.89999999999986</v>
      </c>
      <c r="T45" s="15">
        <v>-477.25923076923073</v>
      </c>
      <c r="U45" s="17">
        <v>0.54121125133749937</v>
      </c>
      <c r="V45" s="17">
        <v>0.19235589945405621</v>
      </c>
      <c r="W45" s="17" t="s">
        <v>364</v>
      </c>
      <c r="X45" s="17" t="s">
        <v>364</v>
      </c>
      <c r="Y45" s="17" t="s">
        <v>364</v>
      </c>
      <c r="Z45" s="17" t="s">
        <v>364</v>
      </c>
      <c r="AA45" s="86"/>
      <c r="AB45" s="86"/>
    </row>
    <row r="46" spans="1:28" x14ac:dyDescent="0.25">
      <c r="A46" s="21" t="s">
        <v>19</v>
      </c>
      <c r="B46" s="21" t="s">
        <v>154</v>
      </c>
      <c r="C46" s="21" t="s">
        <v>296</v>
      </c>
      <c r="D46" s="15">
        <v>0</v>
      </c>
      <c r="E46" s="57" t="s">
        <v>364</v>
      </c>
      <c r="F46" s="15">
        <v>0</v>
      </c>
      <c r="G46" s="15">
        <v>0</v>
      </c>
      <c r="H46" s="57" t="s">
        <v>364</v>
      </c>
      <c r="I46" s="15">
        <v>0</v>
      </c>
      <c r="J46" s="15">
        <v>0</v>
      </c>
      <c r="K46" s="57" t="s">
        <v>364</v>
      </c>
      <c r="L46" s="15">
        <v>0</v>
      </c>
      <c r="M46" s="15">
        <v>1.1538461538461537</v>
      </c>
      <c r="N46" s="15">
        <v>1200</v>
      </c>
      <c r="O46" s="15">
        <v>1384.6153846153845</v>
      </c>
      <c r="P46" s="15">
        <v>-1.1538461538461537</v>
      </c>
      <c r="Q46" s="15" t="s">
        <v>364</v>
      </c>
      <c r="R46" s="15">
        <v>-1384.6153846153845</v>
      </c>
      <c r="S46" s="15" t="s">
        <v>364</v>
      </c>
      <c r="T46" s="15">
        <v>-1384.6153846153845</v>
      </c>
      <c r="U46" s="17">
        <v>0</v>
      </c>
      <c r="V46" s="17">
        <v>0</v>
      </c>
      <c r="W46" s="17" t="s">
        <v>364</v>
      </c>
      <c r="X46" s="17" t="s">
        <v>364</v>
      </c>
      <c r="Y46" s="17" t="s">
        <v>364</v>
      </c>
      <c r="Z46" s="17" t="s">
        <v>364</v>
      </c>
      <c r="AA46" s="86"/>
      <c r="AB46" s="86"/>
    </row>
    <row r="47" spans="1:28" x14ac:dyDescent="0.25">
      <c r="A47" s="21" t="s">
        <v>19</v>
      </c>
      <c r="B47" s="21" t="s">
        <v>39</v>
      </c>
      <c r="C47" s="21" t="s">
        <v>297</v>
      </c>
      <c r="D47" s="15">
        <v>0.56000000000000005</v>
      </c>
      <c r="E47" s="57">
        <v>2261.7857142857142</v>
      </c>
      <c r="F47" s="15">
        <v>1266.6000000000001</v>
      </c>
      <c r="G47" s="15">
        <v>1.1111111111111112</v>
      </c>
      <c r="H47" s="57">
        <v>2577.1616666666669</v>
      </c>
      <c r="I47" s="15">
        <v>2863.5129629629632</v>
      </c>
      <c r="J47" s="15">
        <v>0</v>
      </c>
      <c r="K47" s="57" t="s">
        <v>364</v>
      </c>
      <c r="L47" s="15">
        <v>0</v>
      </c>
      <c r="M47" s="15">
        <v>1.5384615384615385</v>
      </c>
      <c r="N47" s="15">
        <v>1884.4249999999997</v>
      </c>
      <c r="O47" s="15">
        <v>2899.1153846153843</v>
      </c>
      <c r="P47" s="15">
        <v>-1.5384615384615385</v>
      </c>
      <c r="Q47" s="15" t="s">
        <v>364</v>
      </c>
      <c r="R47" s="15">
        <v>-2899.1153846153843</v>
      </c>
      <c r="S47" s="15" t="s">
        <v>364</v>
      </c>
      <c r="T47" s="15">
        <v>-2899.1153846153843</v>
      </c>
      <c r="U47" s="17">
        <v>0</v>
      </c>
      <c r="V47" s="17">
        <v>0</v>
      </c>
      <c r="W47" s="17">
        <v>-1</v>
      </c>
      <c r="X47" s="17">
        <v>-1</v>
      </c>
      <c r="Y47" s="17">
        <v>-1</v>
      </c>
      <c r="Z47" s="17">
        <v>-1</v>
      </c>
      <c r="AA47" s="86"/>
      <c r="AB47" s="86"/>
    </row>
    <row r="48" spans="1:28" x14ac:dyDescent="0.25">
      <c r="A48" s="21" t="s">
        <v>19</v>
      </c>
      <c r="B48" s="21" t="s">
        <v>51</v>
      </c>
      <c r="C48" s="21" t="s">
        <v>298</v>
      </c>
      <c r="D48" s="15">
        <v>0.16</v>
      </c>
      <c r="E48" s="57">
        <v>500</v>
      </c>
      <c r="F48" s="15">
        <v>80</v>
      </c>
      <c r="G48" s="15">
        <v>0.37037037037037035</v>
      </c>
      <c r="H48" s="57">
        <v>490</v>
      </c>
      <c r="I48" s="15">
        <v>181.48148148148147</v>
      </c>
      <c r="J48" s="15">
        <v>6</v>
      </c>
      <c r="K48" s="57">
        <v>387.01499999999993</v>
      </c>
      <c r="L48" s="15">
        <v>2322.0899999999997</v>
      </c>
      <c r="M48" s="15">
        <v>1.523076923076923</v>
      </c>
      <c r="N48" s="15">
        <v>428.28484126984125</v>
      </c>
      <c r="O48" s="15">
        <v>652.31075824175821</v>
      </c>
      <c r="P48" s="15">
        <v>4.476923076923077</v>
      </c>
      <c r="Q48" s="15">
        <v>-41.269841269841322</v>
      </c>
      <c r="R48" s="15">
        <v>1669.7792417582414</v>
      </c>
      <c r="S48" s="15">
        <v>-247.61904761904793</v>
      </c>
      <c r="T48" s="15">
        <v>1917.3982893772893</v>
      </c>
      <c r="U48" s="17">
        <v>3.9393939393939394</v>
      </c>
      <c r="V48" s="17">
        <v>3.5597910515211693</v>
      </c>
      <c r="W48" s="17">
        <v>36.5</v>
      </c>
      <c r="X48" s="17">
        <v>28.026124999999997</v>
      </c>
      <c r="Y48" s="17">
        <v>15.200000000000001</v>
      </c>
      <c r="Z48" s="17">
        <v>11.795189795918368</v>
      </c>
    </row>
    <row r="49" spans="1:26" x14ac:dyDescent="0.25">
      <c r="A49" s="21" t="s">
        <v>19</v>
      </c>
      <c r="B49" s="21" t="s">
        <v>154</v>
      </c>
      <c r="C49" s="21" t="s">
        <v>227</v>
      </c>
      <c r="D49" s="15">
        <v>0.08</v>
      </c>
      <c r="E49" s="57">
        <v>600</v>
      </c>
      <c r="F49" s="15">
        <v>48</v>
      </c>
      <c r="G49" s="15">
        <v>0</v>
      </c>
      <c r="H49" s="57" t="s">
        <v>364</v>
      </c>
      <c r="I49" s="15">
        <v>0</v>
      </c>
      <c r="J49" s="15">
        <v>0</v>
      </c>
      <c r="K49" s="57" t="s">
        <v>364</v>
      </c>
      <c r="L49" s="15">
        <v>0</v>
      </c>
      <c r="M49" s="15">
        <v>0.86535576923076918</v>
      </c>
      <c r="N49" s="15">
        <v>1200</v>
      </c>
      <c r="O49" s="15">
        <v>1038.426923076923</v>
      </c>
      <c r="P49" s="15">
        <v>-0.86535576923076918</v>
      </c>
      <c r="Q49" s="15" t="s">
        <v>364</v>
      </c>
      <c r="R49" s="15">
        <v>-1038.426923076923</v>
      </c>
      <c r="S49" s="15" t="s">
        <v>364</v>
      </c>
      <c r="T49" s="15">
        <v>-1038.426923076923</v>
      </c>
      <c r="U49" s="17">
        <v>0</v>
      </c>
      <c r="V49" s="17">
        <v>0</v>
      </c>
      <c r="W49" s="17">
        <v>-1</v>
      </c>
      <c r="X49" s="17">
        <v>-1</v>
      </c>
      <c r="Y49" s="17" t="s">
        <v>364</v>
      </c>
      <c r="Z49" s="17" t="s">
        <v>364</v>
      </c>
    </row>
    <row r="50" spans="1:26" x14ac:dyDescent="0.25">
      <c r="A50" s="21" t="s">
        <v>19</v>
      </c>
      <c r="B50" s="21" t="s">
        <v>39</v>
      </c>
      <c r="C50" s="21" t="s">
        <v>299</v>
      </c>
      <c r="D50" s="15">
        <v>9.32</v>
      </c>
      <c r="E50" s="57">
        <v>1300.2302575107301</v>
      </c>
      <c r="F50" s="15">
        <v>12118.146000000004</v>
      </c>
      <c r="G50" s="15">
        <v>3.333333333333333</v>
      </c>
      <c r="H50" s="57">
        <v>2194.4248888888892</v>
      </c>
      <c r="I50" s="15">
        <v>7314.7496296296304</v>
      </c>
      <c r="J50" s="15">
        <v>0</v>
      </c>
      <c r="K50" s="57" t="s">
        <v>364</v>
      </c>
      <c r="L50" s="15">
        <v>0</v>
      </c>
      <c r="M50" s="15">
        <v>7.3461538461538458</v>
      </c>
      <c r="N50" s="15">
        <v>1400</v>
      </c>
      <c r="O50" s="15">
        <v>10284.615384615385</v>
      </c>
      <c r="P50" s="15">
        <v>-7.3461538461538458</v>
      </c>
      <c r="Q50" s="15" t="s">
        <v>364</v>
      </c>
      <c r="R50" s="15">
        <v>-10284.615384615385</v>
      </c>
      <c r="S50" s="15" t="s">
        <v>364</v>
      </c>
      <c r="T50" s="15">
        <v>-10284.615384615385</v>
      </c>
      <c r="U50" s="17">
        <v>0</v>
      </c>
      <c r="V50" s="17">
        <v>0</v>
      </c>
      <c r="W50" s="17">
        <v>-1</v>
      </c>
      <c r="X50" s="17">
        <v>-1</v>
      </c>
      <c r="Y50" s="17">
        <v>-1</v>
      </c>
      <c r="Z50" s="17">
        <v>-1</v>
      </c>
    </row>
    <row r="51" spans="1:26" x14ac:dyDescent="0.25">
      <c r="A51" s="21" t="s">
        <v>19</v>
      </c>
      <c r="B51" s="21" t="s">
        <v>39</v>
      </c>
      <c r="C51" s="21" t="s">
        <v>300</v>
      </c>
      <c r="D51" s="15">
        <v>0</v>
      </c>
      <c r="E51" s="57" t="s">
        <v>364</v>
      </c>
      <c r="F51" s="15">
        <v>0</v>
      </c>
      <c r="G51" s="15">
        <v>0</v>
      </c>
      <c r="H51" s="57" t="s">
        <v>364</v>
      </c>
      <c r="I51" s="15">
        <v>0</v>
      </c>
      <c r="J51" s="15">
        <v>0</v>
      </c>
      <c r="K51" s="57" t="s">
        <v>364</v>
      </c>
      <c r="L51" s="15">
        <v>0</v>
      </c>
      <c r="M51" s="15">
        <v>1.2307692307692308</v>
      </c>
      <c r="N51" s="15">
        <v>4123.8203125</v>
      </c>
      <c r="O51" s="15">
        <v>5075.4711538461543</v>
      </c>
      <c r="P51" s="15">
        <v>-1.2307692307692308</v>
      </c>
      <c r="Q51" s="15" t="s">
        <v>364</v>
      </c>
      <c r="R51" s="15">
        <v>-5075.4711538461543</v>
      </c>
      <c r="S51" s="15" t="s">
        <v>364</v>
      </c>
      <c r="T51" s="15">
        <v>-5075.4711538461543</v>
      </c>
      <c r="U51" s="17">
        <v>0</v>
      </c>
      <c r="V51" s="17">
        <v>0</v>
      </c>
      <c r="W51" s="17" t="s">
        <v>364</v>
      </c>
      <c r="X51" s="17" t="s">
        <v>364</v>
      </c>
      <c r="Y51" s="17" t="s">
        <v>364</v>
      </c>
      <c r="Z51" s="17" t="s">
        <v>364</v>
      </c>
    </row>
    <row r="52" spans="1:26" x14ac:dyDescent="0.25">
      <c r="A52" s="21" t="s">
        <v>19</v>
      </c>
      <c r="B52" s="21" t="s">
        <v>222</v>
      </c>
      <c r="C52" s="21" t="s">
        <v>301</v>
      </c>
      <c r="D52" s="15">
        <v>0</v>
      </c>
      <c r="E52" s="57" t="s">
        <v>364</v>
      </c>
      <c r="F52" s="15">
        <v>0</v>
      </c>
      <c r="G52" s="15">
        <v>0</v>
      </c>
      <c r="H52" s="57" t="s">
        <v>364</v>
      </c>
      <c r="I52" s="15">
        <v>0</v>
      </c>
      <c r="J52" s="15">
        <v>0</v>
      </c>
      <c r="K52" s="57" t="s">
        <v>364</v>
      </c>
      <c r="L52" s="15">
        <v>0</v>
      </c>
      <c r="M52" s="15">
        <v>0.23076923076923078</v>
      </c>
      <c r="N52" s="15">
        <v>1225.0000000000002</v>
      </c>
      <c r="O52" s="15">
        <v>282.69230769230774</v>
      </c>
      <c r="P52" s="15">
        <v>-0.23076923076923078</v>
      </c>
      <c r="Q52" s="15" t="s">
        <v>364</v>
      </c>
      <c r="R52" s="15">
        <v>-282.69230769230774</v>
      </c>
      <c r="S52" s="15" t="s">
        <v>364</v>
      </c>
      <c r="T52" s="15">
        <v>-282.69230769230774</v>
      </c>
      <c r="U52" s="17">
        <v>0</v>
      </c>
      <c r="V52" s="17">
        <v>0</v>
      </c>
      <c r="W52" s="17" t="s">
        <v>364</v>
      </c>
      <c r="X52" s="17" t="s">
        <v>364</v>
      </c>
      <c r="Y52" s="17" t="s">
        <v>364</v>
      </c>
      <c r="Z52" s="17" t="s">
        <v>364</v>
      </c>
    </row>
    <row r="53" spans="1:26" x14ac:dyDescent="0.25">
      <c r="A53" s="21" t="s">
        <v>19</v>
      </c>
      <c r="B53" s="21" t="s">
        <v>222</v>
      </c>
      <c r="C53" s="21" t="s">
        <v>710</v>
      </c>
      <c r="D53" s="15">
        <v>0</v>
      </c>
      <c r="E53" s="57" t="s">
        <v>364</v>
      </c>
      <c r="F53" s="15">
        <v>0</v>
      </c>
      <c r="G53" s="15">
        <v>0</v>
      </c>
      <c r="H53" s="57" t="s">
        <v>364</v>
      </c>
      <c r="I53" s="15">
        <v>0</v>
      </c>
      <c r="J53" s="15">
        <v>2</v>
      </c>
      <c r="K53" s="57">
        <v>725</v>
      </c>
      <c r="L53" s="15">
        <v>1450</v>
      </c>
      <c r="M53" s="15">
        <v>0.38461538461538464</v>
      </c>
      <c r="N53" s="15">
        <v>1225</v>
      </c>
      <c r="O53" s="15">
        <v>471.15384615384619</v>
      </c>
      <c r="P53" s="15">
        <v>1.6153846153846154</v>
      </c>
      <c r="Q53" s="15">
        <v>-500</v>
      </c>
      <c r="R53" s="15">
        <v>978.84615384615381</v>
      </c>
      <c r="S53" s="15">
        <v>-1000</v>
      </c>
      <c r="T53" s="15">
        <v>1978.8461538461538</v>
      </c>
      <c r="U53" s="17">
        <v>5.1999999999999993</v>
      </c>
      <c r="V53" s="17">
        <v>3.0775510204081629</v>
      </c>
      <c r="W53" s="17" t="s">
        <v>364</v>
      </c>
      <c r="X53" s="17" t="s">
        <v>364</v>
      </c>
      <c r="Y53" s="17" t="s">
        <v>364</v>
      </c>
      <c r="Z53" s="17" t="s">
        <v>364</v>
      </c>
    </row>
    <row r="54" spans="1:26" x14ac:dyDescent="0.25">
      <c r="A54" s="21" t="s">
        <v>19</v>
      </c>
      <c r="B54" s="21" t="s">
        <v>278</v>
      </c>
      <c r="C54" s="21" t="s">
        <v>302</v>
      </c>
      <c r="D54" s="15">
        <v>0</v>
      </c>
      <c r="E54" s="57" t="s">
        <v>364</v>
      </c>
      <c r="F54" s="15">
        <v>0</v>
      </c>
      <c r="G54" s="15">
        <v>0</v>
      </c>
      <c r="H54" s="57" t="s">
        <v>364</v>
      </c>
      <c r="I54" s="15">
        <v>0</v>
      </c>
      <c r="J54" s="15">
        <v>0</v>
      </c>
      <c r="K54" s="57" t="s">
        <v>364</v>
      </c>
      <c r="L54" s="15">
        <v>0</v>
      </c>
      <c r="M54" s="15">
        <v>0.38461538461538464</v>
      </c>
      <c r="N54" s="15">
        <v>1735.1376058201056</v>
      </c>
      <c r="O54" s="15">
        <v>667.36061762311761</v>
      </c>
      <c r="P54" s="15">
        <v>-0.38461538461538464</v>
      </c>
      <c r="Q54" s="15" t="s">
        <v>364</v>
      </c>
      <c r="R54" s="15">
        <v>-667.36061762311761</v>
      </c>
      <c r="S54" s="15" t="s">
        <v>364</v>
      </c>
      <c r="T54" s="15">
        <v>-667.36061762311761</v>
      </c>
      <c r="U54" s="17">
        <v>0</v>
      </c>
      <c r="V54" s="17">
        <v>0</v>
      </c>
      <c r="W54" s="17" t="s">
        <v>364</v>
      </c>
      <c r="X54" s="17" t="s">
        <v>364</v>
      </c>
      <c r="Y54" s="17" t="s">
        <v>364</v>
      </c>
      <c r="Z54" s="17" t="s">
        <v>364</v>
      </c>
    </row>
    <row r="55" spans="1:26" x14ac:dyDescent="0.25">
      <c r="A55" s="21" t="s">
        <v>19</v>
      </c>
      <c r="B55" s="21" t="s">
        <v>278</v>
      </c>
      <c r="C55" s="21" t="s">
        <v>709</v>
      </c>
      <c r="D55" s="15">
        <v>0</v>
      </c>
      <c r="E55" s="57" t="s">
        <v>364</v>
      </c>
      <c r="F55" s="15">
        <v>0</v>
      </c>
      <c r="G55" s="15">
        <v>0</v>
      </c>
      <c r="H55" s="57" t="s">
        <v>364</v>
      </c>
      <c r="I55" s="15">
        <v>0</v>
      </c>
      <c r="J55" s="15">
        <v>1</v>
      </c>
      <c r="K55" s="57">
        <v>805</v>
      </c>
      <c r="L55" s="15">
        <v>805</v>
      </c>
      <c r="M55" s="15">
        <v>0.38461538461538464</v>
      </c>
      <c r="N55" s="15">
        <v>1813.0714285714289</v>
      </c>
      <c r="O55" s="15">
        <v>697.33516483516496</v>
      </c>
      <c r="P55" s="15">
        <v>0.61538461538461542</v>
      </c>
      <c r="Q55" s="15">
        <v>-1008.0714285714289</v>
      </c>
      <c r="R55" s="15">
        <v>107.66483516483504</v>
      </c>
      <c r="S55" s="15">
        <v>-1008.0714285714289</v>
      </c>
      <c r="T55" s="15">
        <v>1115.7362637362639</v>
      </c>
      <c r="U55" s="17">
        <v>2.5999999999999996</v>
      </c>
      <c r="V55" s="17">
        <v>1.1543946736004411</v>
      </c>
      <c r="W55" s="17" t="s">
        <v>364</v>
      </c>
      <c r="X55" s="17" t="s">
        <v>364</v>
      </c>
      <c r="Y55" s="17" t="s">
        <v>364</v>
      </c>
      <c r="Z55" s="17" t="s">
        <v>364</v>
      </c>
    </row>
    <row r="56" spans="1:26" x14ac:dyDescent="0.25">
      <c r="A56" s="21" t="s">
        <v>19</v>
      </c>
      <c r="B56" s="21" t="s">
        <v>278</v>
      </c>
      <c r="C56" s="21" t="s">
        <v>303</v>
      </c>
      <c r="D56" s="15">
        <v>0</v>
      </c>
      <c r="E56" s="57" t="s">
        <v>364</v>
      </c>
      <c r="F56" s="15">
        <v>0</v>
      </c>
      <c r="G56" s="15">
        <v>0</v>
      </c>
      <c r="H56" s="57" t="s">
        <v>364</v>
      </c>
      <c r="I56" s="15">
        <v>0</v>
      </c>
      <c r="J56" s="15">
        <v>0</v>
      </c>
      <c r="K56" s="57" t="s">
        <v>364</v>
      </c>
      <c r="L56" s="15">
        <v>0</v>
      </c>
      <c r="M56" s="15">
        <v>0.96153846153846156</v>
      </c>
      <c r="N56" s="15">
        <v>846.00000000000011</v>
      </c>
      <c r="O56" s="15">
        <v>813.46153846153857</v>
      </c>
      <c r="P56" s="15">
        <v>-0.96153846153846156</v>
      </c>
      <c r="Q56" s="15" t="s">
        <v>364</v>
      </c>
      <c r="R56" s="15">
        <v>-813.46153846153857</v>
      </c>
      <c r="S56" s="15" t="s">
        <v>364</v>
      </c>
      <c r="T56" s="15">
        <v>-813.46153846153857</v>
      </c>
      <c r="U56" s="17">
        <v>0</v>
      </c>
      <c r="V56" s="17">
        <v>0</v>
      </c>
      <c r="W56" s="17" t="s">
        <v>364</v>
      </c>
      <c r="X56" s="17" t="s">
        <v>364</v>
      </c>
      <c r="Y56" s="17" t="s">
        <v>364</v>
      </c>
      <c r="Z56" s="17" t="s">
        <v>364</v>
      </c>
    </row>
    <row r="57" spans="1:26" x14ac:dyDescent="0.25">
      <c r="A57" s="21" t="s">
        <v>19</v>
      </c>
      <c r="B57" s="21" t="s">
        <v>39</v>
      </c>
      <c r="C57" s="21" t="s">
        <v>343</v>
      </c>
      <c r="D57" s="15">
        <v>0</v>
      </c>
      <c r="E57" s="57" t="s">
        <v>364</v>
      </c>
      <c r="F57" s="15">
        <v>0</v>
      </c>
      <c r="G57" s="15">
        <v>0</v>
      </c>
      <c r="H57" s="57" t="s">
        <v>364</v>
      </c>
      <c r="I57" s="15">
        <v>0</v>
      </c>
      <c r="J57" s="15">
        <v>0</v>
      </c>
      <c r="K57" s="57" t="s">
        <v>364</v>
      </c>
      <c r="L57" s="15">
        <v>0</v>
      </c>
      <c r="M57" s="15" t="s">
        <v>364</v>
      </c>
      <c r="N57" s="15" t="s">
        <v>364</v>
      </c>
      <c r="O57" s="15" t="s">
        <v>364</v>
      </c>
      <c r="P57" s="15" t="s">
        <v>364</v>
      </c>
      <c r="Q57" s="15" t="s">
        <v>364</v>
      </c>
      <c r="R57" s="15" t="s">
        <v>364</v>
      </c>
      <c r="S57" s="15" t="s">
        <v>364</v>
      </c>
      <c r="T57" s="15" t="s">
        <v>364</v>
      </c>
      <c r="U57" s="17" t="s">
        <v>364</v>
      </c>
      <c r="V57" s="17" t="s">
        <v>364</v>
      </c>
      <c r="W57" s="17" t="s">
        <v>364</v>
      </c>
      <c r="X57" s="17" t="s">
        <v>364</v>
      </c>
      <c r="Y57" s="17" t="s">
        <v>364</v>
      </c>
      <c r="Z57" s="17" t="s">
        <v>364</v>
      </c>
    </row>
    <row r="58" spans="1:26" x14ac:dyDescent="0.25">
      <c r="A58" s="21" t="s">
        <v>19</v>
      </c>
      <c r="B58" s="21" t="s">
        <v>154</v>
      </c>
      <c r="C58" s="21" t="s">
        <v>202</v>
      </c>
      <c r="D58" s="15">
        <v>0.16</v>
      </c>
      <c r="E58" s="57">
        <v>0</v>
      </c>
      <c r="F58" s="15">
        <v>0</v>
      </c>
      <c r="G58" s="15">
        <v>0</v>
      </c>
      <c r="H58" s="57" t="s">
        <v>364</v>
      </c>
      <c r="I58" s="15">
        <v>0</v>
      </c>
      <c r="J58" s="15">
        <v>0</v>
      </c>
      <c r="K58" s="57" t="s">
        <v>364</v>
      </c>
      <c r="L58" s="15">
        <v>0</v>
      </c>
      <c r="M58" s="15" t="s">
        <v>364</v>
      </c>
      <c r="N58" s="15" t="s">
        <v>364</v>
      </c>
      <c r="O58" s="15" t="s">
        <v>364</v>
      </c>
      <c r="P58" s="15" t="s">
        <v>364</v>
      </c>
      <c r="Q58" s="15" t="s">
        <v>364</v>
      </c>
      <c r="R58" s="15" t="s">
        <v>364</v>
      </c>
      <c r="S58" s="15" t="s">
        <v>364</v>
      </c>
      <c r="T58" s="15" t="s">
        <v>364</v>
      </c>
      <c r="U58" s="17" t="s">
        <v>364</v>
      </c>
      <c r="V58" s="17" t="s">
        <v>364</v>
      </c>
      <c r="W58" s="17">
        <v>-1</v>
      </c>
      <c r="X58" s="17" t="s">
        <v>364</v>
      </c>
      <c r="Y58" s="17" t="s">
        <v>364</v>
      </c>
      <c r="Z58" s="17" t="s">
        <v>364</v>
      </c>
    </row>
  </sheetData>
  <mergeCells count="51">
    <mergeCell ref="W29:X29"/>
    <mergeCell ref="Y29:Z29"/>
    <mergeCell ref="D29:F29"/>
    <mergeCell ref="G29:I29"/>
    <mergeCell ref="J29:L29"/>
    <mergeCell ref="M29:O29"/>
    <mergeCell ref="P29:T29"/>
    <mergeCell ref="U29:V29"/>
    <mergeCell ref="AA14:AB14"/>
    <mergeCell ref="AC14:AD14"/>
    <mergeCell ref="AE14:AF14"/>
    <mergeCell ref="D28:F28"/>
    <mergeCell ref="G28:I28"/>
    <mergeCell ref="J28:L28"/>
    <mergeCell ref="M28:O28"/>
    <mergeCell ref="P28:T28"/>
    <mergeCell ref="S14:U14"/>
    <mergeCell ref="V14:Z14"/>
    <mergeCell ref="D14:F14"/>
    <mergeCell ref="G14:I14"/>
    <mergeCell ref="J14:L14"/>
    <mergeCell ref="M14:O14"/>
    <mergeCell ref="P14:R14"/>
    <mergeCell ref="D13:F13"/>
    <mergeCell ref="G13:I13"/>
    <mergeCell ref="J13:L13"/>
    <mergeCell ref="M13:O13"/>
    <mergeCell ref="P13:R13"/>
    <mergeCell ref="AA8:AB8"/>
    <mergeCell ref="AC8:AD8"/>
    <mergeCell ref="AE8:AF8"/>
    <mergeCell ref="AG8:AH8"/>
    <mergeCell ref="S13:U13"/>
    <mergeCell ref="V13:Z13"/>
    <mergeCell ref="P7:R7"/>
    <mergeCell ref="S7:U7"/>
    <mergeCell ref="V7:Z7"/>
    <mergeCell ref="C8:C9"/>
    <mergeCell ref="D8:F8"/>
    <mergeCell ref="G8:I8"/>
    <mergeCell ref="J8:L8"/>
    <mergeCell ref="M8:O8"/>
    <mergeCell ref="P8:R8"/>
    <mergeCell ref="S8:U8"/>
    <mergeCell ref="M7:O7"/>
    <mergeCell ref="V8:Z8"/>
    <mergeCell ref="C1:C2"/>
    <mergeCell ref="D1:H2"/>
    <mergeCell ref="D7:F7"/>
    <mergeCell ref="G7:I7"/>
    <mergeCell ref="J7:L7"/>
  </mergeCells>
  <conditionalFormatting sqref="C16:C26">
    <cfRule type="duplicateValues" dxfId="6" priority="1"/>
  </conditionalFormatting>
  <pageMargins left="0.7" right="0.7" top="0.75" bottom="0.75" header="0.3" footer="0.3"/>
  <pageSetup orientation="portrait" horizontalDpi="200" verticalDpi="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DA96E-A20F-4CB0-A0D7-F670F3A96A9B}">
  <sheetPr codeName="Sheet10">
    <outlinePr summaryBelow="0"/>
  </sheetPr>
  <dimension ref="A1:AM304"/>
  <sheetViews>
    <sheetView showGridLines="0" zoomScale="90" zoomScaleNormal="90" workbookViewId="0"/>
  </sheetViews>
  <sheetFormatPr defaultRowHeight="15" x14ac:dyDescent="0.25"/>
  <cols>
    <col min="1" max="1" width="4.5703125" bestFit="1" customWidth="1"/>
    <col min="2" max="2" width="22.140625" bestFit="1" customWidth="1"/>
    <col min="3" max="3" width="38.5703125" style="3" bestFit="1" customWidth="1"/>
    <col min="4" max="4" width="5.85546875" style="3" bestFit="1" customWidth="1"/>
    <col min="5" max="5" width="6.42578125" style="3" bestFit="1" customWidth="1"/>
    <col min="6" max="6" width="7.85546875" style="3" bestFit="1" customWidth="1"/>
    <col min="7" max="7" width="5.85546875" style="3" bestFit="1" customWidth="1"/>
    <col min="8" max="8" width="6.42578125" style="3" bestFit="1" customWidth="1"/>
    <col min="9" max="9" width="9.140625" style="3" bestFit="1" customWidth="1"/>
    <col min="10" max="10" width="5.85546875" style="3" bestFit="1" customWidth="1"/>
    <col min="11" max="11" width="6.42578125" style="3" bestFit="1" customWidth="1"/>
    <col min="12" max="12" width="9.140625" style="3" bestFit="1" customWidth="1"/>
    <col min="13" max="13" width="8.85546875" style="3" bestFit="1" customWidth="1"/>
    <col min="14" max="14" width="9.7109375" style="3" bestFit="1" customWidth="1"/>
    <col min="15" max="15" width="9.140625" style="3" bestFit="1" customWidth="1"/>
    <col min="16" max="16" width="6.42578125" style="3" bestFit="1" customWidth="1"/>
    <col min="17" max="17" width="9.140625" style="3" bestFit="1" customWidth="1"/>
    <col min="18" max="18" width="8.28515625" style="3" bestFit="1" customWidth="1"/>
    <col min="19" max="19" width="11.28515625" style="3" bestFit="1" customWidth="1"/>
    <col min="20" max="20" width="12.5703125" style="3" bestFit="1" customWidth="1"/>
    <col min="21" max="21" width="18.140625" style="3" bestFit="1" customWidth="1"/>
    <col min="22" max="22" width="7.28515625" style="3" bestFit="1" customWidth="1"/>
    <col min="23" max="23" width="9.140625" style="3" bestFit="1" customWidth="1"/>
    <col min="24" max="24" width="9.7109375" style="3" bestFit="1" customWidth="1"/>
    <col min="25" max="25" width="12" style="3" bestFit="1" customWidth="1"/>
    <col min="26" max="26" width="13.42578125" style="3" bestFit="1" customWidth="1"/>
    <col min="27" max="27" width="12" style="3" bestFit="1" customWidth="1"/>
    <col min="28" max="28" width="13.42578125" style="3" bestFit="1" customWidth="1"/>
    <col min="29" max="29" width="7.5703125" bestFit="1" customWidth="1"/>
    <col min="30" max="30" width="7.85546875" bestFit="1" customWidth="1"/>
    <col min="31" max="31" width="7.5703125" bestFit="1" customWidth="1"/>
    <col min="32" max="32" width="7.85546875" bestFit="1" customWidth="1"/>
    <col min="33" max="33" width="7.5703125" bestFit="1" customWidth="1"/>
    <col min="34" max="34" width="7.85546875" bestFit="1" customWidth="1"/>
    <col min="35" max="35" width="4.7109375" bestFit="1" customWidth="1"/>
    <col min="36" max="36" width="2.42578125" bestFit="1" customWidth="1"/>
    <col min="37" max="37" width="4.28515625" bestFit="1" customWidth="1"/>
    <col min="38" max="38" width="2.42578125" bestFit="1" customWidth="1"/>
    <col min="39" max="39" width="3.28515625" bestFit="1" customWidth="1"/>
    <col min="40" max="40" width="2.42578125" bestFit="1" customWidth="1"/>
  </cols>
  <sheetData>
    <row r="1" spans="3:39" ht="15" customHeight="1" x14ac:dyDescent="0.25">
      <c r="C1" s="112" t="s">
        <v>18</v>
      </c>
      <c r="D1" s="114">
        <v>44698</v>
      </c>
      <c r="E1" s="115"/>
      <c r="F1" s="115"/>
      <c r="G1" s="115"/>
      <c r="H1" s="115"/>
      <c r="I1" s="93"/>
      <c r="J1" s="93"/>
      <c r="K1" s="9">
        <v>0.47826086956521741</v>
      </c>
      <c r="L1" s="74"/>
      <c r="M1" s="74"/>
      <c r="AC1" s="3"/>
      <c r="AD1" s="3"/>
      <c r="AE1" s="3"/>
    </row>
    <row r="2" spans="3:39" ht="24.75" customHeight="1" x14ac:dyDescent="0.25">
      <c r="C2" s="113"/>
      <c r="D2" s="114"/>
      <c r="E2" s="115"/>
      <c r="F2" s="115"/>
      <c r="G2" s="115"/>
      <c r="H2" s="115"/>
      <c r="I2"/>
      <c r="J2"/>
      <c r="AC2" s="3"/>
      <c r="AD2" s="3"/>
      <c r="AE2" s="3"/>
    </row>
    <row r="3" spans="3:39" x14ac:dyDescent="0.25">
      <c r="C3"/>
      <c r="D3"/>
      <c r="E3"/>
      <c r="F3"/>
      <c r="G3"/>
      <c r="H3"/>
      <c r="I3"/>
      <c r="J3"/>
      <c r="K3"/>
      <c r="L3"/>
      <c r="M3"/>
      <c r="N3"/>
      <c r="O3"/>
      <c r="P3"/>
      <c r="Q3"/>
      <c r="R3"/>
      <c r="S3"/>
      <c r="T3"/>
      <c r="U3"/>
      <c r="V3"/>
      <c r="W3"/>
      <c r="X3"/>
      <c r="Y3"/>
      <c r="Z3"/>
      <c r="AA3"/>
      <c r="AB3"/>
    </row>
    <row r="4" spans="3:39" x14ac:dyDescent="0.25">
      <c r="C4"/>
      <c r="D4"/>
      <c r="E4"/>
      <c r="F4"/>
      <c r="G4"/>
      <c r="H4"/>
      <c r="I4"/>
      <c r="J4"/>
      <c r="K4"/>
      <c r="L4"/>
      <c r="M4"/>
      <c r="N4"/>
      <c r="O4"/>
      <c r="P4"/>
      <c r="Q4"/>
      <c r="R4"/>
      <c r="S4"/>
      <c r="T4"/>
      <c r="U4"/>
      <c r="V4"/>
      <c r="W4"/>
      <c r="X4"/>
      <c r="Y4"/>
      <c r="Z4"/>
      <c r="AA4"/>
      <c r="AB4"/>
    </row>
    <row r="5" spans="3:39" x14ac:dyDescent="0.25">
      <c r="C5"/>
      <c r="D5"/>
      <c r="E5"/>
      <c r="F5"/>
      <c r="G5"/>
      <c r="H5"/>
      <c r="I5"/>
      <c r="J5"/>
      <c r="K5"/>
      <c r="L5"/>
      <c r="M5"/>
      <c r="N5"/>
      <c r="O5"/>
      <c r="P5"/>
      <c r="Q5"/>
      <c r="R5"/>
      <c r="S5"/>
      <c r="T5"/>
      <c r="U5"/>
      <c r="V5"/>
      <c r="W5"/>
      <c r="X5"/>
      <c r="Y5"/>
      <c r="Z5"/>
      <c r="AA5"/>
      <c r="AB5"/>
    </row>
    <row r="6" spans="3:39" x14ac:dyDescent="0.25">
      <c r="C6" s="33"/>
      <c r="D6" s="34"/>
      <c r="E6" s="34"/>
      <c r="F6" s="34"/>
      <c r="G6" s="34"/>
      <c r="N6" s="35"/>
      <c r="AC6" s="3"/>
      <c r="AD6" s="3"/>
      <c r="AE6" s="3"/>
    </row>
    <row r="7" spans="3:39" x14ac:dyDescent="0.25">
      <c r="D7" s="118" t="s">
        <v>355</v>
      </c>
      <c r="E7" s="118"/>
      <c r="F7" s="118"/>
      <c r="G7" s="118" t="s">
        <v>356</v>
      </c>
      <c r="H7" s="118"/>
      <c r="I7" s="118"/>
      <c r="J7" s="119" t="s">
        <v>357</v>
      </c>
      <c r="K7" s="120"/>
      <c r="L7" s="120"/>
      <c r="M7" s="120"/>
      <c r="N7" s="121"/>
      <c r="O7" s="120" t="s">
        <v>358</v>
      </c>
      <c r="P7" s="120"/>
      <c r="Q7" s="120"/>
      <c r="R7" s="122" t="s">
        <v>1</v>
      </c>
      <c r="S7" s="123"/>
      <c r="T7" s="123"/>
      <c r="U7" s="122" t="s">
        <v>2</v>
      </c>
      <c r="V7" s="123"/>
      <c r="W7" s="123"/>
      <c r="X7" s="122" t="s">
        <v>3</v>
      </c>
      <c r="Y7" s="123"/>
      <c r="Z7" s="123"/>
      <c r="AA7" s="123"/>
      <c r="AB7" s="123"/>
      <c r="AC7" s="3"/>
      <c r="AD7" s="3"/>
    </row>
    <row r="8" spans="3:39" x14ac:dyDescent="0.25">
      <c r="C8" s="116" t="s">
        <v>4</v>
      </c>
      <c r="D8" s="124" t="s">
        <v>20</v>
      </c>
      <c r="E8" s="125"/>
      <c r="F8" s="126"/>
      <c r="G8" s="124" t="s">
        <v>5</v>
      </c>
      <c r="H8" s="125"/>
      <c r="I8" s="126"/>
      <c r="J8" s="124" t="s">
        <v>17</v>
      </c>
      <c r="K8" s="125"/>
      <c r="L8" s="125"/>
      <c r="M8" s="125"/>
      <c r="N8" s="126"/>
      <c r="O8" s="125" t="s">
        <v>17</v>
      </c>
      <c r="P8" s="125"/>
      <c r="Q8" s="125"/>
      <c r="R8" s="124" t="s">
        <v>17</v>
      </c>
      <c r="S8" s="125"/>
      <c r="T8" s="126"/>
      <c r="U8" s="124" t="s">
        <v>17</v>
      </c>
      <c r="V8" s="125"/>
      <c r="W8" s="125"/>
      <c r="X8" s="124" t="s">
        <v>17</v>
      </c>
      <c r="Y8" s="125"/>
      <c r="Z8" s="125"/>
      <c r="AA8" s="125"/>
      <c r="AB8" s="126"/>
      <c r="AC8" s="127" t="s">
        <v>6</v>
      </c>
      <c r="AD8" s="128"/>
      <c r="AE8" s="127" t="s">
        <v>7</v>
      </c>
      <c r="AF8" s="129"/>
      <c r="AG8" s="127" t="s">
        <v>8</v>
      </c>
      <c r="AH8" s="129"/>
    </row>
    <row r="9" spans="3:39" x14ac:dyDescent="0.25">
      <c r="C9" s="117"/>
      <c r="D9" s="4" t="s">
        <v>9</v>
      </c>
      <c r="E9" s="4" t="s">
        <v>10</v>
      </c>
      <c r="F9" s="4" t="s">
        <v>11</v>
      </c>
      <c r="G9" s="4" t="s">
        <v>9</v>
      </c>
      <c r="H9" s="4" t="s">
        <v>10</v>
      </c>
      <c r="I9" s="4" t="s">
        <v>11</v>
      </c>
      <c r="J9" s="4" t="s">
        <v>9</v>
      </c>
      <c r="K9" s="4" t="s">
        <v>10</v>
      </c>
      <c r="L9" s="4" t="s">
        <v>11</v>
      </c>
      <c r="M9" s="4" t="s">
        <v>12</v>
      </c>
      <c r="N9" s="4" t="s">
        <v>13</v>
      </c>
      <c r="O9" s="4" t="s">
        <v>9</v>
      </c>
      <c r="P9" s="4" t="s">
        <v>10</v>
      </c>
      <c r="Q9" s="4" t="s">
        <v>11</v>
      </c>
      <c r="R9" s="4" t="s">
        <v>9</v>
      </c>
      <c r="S9" s="4" t="s">
        <v>10</v>
      </c>
      <c r="T9" s="4" t="s">
        <v>11</v>
      </c>
      <c r="U9" s="4" t="s">
        <v>9</v>
      </c>
      <c r="V9" s="4" t="s">
        <v>10</v>
      </c>
      <c r="W9" s="4" t="s">
        <v>11</v>
      </c>
      <c r="X9" s="4" t="s">
        <v>9</v>
      </c>
      <c r="Y9" s="4" t="s">
        <v>10</v>
      </c>
      <c r="Z9" s="4" t="s">
        <v>11</v>
      </c>
      <c r="AA9" s="4" t="s">
        <v>14</v>
      </c>
      <c r="AB9" s="4" t="s">
        <v>15</v>
      </c>
      <c r="AC9" s="4" t="s">
        <v>16</v>
      </c>
      <c r="AD9" s="4" t="s">
        <v>11</v>
      </c>
      <c r="AE9" s="4" t="s">
        <v>16</v>
      </c>
      <c r="AF9" s="4" t="s">
        <v>11</v>
      </c>
      <c r="AG9" s="4" t="s">
        <v>16</v>
      </c>
      <c r="AH9" s="4" t="s">
        <v>11</v>
      </c>
    </row>
    <row r="10" spans="3:39" x14ac:dyDescent="0.25">
      <c r="C10" s="5" t="s">
        <v>18</v>
      </c>
      <c r="D10" s="6">
        <v>582.04347826086962</v>
      </c>
      <c r="E10" s="53">
        <v>787.55227608874281</v>
      </c>
      <c r="F10" s="6">
        <v>458389.66608695657</v>
      </c>
      <c r="G10" s="6">
        <v>722.17391304347825</v>
      </c>
      <c r="H10" s="53">
        <v>840.78386754966891</v>
      </c>
      <c r="I10" s="6">
        <v>607192.17565217393</v>
      </c>
      <c r="J10" s="6">
        <v>1300</v>
      </c>
      <c r="K10" s="53">
        <v>477.65475384615371</v>
      </c>
      <c r="L10" s="6">
        <v>620951.17999999982</v>
      </c>
      <c r="M10" s="7">
        <v>0</v>
      </c>
      <c r="N10" s="7">
        <v>0</v>
      </c>
      <c r="O10" s="6">
        <v>714.64287799543581</v>
      </c>
      <c r="P10" s="53">
        <v>1139.9721739922311</v>
      </c>
      <c r="Q10" s="6">
        <v>814672.99525652174</v>
      </c>
      <c r="R10" s="6">
        <v>2718.181818181818</v>
      </c>
      <c r="S10" s="6">
        <v>477.65475384615371</v>
      </c>
      <c r="T10" s="6">
        <v>1298352.4672727268</v>
      </c>
      <c r="U10" s="6">
        <v>1494.2532903540932</v>
      </c>
      <c r="V10" s="6">
        <v>1139.9721739922311</v>
      </c>
      <c r="W10" s="6">
        <v>1703407.1719000002</v>
      </c>
      <c r="X10" s="6">
        <v>585.35712200456419</v>
      </c>
      <c r="Y10" s="6">
        <v>-662.31742014607744</v>
      </c>
      <c r="Z10" s="6">
        <v>-193721.81525652192</v>
      </c>
      <c r="AA10" s="6">
        <v>-861012.6461899007</v>
      </c>
      <c r="AB10" s="6">
        <v>667290.83093337866</v>
      </c>
      <c r="AC10" s="8">
        <v>1.8190904016933374</v>
      </c>
      <c r="AD10" s="8">
        <v>0.76220911165034577</v>
      </c>
      <c r="AE10" s="8">
        <v>1.233510121759916</v>
      </c>
      <c r="AF10" s="8">
        <v>0.35463607916982431</v>
      </c>
      <c r="AG10" s="8">
        <v>0.80012040939193263</v>
      </c>
      <c r="AH10" s="8">
        <v>2.2660048827288653E-2</v>
      </c>
    </row>
    <row r="11" spans="3:39" x14ac:dyDescent="0.25">
      <c r="C11" s="41"/>
      <c r="D11" s="42"/>
      <c r="E11" s="43"/>
      <c r="F11" s="42"/>
      <c r="G11" s="42"/>
      <c r="H11" s="43"/>
      <c r="I11" s="42"/>
      <c r="J11" s="42"/>
      <c r="K11" s="44"/>
      <c r="L11" s="42"/>
      <c r="M11" s="42"/>
      <c r="N11" s="43"/>
      <c r="O11" s="42"/>
      <c r="P11" s="42"/>
      <c r="Q11" s="42"/>
      <c r="R11" s="43"/>
      <c r="S11" s="42"/>
      <c r="T11" s="42"/>
      <c r="U11" s="42"/>
      <c r="V11" s="42"/>
      <c r="W11" s="45"/>
      <c r="X11" s="45"/>
      <c r="Y11" s="45"/>
      <c r="Z11" s="45"/>
      <c r="AA11" s="42"/>
      <c r="AB11" s="42"/>
      <c r="AC11" s="42"/>
      <c r="AD11" s="46"/>
      <c r="AE11" s="46"/>
      <c r="AF11" s="47"/>
      <c r="AG11" s="47"/>
      <c r="AH11" s="47"/>
      <c r="AI11" s="47"/>
      <c r="AJ11" s="47"/>
      <c r="AK11" s="47"/>
      <c r="AL11" s="47"/>
      <c r="AM11" s="47"/>
    </row>
    <row r="12" spans="3:39" x14ac:dyDescent="0.25">
      <c r="C12" s="41"/>
      <c r="D12" s="68"/>
      <c r="E12" s="69"/>
      <c r="F12" s="68"/>
      <c r="G12" s="68"/>
      <c r="H12" s="69"/>
      <c r="I12" s="68"/>
      <c r="J12" s="68"/>
      <c r="K12" s="68"/>
      <c r="L12" s="68"/>
      <c r="M12" s="68"/>
      <c r="N12" s="68"/>
      <c r="O12" s="68"/>
      <c r="P12" s="68"/>
      <c r="Q12" s="68"/>
      <c r="R12" s="69"/>
      <c r="S12" s="50"/>
      <c r="T12" s="50"/>
      <c r="U12" s="70"/>
      <c r="V12" s="68"/>
      <c r="W12" s="49"/>
      <c r="X12" s="49"/>
      <c r="Y12" s="50"/>
      <c r="Z12" s="50"/>
      <c r="AA12" s="50"/>
      <c r="AB12" s="50"/>
      <c r="AC12" s="50"/>
      <c r="AD12" s="50"/>
      <c r="AE12" s="50"/>
      <c r="AF12" s="50"/>
      <c r="AG12" s="50"/>
    </row>
    <row r="13" spans="3:39" x14ac:dyDescent="0.25">
      <c r="C13" s="9">
        <v>0.47826086956521741</v>
      </c>
      <c r="D13" s="118" t="s">
        <v>30</v>
      </c>
      <c r="E13" s="118"/>
      <c r="F13" s="118"/>
      <c r="G13" s="118" t="s">
        <v>31</v>
      </c>
      <c r="H13" s="118"/>
      <c r="I13" s="118"/>
      <c r="J13" s="119" t="s">
        <v>357</v>
      </c>
      <c r="K13" s="120"/>
      <c r="L13" s="120"/>
      <c r="M13" s="119" t="s">
        <v>358</v>
      </c>
      <c r="N13" s="120"/>
      <c r="O13" s="120"/>
      <c r="P13" s="119" t="s">
        <v>32</v>
      </c>
      <c r="Q13" s="120"/>
      <c r="R13" s="121"/>
      <c r="S13" s="119" t="s">
        <v>2</v>
      </c>
      <c r="T13" s="120"/>
      <c r="U13" s="121"/>
      <c r="V13" s="122" t="s">
        <v>3</v>
      </c>
      <c r="W13" s="123"/>
      <c r="X13" s="123"/>
      <c r="Y13" s="123"/>
      <c r="Z13" s="123"/>
    </row>
    <row r="14" spans="3:39" x14ac:dyDescent="0.25">
      <c r="D14" s="133" t="s">
        <v>20</v>
      </c>
      <c r="E14" s="133" t="s">
        <v>5</v>
      </c>
      <c r="F14" s="133" t="s">
        <v>5</v>
      </c>
      <c r="G14" s="133" t="s">
        <v>5</v>
      </c>
      <c r="H14" s="133" t="s">
        <v>5</v>
      </c>
      <c r="I14" s="133" t="s">
        <v>5</v>
      </c>
      <c r="J14" s="124" t="s">
        <v>17</v>
      </c>
      <c r="K14" s="125"/>
      <c r="L14" s="125"/>
      <c r="M14" s="124" t="s">
        <v>17</v>
      </c>
      <c r="N14" s="125"/>
      <c r="O14" s="125"/>
      <c r="P14" s="124" t="s">
        <v>17</v>
      </c>
      <c r="Q14" s="125"/>
      <c r="R14" s="126"/>
      <c r="S14" s="134" t="s">
        <v>17</v>
      </c>
      <c r="T14" s="135"/>
      <c r="U14" s="135"/>
      <c r="V14" s="124" t="s">
        <v>17</v>
      </c>
      <c r="W14" s="125"/>
      <c r="X14" s="125"/>
      <c r="Y14" s="125"/>
      <c r="Z14" s="126"/>
      <c r="AA14" s="127" t="s">
        <v>6</v>
      </c>
      <c r="AB14" s="128"/>
      <c r="AC14" s="127" t="s">
        <v>7</v>
      </c>
      <c r="AD14" s="129"/>
      <c r="AE14" s="127" t="s">
        <v>8</v>
      </c>
      <c r="AF14" s="129"/>
    </row>
    <row r="15" spans="3:39" x14ac:dyDescent="0.25">
      <c r="C15" s="97" t="s">
        <v>33</v>
      </c>
      <c r="D15" s="4" t="s">
        <v>9</v>
      </c>
      <c r="E15" s="4" t="s">
        <v>10</v>
      </c>
      <c r="F15" s="4" t="s">
        <v>11</v>
      </c>
      <c r="G15" s="4" t="s">
        <v>9</v>
      </c>
      <c r="H15" s="4" t="s">
        <v>10</v>
      </c>
      <c r="I15" s="4" t="s">
        <v>11</v>
      </c>
      <c r="J15" s="4" t="s">
        <v>9</v>
      </c>
      <c r="K15" s="4" t="s">
        <v>10</v>
      </c>
      <c r="L15" s="4" t="s">
        <v>11</v>
      </c>
      <c r="M15" s="4" t="s">
        <v>9</v>
      </c>
      <c r="N15" s="4" t="s">
        <v>10</v>
      </c>
      <c r="O15" s="4" t="s">
        <v>11</v>
      </c>
      <c r="P15" s="4" t="s">
        <v>9</v>
      </c>
      <c r="Q15" s="4" t="s">
        <v>10</v>
      </c>
      <c r="R15" s="4" t="s">
        <v>11</v>
      </c>
      <c r="S15" s="4" t="s">
        <v>9</v>
      </c>
      <c r="T15" s="4" t="s">
        <v>10</v>
      </c>
      <c r="U15" s="4" t="s">
        <v>11</v>
      </c>
      <c r="V15" s="4" t="s">
        <v>9</v>
      </c>
      <c r="W15" s="4" t="s">
        <v>10</v>
      </c>
      <c r="X15" s="4" t="s">
        <v>11</v>
      </c>
      <c r="Y15" s="4" t="s">
        <v>14</v>
      </c>
      <c r="Z15" s="4" t="s">
        <v>15</v>
      </c>
      <c r="AA15" s="4" t="s">
        <v>16</v>
      </c>
      <c r="AB15" s="4" t="s">
        <v>11</v>
      </c>
      <c r="AC15" s="4" t="s">
        <v>16</v>
      </c>
      <c r="AD15" s="4" t="s">
        <v>11</v>
      </c>
      <c r="AE15" s="4" t="s">
        <v>16</v>
      </c>
      <c r="AF15" s="4" t="s">
        <v>11</v>
      </c>
    </row>
    <row r="16" spans="3:39" x14ac:dyDescent="0.25">
      <c r="C16" s="23" t="s">
        <v>729</v>
      </c>
      <c r="D16" s="15">
        <v>33</v>
      </c>
      <c r="E16" s="15">
        <v>1274.2008695652187</v>
      </c>
      <c r="F16" s="15">
        <v>42048.628695652216</v>
      </c>
      <c r="G16" s="15">
        <v>33.478260869565219</v>
      </c>
      <c r="H16" s="57">
        <v>1586.6561428571442</v>
      </c>
      <c r="I16" s="15">
        <v>53118.488260869613</v>
      </c>
      <c r="J16" s="15">
        <v>76</v>
      </c>
      <c r="K16" s="57">
        <v>1347.8040789473687</v>
      </c>
      <c r="L16" s="15">
        <v>102433.11000000002</v>
      </c>
      <c r="M16" s="15">
        <v>60.834782608695654</v>
      </c>
      <c r="N16" s="15">
        <v>1550</v>
      </c>
      <c r="O16" s="15">
        <v>94293.913043478271</v>
      </c>
      <c r="P16" s="15">
        <v>158.90909090909091</v>
      </c>
      <c r="Q16" s="15">
        <v>1347.8040789473685</v>
      </c>
      <c r="R16" s="15">
        <v>214178.32090909092</v>
      </c>
      <c r="S16" s="15">
        <v>127.2</v>
      </c>
      <c r="T16" s="15">
        <v>1550</v>
      </c>
      <c r="U16" s="15">
        <v>197160</v>
      </c>
      <c r="V16" s="6">
        <v>15.165217391304346</v>
      </c>
      <c r="W16" s="6">
        <v>-202.19592105263132</v>
      </c>
      <c r="X16" s="6">
        <v>8139.1969565217441</v>
      </c>
      <c r="Y16" s="6">
        <v>-15366.889999999981</v>
      </c>
      <c r="Z16" s="6">
        <v>23506.086956521736</v>
      </c>
      <c r="AA16" s="8">
        <v>1.2492853058890794</v>
      </c>
      <c r="AB16" s="8">
        <v>1.0863173103524595</v>
      </c>
      <c r="AC16" s="8">
        <v>1.303030303030303</v>
      </c>
      <c r="AD16" s="8">
        <v>1.4360630340982199</v>
      </c>
      <c r="AE16" s="8">
        <v>1.27012987012987</v>
      </c>
      <c r="AF16" s="8">
        <v>0.92838902901268416</v>
      </c>
    </row>
    <row r="17" spans="3:32" s="16" customFormat="1" ht="15" customHeight="1" x14ac:dyDescent="0.25">
      <c r="C17" s="23" t="s">
        <v>304</v>
      </c>
      <c r="D17" s="15">
        <v>47.826086956521742</v>
      </c>
      <c r="E17" s="15">
        <v>408.97889999999978</v>
      </c>
      <c r="F17" s="15">
        <v>19559.8604347826</v>
      </c>
      <c r="G17" s="15">
        <v>62.652173913043477</v>
      </c>
      <c r="H17" s="57">
        <v>371.88671755725198</v>
      </c>
      <c r="I17" s="15">
        <v>23299.51130434783</v>
      </c>
      <c r="J17" s="15">
        <v>71</v>
      </c>
      <c r="K17" s="57">
        <v>330.74816901408457</v>
      </c>
      <c r="L17" s="15">
        <v>23483.120000000003</v>
      </c>
      <c r="M17" s="15">
        <v>61.599999999999994</v>
      </c>
      <c r="N17" s="15">
        <v>430</v>
      </c>
      <c r="O17" s="15">
        <v>26487.999999999996</v>
      </c>
      <c r="P17" s="15">
        <v>148.45454545454544</v>
      </c>
      <c r="Q17" s="15">
        <v>330.74816901408457</v>
      </c>
      <c r="R17" s="15">
        <v>49101.069090909092</v>
      </c>
      <c r="S17" s="15">
        <v>128.79999999999998</v>
      </c>
      <c r="T17" s="15">
        <v>430</v>
      </c>
      <c r="U17" s="15">
        <v>55383.999999999993</v>
      </c>
      <c r="V17" s="6">
        <v>9.4000000000000057</v>
      </c>
      <c r="W17" s="6">
        <v>-99.251830985915433</v>
      </c>
      <c r="X17" s="6">
        <v>-3004.8799999999937</v>
      </c>
      <c r="Y17" s="6">
        <v>-7046.8799999999956</v>
      </c>
      <c r="Z17" s="6">
        <v>4042.0000000000023</v>
      </c>
      <c r="AA17" s="8">
        <v>1.1525974025974026</v>
      </c>
      <c r="AB17" s="8">
        <v>0.88655693144065262</v>
      </c>
      <c r="AC17" s="8">
        <v>0.48454545454545445</v>
      </c>
      <c r="AD17" s="8">
        <v>0.20057707355829646</v>
      </c>
      <c r="AE17" s="8">
        <v>0.13324080499653021</v>
      </c>
      <c r="AF17" s="8">
        <v>7.8803668134408335E-3</v>
      </c>
    </row>
    <row r="18" spans="3:32" s="16" customFormat="1" ht="15" customHeight="1" x14ac:dyDescent="0.25">
      <c r="C18" s="23" t="s">
        <v>49</v>
      </c>
      <c r="D18" s="15">
        <v>105.69565217391305</v>
      </c>
      <c r="E18" s="15">
        <v>251.3900452488688</v>
      </c>
      <c r="F18" s="15">
        <v>26570.834782608697</v>
      </c>
      <c r="G18" s="15">
        <v>105.69565217391305</v>
      </c>
      <c r="H18" s="57">
        <v>266.78968325791857</v>
      </c>
      <c r="I18" s="15">
        <v>28198.509565217391</v>
      </c>
      <c r="J18" s="15">
        <v>127</v>
      </c>
      <c r="K18" s="57">
        <v>259.95102362204722</v>
      </c>
      <c r="L18" s="15">
        <v>33013.78</v>
      </c>
      <c r="M18" s="15">
        <v>0</v>
      </c>
      <c r="N18" s="15" t="s">
        <v>364</v>
      </c>
      <c r="O18" s="15">
        <v>0</v>
      </c>
      <c r="P18" s="15">
        <v>265.54545454545456</v>
      </c>
      <c r="Q18" s="15">
        <v>259.95102362204722</v>
      </c>
      <c r="R18" s="15">
        <v>69028.812727272729</v>
      </c>
      <c r="S18" s="15">
        <v>0</v>
      </c>
      <c r="T18" s="15" t="s">
        <v>364</v>
      </c>
      <c r="U18" s="15">
        <v>0</v>
      </c>
      <c r="V18" s="6">
        <v>127</v>
      </c>
      <c r="W18" s="6" t="s">
        <v>364</v>
      </c>
      <c r="X18" s="6">
        <v>33013.78</v>
      </c>
      <c r="Y18" s="6" t="s">
        <v>364</v>
      </c>
      <c r="Z18" s="6" t="s">
        <v>364</v>
      </c>
      <c r="AA18" s="8" t="s">
        <v>364</v>
      </c>
      <c r="AB18" s="8" t="s">
        <v>364</v>
      </c>
      <c r="AC18" s="8">
        <v>0.20156314273961329</v>
      </c>
      <c r="AD18" s="8">
        <v>0.24248185162810076</v>
      </c>
      <c r="AE18" s="8">
        <v>0.20156314273961329</v>
      </c>
      <c r="AF18" s="8">
        <v>0.17076329596945083</v>
      </c>
    </row>
    <row r="19" spans="3:32" x14ac:dyDescent="0.25">
      <c r="C19" s="23" t="s">
        <v>154</v>
      </c>
      <c r="D19" s="15">
        <v>183.6521739130435</v>
      </c>
      <c r="E19" s="15">
        <v>637.98882812499994</v>
      </c>
      <c r="F19" s="15">
        <v>117168.0352173913</v>
      </c>
      <c r="G19" s="15">
        <v>223.34782608695653</v>
      </c>
      <c r="H19" s="57">
        <v>775.44278372590986</v>
      </c>
      <c r="I19" s="15">
        <v>173193.45999999996</v>
      </c>
      <c r="J19" s="15">
        <v>192</v>
      </c>
      <c r="K19" s="57">
        <v>520.07744791666653</v>
      </c>
      <c r="L19" s="15">
        <v>99854.869999999981</v>
      </c>
      <c r="M19" s="15">
        <v>212.82608695652175</v>
      </c>
      <c r="N19" s="15">
        <v>931.79775280898878</v>
      </c>
      <c r="O19" s="15">
        <v>198310.86956521741</v>
      </c>
      <c r="P19" s="15">
        <v>401.45454545454544</v>
      </c>
      <c r="Q19" s="15">
        <v>520.07744791666664</v>
      </c>
      <c r="R19" s="15">
        <v>208787.45545454542</v>
      </c>
      <c r="S19" s="15">
        <v>445</v>
      </c>
      <c r="T19" s="15">
        <v>931.79775280898878</v>
      </c>
      <c r="U19" s="15">
        <v>414650</v>
      </c>
      <c r="V19" s="6">
        <v>-20.826086956521749</v>
      </c>
      <c r="W19" s="6">
        <v>-411.72030489232225</v>
      </c>
      <c r="X19" s="6">
        <v>-98455.999565217426</v>
      </c>
      <c r="Y19" s="6">
        <v>-79050.298539325871</v>
      </c>
      <c r="Z19" s="6">
        <v>-19405.701025891558</v>
      </c>
      <c r="AA19" s="8">
        <v>0.90214504596527068</v>
      </c>
      <c r="AB19" s="8">
        <v>0.50352696359470739</v>
      </c>
      <c r="AC19" s="8">
        <v>4.5454545454545345E-2</v>
      </c>
      <c r="AD19" s="8">
        <v>-0.14776355330418237</v>
      </c>
      <c r="AE19" s="8">
        <v>-0.14035429238855365</v>
      </c>
      <c r="AF19" s="8">
        <v>-0.42344895702181823</v>
      </c>
    </row>
    <row r="20" spans="3:32" ht="15" customHeight="1" x14ac:dyDescent="0.25">
      <c r="C20" s="23" t="s">
        <v>214</v>
      </c>
      <c r="D20" s="15">
        <v>44.478260869565219</v>
      </c>
      <c r="E20" s="15">
        <v>1867.1027956989249</v>
      </c>
      <c r="F20" s="15">
        <v>83045.48521739131</v>
      </c>
      <c r="G20" s="15">
        <v>60.739130434782609</v>
      </c>
      <c r="H20" s="57">
        <v>1618.1720472440945</v>
      </c>
      <c r="I20" s="15">
        <v>98286.363043478268</v>
      </c>
      <c r="J20" s="15">
        <v>284</v>
      </c>
      <c r="K20" s="57">
        <v>268.22499999999997</v>
      </c>
      <c r="L20" s="15">
        <v>76175.899999999994</v>
      </c>
      <c r="M20" s="15">
        <v>79.391304347826079</v>
      </c>
      <c r="N20" s="15">
        <v>1442.4096385542171</v>
      </c>
      <c r="O20" s="15">
        <v>114514.78260869565</v>
      </c>
      <c r="P20" s="15">
        <v>593.81818181818176</v>
      </c>
      <c r="Q20" s="15">
        <v>268.22500000000002</v>
      </c>
      <c r="R20" s="15">
        <v>159276.88181818181</v>
      </c>
      <c r="S20" s="15">
        <v>166</v>
      </c>
      <c r="T20" s="15">
        <v>1442.4096385542168</v>
      </c>
      <c r="U20" s="15">
        <v>239440</v>
      </c>
      <c r="V20" s="6">
        <v>204.60869565217394</v>
      </c>
      <c r="W20" s="6">
        <v>-1174.1846385542171</v>
      </c>
      <c r="X20" s="6">
        <v>-38338.882608695654</v>
      </c>
      <c r="Y20" s="6">
        <v>-333468.43734939769</v>
      </c>
      <c r="Z20" s="6">
        <v>295129.55474070203</v>
      </c>
      <c r="AA20" s="8">
        <v>3.5772179627601317</v>
      </c>
      <c r="AB20" s="8">
        <v>0.66520582115846061</v>
      </c>
      <c r="AC20" s="8">
        <v>5.3851417399804493</v>
      </c>
      <c r="AD20" s="8">
        <v>-8.2720754769612603E-2</v>
      </c>
      <c r="AE20" s="8">
        <v>3.6757337151037937</v>
      </c>
      <c r="AF20" s="8">
        <v>-0.2249596216486047</v>
      </c>
    </row>
    <row r="21" spans="3:32" ht="15" customHeight="1" x14ac:dyDescent="0.25">
      <c r="C21" s="23" t="s">
        <v>278</v>
      </c>
      <c r="D21" s="15">
        <v>49.739130434782609</v>
      </c>
      <c r="E21" s="15">
        <v>679.28894230769242</v>
      </c>
      <c r="F21" s="15">
        <v>33787.24130434783</v>
      </c>
      <c r="G21" s="15">
        <v>53.565217391304351</v>
      </c>
      <c r="H21" s="57">
        <v>898.03107142857141</v>
      </c>
      <c r="I21" s="15">
        <v>48103.229565217393</v>
      </c>
      <c r="J21" s="15">
        <v>72</v>
      </c>
      <c r="K21" s="57">
        <v>958.19791666666663</v>
      </c>
      <c r="L21" s="15">
        <v>68990.25</v>
      </c>
      <c r="M21" s="15">
        <v>61.925217391304358</v>
      </c>
      <c r="N21" s="15">
        <v>870.00000000000011</v>
      </c>
      <c r="O21" s="15">
        <v>53874.939130434796</v>
      </c>
      <c r="P21" s="15">
        <v>150.54545454545453</v>
      </c>
      <c r="Q21" s="15">
        <v>958.19791666666674</v>
      </c>
      <c r="R21" s="15">
        <v>144252.34090909091</v>
      </c>
      <c r="S21" s="15">
        <v>129.48000000000002</v>
      </c>
      <c r="T21" s="15">
        <v>870</v>
      </c>
      <c r="U21" s="15">
        <v>112647.60000000002</v>
      </c>
      <c r="V21" s="6">
        <v>10.074782608695642</v>
      </c>
      <c r="W21" s="6">
        <v>88.197916666666515</v>
      </c>
      <c r="X21" s="6">
        <v>15115.310869565204</v>
      </c>
      <c r="Y21" s="6">
        <v>6350.2499999999891</v>
      </c>
      <c r="Z21" s="6">
        <v>8765.0608695652099</v>
      </c>
      <c r="AA21" s="8">
        <v>1.1626927289577891</v>
      </c>
      <c r="AB21" s="8">
        <v>1.2805629317365916</v>
      </c>
      <c r="AC21" s="8">
        <v>0.44755244755244755</v>
      </c>
      <c r="AD21" s="8">
        <v>1.0419024263789822</v>
      </c>
      <c r="AE21" s="8">
        <v>0.34415584415584405</v>
      </c>
      <c r="AF21" s="8">
        <v>0.43421243487330524</v>
      </c>
    </row>
    <row r="22" spans="3:32" x14ac:dyDescent="0.25">
      <c r="C22" s="23" t="s">
        <v>306</v>
      </c>
      <c r="D22" s="15">
        <v>13.869565217391305</v>
      </c>
      <c r="E22" s="15">
        <v>3003.2665517241385</v>
      </c>
      <c r="F22" s="15">
        <v>41654.001304347832</v>
      </c>
      <c r="G22" s="15">
        <v>23.913043478260871</v>
      </c>
      <c r="H22" s="57">
        <v>2284.5515999999998</v>
      </c>
      <c r="I22" s="15">
        <v>54630.581739130437</v>
      </c>
      <c r="J22" s="15">
        <v>171</v>
      </c>
      <c r="K22" s="57">
        <v>377.21491228070175</v>
      </c>
      <c r="L22" s="15">
        <v>64503.75</v>
      </c>
      <c r="M22" s="15">
        <v>35.698491304347833</v>
      </c>
      <c r="N22" s="15">
        <v>2109.7286659173151</v>
      </c>
      <c r="O22" s="15">
        <v>75314.130434782623</v>
      </c>
      <c r="P22" s="15">
        <v>357.54545454545456</v>
      </c>
      <c r="Q22" s="15">
        <v>377.2149122807017</v>
      </c>
      <c r="R22" s="15">
        <v>134871.47727272726</v>
      </c>
      <c r="S22" s="15">
        <v>74.642300000000006</v>
      </c>
      <c r="T22" s="15">
        <v>2109.7286659173146</v>
      </c>
      <c r="U22" s="15">
        <v>157475</v>
      </c>
      <c r="V22" s="6">
        <v>135.30150869565216</v>
      </c>
      <c r="W22" s="6">
        <v>-1732.5137536366133</v>
      </c>
      <c r="X22" s="6">
        <v>-10810.380434782623</v>
      </c>
      <c r="Y22" s="6">
        <v>-296259.85187186085</v>
      </c>
      <c r="Z22" s="6">
        <v>285449.47143707826</v>
      </c>
      <c r="AA22" s="8">
        <v>4.7901183986218872</v>
      </c>
      <c r="AB22" s="8">
        <v>0.85646278630085571</v>
      </c>
      <c r="AC22" s="8">
        <v>11.329153605015673</v>
      </c>
      <c r="AD22" s="8">
        <v>0.54856071398036654</v>
      </c>
      <c r="AE22" s="8">
        <v>6.1509090909090904</v>
      </c>
      <c r="AF22" s="8">
        <v>0.18072603195066608</v>
      </c>
    </row>
    <row r="23" spans="3:32" ht="15" customHeight="1" x14ac:dyDescent="0.25">
      <c r="C23" s="23" t="s">
        <v>310</v>
      </c>
      <c r="D23" s="15">
        <v>0</v>
      </c>
      <c r="E23" s="15" t="s">
        <v>364</v>
      </c>
      <c r="F23" s="15">
        <v>0</v>
      </c>
      <c r="G23" s="15">
        <v>0</v>
      </c>
      <c r="H23" s="57" t="s">
        <v>364</v>
      </c>
      <c r="I23" s="15">
        <v>0</v>
      </c>
      <c r="J23" s="15">
        <v>17</v>
      </c>
      <c r="K23" s="57">
        <v>3385.25</v>
      </c>
      <c r="L23" s="15">
        <v>57549.25</v>
      </c>
      <c r="M23" s="15">
        <v>15.318333942272561</v>
      </c>
      <c r="N23" s="15">
        <v>5950.0000000000018</v>
      </c>
      <c r="O23" s="15">
        <v>91144.086956521773</v>
      </c>
      <c r="P23" s="15">
        <v>35.545454545454547</v>
      </c>
      <c r="Q23" s="15">
        <v>3385.25</v>
      </c>
      <c r="R23" s="15">
        <v>120330.25</v>
      </c>
      <c r="S23" s="15">
        <v>32.029243697478989</v>
      </c>
      <c r="T23" s="15">
        <v>5950.0000000000018</v>
      </c>
      <c r="U23" s="15">
        <v>190574.00000000006</v>
      </c>
      <c r="V23" s="6">
        <v>1.6816660577274387</v>
      </c>
      <c r="W23" s="6">
        <v>-2564.7500000000018</v>
      </c>
      <c r="X23" s="6">
        <v>-33594.836956521773</v>
      </c>
      <c r="Y23" s="6">
        <v>-43600.750000000029</v>
      </c>
      <c r="Z23" s="6">
        <v>10005.913043478264</v>
      </c>
      <c r="AA23" s="8">
        <v>1.1097812636847342</v>
      </c>
      <c r="AB23" s="8">
        <v>0.63140958367878075</v>
      </c>
      <c r="AC23" s="8" t="s">
        <v>364</v>
      </c>
      <c r="AD23" s="8" t="s">
        <v>364</v>
      </c>
      <c r="AE23" s="8" t="s">
        <v>364</v>
      </c>
      <c r="AF23" s="8" t="s">
        <v>364</v>
      </c>
    </row>
    <row r="24" spans="3:32" ht="15" customHeight="1" x14ac:dyDescent="0.25">
      <c r="C24" s="23" t="s">
        <v>309</v>
      </c>
      <c r="D24" s="15">
        <v>0</v>
      </c>
      <c r="E24" s="15" t="s">
        <v>364</v>
      </c>
      <c r="F24" s="15">
        <v>0</v>
      </c>
      <c r="G24" s="15">
        <v>0</v>
      </c>
      <c r="H24" s="57" t="s">
        <v>364</v>
      </c>
      <c r="I24" s="15">
        <v>0</v>
      </c>
      <c r="J24" s="15">
        <v>20</v>
      </c>
      <c r="K24" s="57">
        <v>8.25</v>
      </c>
      <c r="L24" s="15">
        <v>165</v>
      </c>
      <c r="M24" s="15">
        <v>4.447382181818182</v>
      </c>
      <c r="N24" s="15">
        <v>2875.3614097478076</v>
      </c>
      <c r="O24" s="15">
        <v>12787.831100000009</v>
      </c>
      <c r="P24" s="15">
        <v>41.81818181818182</v>
      </c>
      <c r="Q24" s="15">
        <v>8.25</v>
      </c>
      <c r="R24" s="15">
        <v>345</v>
      </c>
      <c r="S24" s="15">
        <v>9.2990718347107446</v>
      </c>
      <c r="T24" s="15">
        <v>2875.3614097478076</v>
      </c>
      <c r="U24" s="15">
        <v>26738.192300000017</v>
      </c>
      <c r="V24" s="6">
        <v>15.552617818181819</v>
      </c>
      <c r="W24" s="6">
        <v>-2867.1114097478076</v>
      </c>
      <c r="X24" s="6">
        <v>-12622.831100000009</v>
      </c>
      <c r="Y24" s="6">
        <v>-57342.228194956151</v>
      </c>
      <c r="Z24" s="6">
        <v>44719.397094956148</v>
      </c>
      <c r="AA24" s="8">
        <v>4.4970275057007996</v>
      </c>
      <c r="AB24" s="8">
        <v>1.290289171867463E-2</v>
      </c>
      <c r="AC24" s="8" t="s">
        <v>364</v>
      </c>
      <c r="AD24" s="8" t="s">
        <v>364</v>
      </c>
      <c r="AE24" s="8" t="s">
        <v>364</v>
      </c>
      <c r="AF24" s="8" t="s">
        <v>364</v>
      </c>
    </row>
    <row r="25" spans="3:32" ht="15" customHeight="1" x14ac:dyDescent="0.25">
      <c r="C25" s="23" t="s">
        <v>307</v>
      </c>
      <c r="D25" s="15">
        <v>0</v>
      </c>
      <c r="E25" s="15" t="s">
        <v>364</v>
      </c>
      <c r="F25" s="15">
        <v>0</v>
      </c>
      <c r="G25" s="15">
        <v>0.95652173913043481</v>
      </c>
      <c r="H25" s="57">
        <v>2799</v>
      </c>
      <c r="I25" s="15">
        <v>2677.304347826087</v>
      </c>
      <c r="J25" s="15">
        <v>45</v>
      </c>
      <c r="K25" s="57">
        <v>520.66666666666663</v>
      </c>
      <c r="L25" s="15">
        <v>23430</v>
      </c>
      <c r="M25" s="15">
        <v>9.2399565217391384</v>
      </c>
      <c r="N25" s="15">
        <v>1650.007764011687</v>
      </c>
      <c r="O25" s="15">
        <v>15246</v>
      </c>
      <c r="P25" s="15">
        <v>94.090909090909093</v>
      </c>
      <c r="Q25" s="15">
        <v>520.66666666666663</v>
      </c>
      <c r="R25" s="15">
        <v>48990</v>
      </c>
      <c r="S25" s="15">
        <v>19.319909090909107</v>
      </c>
      <c r="T25" s="15">
        <v>1650.007764011687</v>
      </c>
      <c r="U25" s="15">
        <v>31878</v>
      </c>
      <c r="V25" s="6">
        <v>35.760043478260862</v>
      </c>
      <c r="W25" s="6">
        <v>-1129.3410973450204</v>
      </c>
      <c r="X25" s="6">
        <v>8184</v>
      </c>
      <c r="Y25" s="6">
        <v>-50820.34938052592</v>
      </c>
      <c r="Z25" s="6">
        <v>59004.349380525913</v>
      </c>
      <c r="AA25" s="8">
        <v>4.8701527863390996</v>
      </c>
      <c r="AB25" s="8">
        <v>1.5367965367965368</v>
      </c>
      <c r="AC25" s="8" t="s">
        <v>364</v>
      </c>
      <c r="AD25" s="8" t="s">
        <v>364</v>
      </c>
      <c r="AE25" s="8">
        <v>46.04545454545454</v>
      </c>
      <c r="AF25" s="8">
        <v>7.7513397642015001</v>
      </c>
    </row>
    <row r="26" spans="3:32" ht="15" customHeight="1" x14ac:dyDescent="0.25">
      <c r="C26" s="23" t="s">
        <v>222</v>
      </c>
      <c r="D26" s="15">
        <v>8.1304347826086953</v>
      </c>
      <c r="E26" s="15">
        <v>2218.6764705882356</v>
      </c>
      <c r="F26" s="15">
        <v>18038.804347826088</v>
      </c>
      <c r="G26" s="15">
        <v>18.65217391304348</v>
      </c>
      <c r="H26" s="57">
        <v>1477.875641025641</v>
      </c>
      <c r="I26" s="15">
        <v>27565.593478260871</v>
      </c>
      <c r="J26" s="15">
        <v>82</v>
      </c>
      <c r="K26" s="57">
        <v>231.05609756097559</v>
      </c>
      <c r="L26" s="15">
        <v>18946.599999999999</v>
      </c>
      <c r="M26" s="15">
        <v>17.167048054919899</v>
      </c>
      <c r="N26" s="15">
        <v>1900.0000000000009</v>
      </c>
      <c r="O26" s="15">
        <v>32617.391304347824</v>
      </c>
      <c r="P26" s="15">
        <v>171.45454545454544</v>
      </c>
      <c r="Q26" s="15">
        <v>231.05609756097562</v>
      </c>
      <c r="R26" s="15">
        <v>39615.618181818179</v>
      </c>
      <c r="S26" s="15">
        <v>35.894736842105246</v>
      </c>
      <c r="T26" s="15">
        <v>1900.0000000000009</v>
      </c>
      <c r="U26" s="15">
        <v>68200</v>
      </c>
      <c r="V26" s="6">
        <v>64.832951945080097</v>
      </c>
      <c r="W26" s="6">
        <v>-1668.9439024390254</v>
      </c>
      <c r="X26" s="6">
        <v>-13670.791304347826</v>
      </c>
      <c r="Y26" s="6">
        <v>-136853.40000000008</v>
      </c>
      <c r="Z26" s="6">
        <v>123182.60869565225</v>
      </c>
      <c r="AA26" s="8">
        <v>4.7765929085577206</v>
      </c>
      <c r="AB26" s="8">
        <v>0.58087416688882965</v>
      </c>
      <c r="AC26" s="8">
        <v>9.0855614973262053</v>
      </c>
      <c r="AD26" s="8">
        <v>5.0324602155980031E-2</v>
      </c>
      <c r="AE26" s="8">
        <v>3.3962703962703955</v>
      </c>
      <c r="AF26" s="8">
        <v>-0.31267215360547534</v>
      </c>
    </row>
    <row r="27" spans="3:32" ht="15" customHeight="1" x14ac:dyDescent="0.25">
      <c r="C27" s="23" t="s">
        <v>47</v>
      </c>
      <c r="D27" s="15">
        <v>25.347826086956523</v>
      </c>
      <c r="E27" s="15">
        <v>441.00905660377362</v>
      </c>
      <c r="F27" s="15">
        <v>11178.620869565219</v>
      </c>
      <c r="G27" s="15">
        <v>30.130434782608695</v>
      </c>
      <c r="H27" s="57">
        <v>654.08698412698425</v>
      </c>
      <c r="I27" s="15">
        <v>19707.925217391308</v>
      </c>
      <c r="J27" s="15">
        <v>30</v>
      </c>
      <c r="K27" s="57">
        <v>466.90499999999997</v>
      </c>
      <c r="L27" s="15">
        <v>14007.15</v>
      </c>
      <c r="M27" s="15">
        <v>29.269565217391303</v>
      </c>
      <c r="N27" s="15">
        <v>420</v>
      </c>
      <c r="O27" s="15">
        <v>12293.217391304348</v>
      </c>
      <c r="P27" s="15">
        <v>62.727272727272727</v>
      </c>
      <c r="Q27" s="15">
        <v>466.90500000000003</v>
      </c>
      <c r="R27" s="15">
        <v>29287.677272727273</v>
      </c>
      <c r="S27" s="15">
        <v>61.199999999999996</v>
      </c>
      <c r="T27" s="15">
        <v>420.00000000000006</v>
      </c>
      <c r="U27" s="15">
        <v>25704</v>
      </c>
      <c r="V27" s="6">
        <v>0.73043478260869676</v>
      </c>
      <c r="W27" s="6">
        <v>46.904999999999973</v>
      </c>
      <c r="X27" s="6">
        <v>1713.9326086956517</v>
      </c>
      <c r="Y27" s="6">
        <v>1407.1499999999992</v>
      </c>
      <c r="Z27" s="6">
        <v>306.78260869565264</v>
      </c>
      <c r="AA27" s="8">
        <v>1.0249554367201426</v>
      </c>
      <c r="AB27" s="8">
        <v>1.1394209956709955</v>
      </c>
      <c r="AC27" s="8">
        <v>0.183533447684391</v>
      </c>
      <c r="AD27" s="8">
        <v>0.2530302407997127</v>
      </c>
      <c r="AE27" s="8">
        <v>-4.3290043290043186E-3</v>
      </c>
      <c r="AF27" s="8">
        <v>-0.28926308348078394</v>
      </c>
    </row>
    <row r="28" spans="3:32" ht="15" customHeight="1" x14ac:dyDescent="0.25">
      <c r="C28" s="23" t="s">
        <v>45</v>
      </c>
      <c r="D28" s="15">
        <v>4.7826086956521738</v>
      </c>
      <c r="E28" s="15">
        <v>238.33</v>
      </c>
      <c r="F28" s="15">
        <v>1139.8391304347826</v>
      </c>
      <c r="G28" s="15">
        <v>8.1304347826086953</v>
      </c>
      <c r="H28" s="57">
        <v>389.28000000000003</v>
      </c>
      <c r="I28" s="15">
        <v>3165.0156521739132</v>
      </c>
      <c r="J28" s="15">
        <v>10</v>
      </c>
      <c r="K28" s="57">
        <v>25</v>
      </c>
      <c r="L28" s="15">
        <v>250</v>
      </c>
      <c r="M28" s="15">
        <v>0</v>
      </c>
      <c r="N28" s="15" t="s">
        <v>364</v>
      </c>
      <c r="O28" s="15">
        <v>0</v>
      </c>
      <c r="P28" s="15">
        <v>20.90909090909091</v>
      </c>
      <c r="Q28" s="15">
        <v>25</v>
      </c>
      <c r="R28" s="15">
        <v>522.72727272727275</v>
      </c>
      <c r="S28" s="15">
        <v>0</v>
      </c>
      <c r="T28" s="15" t="s">
        <v>364</v>
      </c>
      <c r="U28" s="15">
        <v>0</v>
      </c>
      <c r="V28" s="6">
        <v>10</v>
      </c>
      <c r="W28" s="6" t="s">
        <v>364</v>
      </c>
      <c r="X28" s="6">
        <v>250</v>
      </c>
      <c r="Y28" s="6" t="s">
        <v>364</v>
      </c>
      <c r="Z28" s="6" t="s">
        <v>364</v>
      </c>
      <c r="AA28" s="8" t="s">
        <v>364</v>
      </c>
      <c r="AB28" s="8" t="s">
        <v>364</v>
      </c>
      <c r="AC28" s="8">
        <v>1.0909090909090911</v>
      </c>
      <c r="AD28" s="8">
        <v>-0.78067080404176026</v>
      </c>
      <c r="AE28" s="8">
        <v>0.22994652406417118</v>
      </c>
      <c r="AF28" s="8">
        <v>-0.92101144908137</v>
      </c>
    </row>
    <row r="29" spans="3:32" ht="15" customHeight="1" x14ac:dyDescent="0.25">
      <c r="C29" s="23" t="s">
        <v>308</v>
      </c>
      <c r="D29" s="15">
        <v>16.739130434782609</v>
      </c>
      <c r="E29" s="15">
        <v>461.46057142857137</v>
      </c>
      <c r="F29" s="15">
        <v>7724.4486956521732</v>
      </c>
      <c r="G29" s="15">
        <v>12.434782608695652</v>
      </c>
      <c r="H29" s="57">
        <v>462.61538461538464</v>
      </c>
      <c r="I29" s="15">
        <v>5752.521739130435</v>
      </c>
      <c r="J29" s="15">
        <v>29</v>
      </c>
      <c r="K29" s="57">
        <v>256.44655172413792</v>
      </c>
      <c r="L29" s="15">
        <v>7436.95</v>
      </c>
      <c r="M29" s="15">
        <v>30.216535555555556</v>
      </c>
      <c r="N29" s="15">
        <v>450</v>
      </c>
      <c r="O29" s="15">
        <v>13597.441000000001</v>
      </c>
      <c r="P29" s="15">
        <v>60.636363636363633</v>
      </c>
      <c r="Q29" s="15">
        <v>256.44655172413792</v>
      </c>
      <c r="R29" s="15">
        <v>15549.986363636363</v>
      </c>
      <c r="S29" s="15">
        <v>63.180028888888884</v>
      </c>
      <c r="T29" s="15">
        <v>450</v>
      </c>
      <c r="U29" s="15">
        <v>28431.012999999999</v>
      </c>
      <c r="V29" s="6">
        <v>-1.2165355555555557</v>
      </c>
      <c r="W29" s="6">
        <v>-193.55344827586208</v>
      </c>
      <c r="X29" s="6">
        <v>-6160.4910000000009</v>
      </c>
      <c r="Y29" s="6">
        <v>-5613.05</v>
      </c>
      <c r="Z29" s="6">
        <v>-547.44100000000003</v>
      </c>
      <c r="AA29" s="8">
        <v>0.95973940979041572</v>
      </c>
      <c r="AB29" s="8">
        <v>0.5469374715433587</v>
      </c>
      <c r="AC29" s="8">
        <v>0.73246753246753238</v>
      </c>
      <c r="AD29" s="8">
        <v>-3.7219315834668761E-2</v>
      </c>
      <c r="AE29" s="8">
        <v>1.3321678321678321</v>
      </c>
      <c r="AF29" s="8">
        <v>0.29281562717296</v>
      </c>
    </row>
    <row r="30" spans="3:32" ht="15" customHeight="1" x14ac:dyDescent="0.25">
      <c r="C30" s="23" t="s">
        <v>305</v>
      </c>
      <c r="D30" s="15">
        <v>7.6521739130434785</v>
      </c>
      <c r="E30" s="15">
        <v>557.20624999999995</v>
      </c>
      <c r="F30" s="15">
        <v>4263.8391304347824</v>
      </c>
      <c r="G30" s="15">
        <v>15.782608695652174</v>
      </c>
      <c r="H30" s="57">
        <v>552.56969696969702</v>
      </c>
      <c r="I30" s="15">
        <v>8720.9913043478264</v>
      </c>
      <c r="J30" s="15">
        <v>8</v>
      </c>
      <c r="K30" s="57">
        <v>550.15000000000009</v>
      </c>
      <c r="L30" s="15">
        <v>4401.2000000000007</v>
      </c>
      <c r="M30" s="15">
        <v>16.838608695652173</v>
      </c>
      <c r="N30" s="15">
        <v>400.00000000000006</v>
      </c>
      <c r="O30" s="15">
        <v>6735.4434782608705</v>
      </c>
      <c r="P30" s="15">
        <v>16.727272727272727</v>
      </c>
      <c r="Q30" s="15">
        <v>550.15000000000009</v>
      </c>
      <c r="R30" s="15">
        <v>9202.5090909090923</v>
      </c>
      <c r="S30" s="15">
        <v>35.207999999999998</v>
      </c>
      <c r="T30" s="15">
        <v>400.00000000000006</v>
      </c>
      <c r="U30" s="15">
        <v>14083.2</v>
      </c>
      <c r="V30" s="6">
        <v>-8.838608695652173</v>
      </c>
      <c r="W30" s="6">
        <v>150.15000000000003</v>
      </c>
      <c r="X30" s="6">
        <v>-2334.2434782608698</v>
      </c>
      <c r="Y30" s="6">
        <v>1201.2000000000003</v>
      </c>
      <c r="Z30" s="6">
        <v>-3535.4434782608696</v>
      </c>
      <c r="AA30" s="8">
        <v>0.47509863460783708</v>
      </c>
      <c r="AB30" s="8">
        <v>0.65343878457375393</v>
      </c>
      <c r="AC30" s="8">
        <v>4.5454545454545421E-2</v>
      </c>
      <c r="AD30" s="8">
        <v>3.2215303008209802E-2</v>
      </c>
      <c r="AE30" s="8">
        <v>-0.49311294765840219</v>
      </c>
      <c r="AF30" s="8">
        <v>-0.49533260080126507</v>
      </c>
    </row>
    <row r="31" spans="3:32" ht="15" customHeight="1" x14ac:dyDescent="0.25">
      <c r="C31" s="23" t="s">
        <v>216</v>
      </c>
      <c r="D31" s="15">
        <v>0</v>
      </c>
      <c r="E31" s="15" t="s">
        <v>364</v>
      </c>
      <c r="F31" s="15">
        <v>0</v>
      </c>
      <c r="G31" s="15">
        <v>0</v>
      </c>
      <c r="H31" s="57" t="s">
        <v>364</v>
      </c>
      <c r="I31" s="15">
        <v>0</v>
      </c>
      <c r="J31" s="15">
        <v>7</v>
      </c>
      <c r="K31" s="57">
        <v>600</v>
      </c>
      <c r="L31" s="15">
        <v>4200</v>
      </c>
      <c r="M31" s="15">
        <v>11</v>
      </c>
      <c r="N31" s="15">
        <v>390</v>
      </c>
      <c r="O31" s="15">
        <v>4290</v>
      </c>
      <c r="P31" s="15">
        <v>14.636363636363637</v>
      </c>
      <c r="Q31" s="15">
        <v>600</v>
      </c>
      <c r="R31" s="15">
        <v>8781.818181818182</v>
      </c>
      <c r="S31" s="15">
        <v>23</v>
      </c>
      <c r="T31" s="15">
        <v>390</v>
      </c>
      <c r="U31" s="15">
        <v>8970</v>
      </c>
      <c r="V31" s="6">
        <v>-4</v>
      </c>
      <c r="W31" s="6">
        <v>210</v>
      </c>
      <c r="X31" s="6">
        <v>-90</v>
      </c>
      <c r="Y31" s="6">
        <v>1470</v>
      </c>
      <c r="Z31" s="6">
        <v>-1560</v>
      </c>
      <c r="AA31" s="8">
        <v>0.63636363636363635</v>
      </c>
      <c r="AB31" s="8">
        <v>0.97902097902097907</v>
      </c>
      <c r="AC31" s="8" t="s">
        <v>364</v>
      </c>
      <c r="AD31" s="8" t="s">
        <v>364</v>
      </c>
      <c r="AE31" s="8" t="s">
        <v>364</v>
      </c>
      <c r="AF31" s="8" t="s">
        <v>364</v>
      </c>
    </row>
    <row r="32" spans="3:32" ht="15" customHeight="1" x14ac:dyDescent="0.25">
      <c r="C32" s="23" t="s">
        <v>44</v>
      </c>
      <c r="D32" s="15">
        <v>19.130434782608695</v>
      </c>
      <c r="E32" s="15">
        <v>486.39150000000001</v>
      </c>
      <c r="F32" s="15">
        <v>9304.8808695652169</v>
      </c>
      <c r="G32" s="15">
        <v>55.478260869565219</v>
      </c>
      <c r="H32" s="57">
        <v>565.08301724137937</v>
      </c>
      <c r="I32" s="15">
        <v>31349.823043478264</v>
      </c>
      <c r="J32" s="15">
        <v>56</v>
      </c>
      <c r="K32" s="57">
        <v>366.25446428571428</v>
      </c>
      <c r="L32" s="15">
        <v>20510.25</v>
      </c>
      <c r="M32" s="15">
        <v>68.869565217391312</v>
      </c>
      <c r="N32" s="15">
        <v>500</v>
      </c>
      <c r="O32" s="15">
        <v>34434.782608695656</v>
      </c>
      <c r="P32" s="15">
        <v>117.09090909090909</v>
      </c>
      <c r="Q32" s="15">
        <v>366.25446428571428</v>
      </c>
      <c r="R32" s="15">
        <v>42885.068181818184</v>
      </c>
      <c r="S32" s="15">
        <v>144</v>
      </c>
      <c r="T32" s="15">
        <v>500</v>
      </c>
      <c r="U32" s="15">
        <v>72000</v>
      </c>
      <c r="V32" s="6">
        <v>-12.869565217391312</v>
      </c>
      <c r="W32" s="6">
        <v>-133.74553571428572</v>
      </c>
      <c r="X32" s="6">
        <v>-13924.532608695656</v>
      </c>
      <c r="Y32" s="6">
        <v>-7489.75</v>
      </c>
      <c r="Z32" s="6">
        <v>-6434.7826086956557</v>
      </c>
      <c r="AA32" s="8">
        <v>0.81313131313131304</v>
      </c>
      <c r="AB32" s="8">
        <v>0.59562594696969695</v>
      </c>
      <c r="AC32" s="8">
        <v>1.9272727272727272</v>
      </c>
      <c r="AD32" s="8">
        <v>1.204246382894139</v>
      </c>
      <c r="AE32" s="8">
        <v>9.4043887147335203E-3</v>
      </c>
      <c r="AF32" s="8">
        <v>-0.34576185736184661</v>
      </c>
    </row>
    <row r="33" spans="1:32" ht="15" customHeight="1" x14ac:dyDescent="0.25">
      <c r="C33" s="23" t="s">
        <v>311</v>
      </c>
      <c r="D33" s="15">
        <v>0</v>
      </c>
      <c r="E33" s="15" t="s">
        <v>364</v>
      </c>
      <c r="F33" s="15">
        <v>0</v>
      </c>
      <c r="G33" s="15">
        <v>0</v>
      </c>
      <c r="H33" s="57" t="s">
        <v>364</v>
      </c>
      <c r="I33" s="15">
        <v>0</v>
      </c>
      <c r="J33" s="15">
        <v>0</v>
      </c>
      <c r="K33" s="57" t="s">
        <v>364</v>
      </c>
      <c r="L33" s="15">
        <v>0</v>
      </c>
      <c r="M33" s="15">
        <v>0</v>
      </c>
      <c r="N33" s="15" t="s">
        <v>364</v>
      </c>
      <c r="O33" s="15">
        <v>28730.16663478261</v>
      </c>
      <c r="P33" s="15">
        <v>0</v>
      </c>
      <c r="Q33" s="15" t="s">
        <v>364</v>
      </c>
      <c r="R33" s="15">
        <v>0</v>
      </c>
      <c r="S33" s="15">
        <v>0</v>
      </c>
      <c r="T33" s="15" t="s">
        <v>364</v>
      </c>
      <c r="U33" s="15">
        <v>60072.166600000004</v>
      </c>
      <c r="V33" s="6">
        <v>0</v>
      </c>
      <c r="W33" s="6" t="s">
        <v>364</v>
      </c>
      <c r="X33" s="6">
        <v>-28730.16663478261</v>
      </c>
      <c r="Y33" s="6" t="s">
        <v>364</v>
      </c>
      <c r="Z33" s="6" t="s">
        <v>364</v>
      </c>
      <c r="AA33" s="8" t="s">
        <v>364</v>
      </c>
      <c r="AB33" s="8">
        <v>0</v>
      </c>
      <c r="AC33" s="8" t="s">
        <v>364</v>
      </c>
      <c r="AD33" s="8" t="s">
        <v>364</v>
      </c>
      <c r="AE33" s="8" t="s">
        <v>364</v>
      </c>
      <c r="AF33" s="8" t="s">
        <v>364</v>
      </c>
    </row>
    <row r="34" spans="1:32" ht="15" customHeight="1" x14ac:dyDescent="0.25">
      <c r="C34" s="23" t="s">
        <v>711</v>
      </c>
      <c r="D34" s="15">
        <v>0</v>
      </c>
      <c r="E34" s="15" t="s">
        <v>364</v>
      </c>
      <c r="F34" s="15">
        <v>0</v>
      </c>
      <c r="G34" s="15">
        <v>0</v>
      </c>
      <c r="H34" s="57" t="s">
        <v>364</v>
      </c>
      <c r="I34" s="15">
        <v>0</v>
      </c>
      <c r="J34" s="15">
        <v>3</v>
      </c>
      <c r="K34" s="57">
        <v>533.33333333333337</v>
      </c>
      <c r="L34" s="15">
        <v>1600</v>
      </c>
      <c r="M34" s="15">
        <v>0</v>
      </c>
      <c r="N34" s="15" t="s">
        <v>364</v>
      </c>
      <c r="O34" s="15">
        <v>0</v>
      </c>
      <c r="P34" s="15">
        <v>6.2727272727272725</v>
      </c>
      <c r="Q34" s="15">
        <v>533.33333333333337</v>
      </c>
      <c r="R34" s="15">
        <v>3345.4545454545455</v>
      </c>
      <c r="S34" s="15">
        <v>0</v>
      </c>
      <c r="T34" s="15" t="s">
        <v>364</v>
      </c>
      <c r="U34" s="15">
        <v>0</v>
      </c>
      <c r="V34" s="6">
        <v>3</v>
      </c>
      <c r="W34" s="6" t="s">
        <v>364</v>
      </c>
      <c r="X34" s="6">
        <v>1600</v>
      </c>
      <c r="Y34" s="6" t="s">
        <v>364</v>
      </c>
      <c r="Z34" s="6" t="s">
        <v>364</v>
      </c>
      <c r="AA34" s="8" t="s">
        <v>364</v>
      </c>
      <c r="AB34" s="8" t="s">
        <v>364</v>
      </c>
      <c r="AC34" s="8" t="s">
        <v>364</v>
      </c>
      <c r="AD34" s="8" t="s">
        <v>364</v>
      </c>
      <c r="AE34" s="8" t="s">
        <v>364</v>
      </c>
      <c r="AF34" s="8" t="s">
        <v>364</v>
      </c>
    </row>
    <row r="35" spans="1:32" s="71" customFormat="1" ht="15" customHeight="1" x14ac:dyDescent="0.2"/>
    <row r="36" spans="1:32" x14ac:dyDescent="0.25">
      <c r="C36"/>
      <c r="D36"/>
      <c r="E36"/>
      <c r="F36"/>
      <c r="G36"/>
      <c r="H36"/>
      <c r="I36"/>
      <c r="J36"/>
      <c r="K36"/>
      <c r="L36"/>
      <c r="M36"/>
      <c r="N36"/>
      <c r="O36"/>
      <c r="P36"/>
      <c r="Q36"/>
      <c r="R36"/>
      <c r="S36"/>
      <c r="T36"/>
      <c r="U36"/>
      <c r="V36"/>
      <c r="W36"/>
      <c r="X36"/>
      <c r="Y36"/>
      <c r="Z36"/>
      <c r="AA36"/>
      <c r="AB36"/>
    </row>
    <row r="37" spans="1:32" x14ac:dyDescent="0.25">
      <c r="A37" s="71"/>
      <c r="B37" s="71"/>
      <c r="C37" s="72">
        <v>0.47826086956521741</v>
      </c>
      <c r="D37" s="144" t="s">
        <v>30</v>
      </c>
      <c r="E37" s="144"/>
      <c r="F37" s="144"/>
      <c r="G37" s="144" t="s">
        <v>31</v>
      </c>
      <c r="H37" s="144"/>
      <c r="I37" s="144"/>
      <c r="J37" s="136" t="s">
        <v>357</v>
      </c>
      <c r="K37" s="137"/>
      <c r="L37" s="137"/>
      <c r="M37" s="136" t="s">
        <v>358</v>
      </c>
      <c r="N37" s="137"/>
      <c r="O37" s="137"/>
      <c r="P37" s="136" t="s">
        <v>3</v>
      </c>
      <c r="Q37" s="137"/>
      <c r="R37" s="137"/>
      <c r="S37" s="137"/>
      <c r="T37" s="137"/>
      <c r="AA37" s="61"/>
      <c r="AB37" s="61"/>
    </row>
    <row r="38" spans="1:32" x14ac:dyDescent="0.25">
      <c r="A38" s="71"/>
      <c r="B38" s="71"/>
      <c r="C38" s="71"/>
      <c r="D38" s="133" t="s">
        <v>20</v>
      </c>
      <c r="E38" s="133" t="s">
        <v>5</v>
      </c>
      <c r="F38" s="133" t="s">
        <v>5</v>
      </c>
      <c r="G38" s="141" t="s">
        <v>5</v>
      </c>
      <c r="H38" s="141" t="s">
        <v>5</v>
      </c>
      <c r="I38" s="141" t="s">
        <v>5</v>
      </c>
      <c r="J38" s="124" t="s">
        <v>17</v>
      </c>
      <c r="K38" s="125"/>
      <c r="L38" s="125"/>
      <c r="M38" s="124" t="s">
        <v>17</v>
      </c>
      <c r="N38" s="125"/>
      <c r="O38" s="125"/>
      <c r="P38" s="142" t="s">
        <v>17</v>
      </c>
      <c r="Q38" s="143"/>
      <c r="R38" s="143"/>
      <c r="S38" s="143"/>
      <c r="T38" s="143"/>
      <c r="U38" s="98" t="s">
        <v>6</v>
      </c>
      <c r="V38" s="139" t="s">
        <v>7</v>
      </c>
      <c r="W38" s="140"/>
      <c r="X38" s="139" t="s">
        <v>8</v>
      </c>
      <c r="Y38" s="140"/>
      <c r="AB38"/>
      <c r="AD38" s="62"/>
    </row>
    <row r="39" spans="1:32" x14ac:dyDescent="0.25">
      <c r="A39" s="18" t="s">
        <v>4</v>
      </c>
      <c r="B39" s="19" t="s">
        <v>33</v>
      </c>
      <c r="C39" s="19" t="s">
        <v>34</v>
      </c>
      <c r="D39" s="20" t="s">
        <v>9</v>
      </c>
      <c r="E39" s="20" t="s">
        <v>10</v>
      </c>
      <c r="F39" s="20" t="s">
        <v>11</v>
      </c>
      <c r="G39" s="20" t="s">
        <v>9</v>
      </c>
      <c r="H39" s="20" t="s">
        <v>10</v>
      </c>
      <c r="I39" s="20" t="s">
        <v>11</v>
      </c>
      <c r="J39" s="20" t="s">
        <v>9</v>
      </c>
      <c r="K39" s="20" t="s">
        <v>10</v>
      </c>
      <c r="L39" s="20" t="s">
        <v>11</v>
      </c>
      <c r="M39" s="20" t="s">
        <v>9</v>
      </c>
      <c r="N39" s="20" t="s">
        <v>10</v>
      </c>
      <c r="O39" s="20" t="s">
        <v>11</v>
      </c>
      <c r="P39" s="20" t="s">
        <v>9</v>
      </c>
      <c r="Q39" s="20" t="s">
        <v>10</v>
      </c>
      <c r="R39" s="20" t="s">
        <v>11</v>
      </c>
      <c r="S39" s="20" t="s">
        <v>14</v>
      </c>
      <c r="T39" s="20" t="s">
        <v>15</v>
      </c>
      <c r="U39" s="20" t="s">
        <v>16</v>
      </c>
      <c r="V39" s="20" t="s">
        <v>16</v>
      </c>
      <c r="W39" s="20" t="s">
        <v>11</v>
      </c>
      <c r="X39" s="20" t="s">
        <v>16</v>
      </c>
      <c r="Y39" s="20" t="s">
        <v>11</v>
      </c>
      <c r="Z39" s="62"/>
      <c r="AA39"/>
      <c r="AB39"/>
    </row>
    <row r="40" spans="1:32" x14ac:dyDescent="0.25">
      <c r="A40" s="21" t="s">
        <v>18</v>
      </c>
      <c r="B40" s="21" t="s">
        <v>154</v>
      </c>
      <c r="C40" s="21" t="s">
        <v>314</v>
      </c>
      <c r="D40" s="15" t="s">
        <v>364</v>
      </c>
      <c r="E40" s="57" t="s">
        <v>364</v>
      </c>
      <c r="F40" s="15" t="s">
        <v>364</v>
      </c>
      <c r="G40" s="15" t="s">
        <v>364</v>
      </c>
      <c r="H40" s="57" t="s">
        <v>364</v>
      </c>
      <c r="I40" s="15" t="s">
        <v>364</v>
      </c>
      <c r="J40" s="15">
        <v>43</v>
      </c>
      <c r="K40" s="57">
        <v>471.41279069767444</v>
      </c>
      <c r="L40" s="15">
        <v>20270.75</v>
      </c>
      <c r="M40" s="15">
        <v>58.347826086956523</v>
      </c>
      <c r="N40" s="15">
        <v>800</v>
      </c>
      <c r="O40" s="15">
        <v>46678.260869565216</v>
      </c>
      <c r="P40" s="15">
        <v>-15.347826086956523</v>
      </c>
      <c r="Q40" s="15">
        <v>-328.58720930232556</v>
      </c>
      <c r="R40" s="15">
        <v>-26407.510869565216</v>
      </c>
      <c r="S40" s="15">
        <v>-14129.25</v>
      </c>
      <c r="T40" s="15">
        <v>-12278.260869565218</v>
      </c>
      <c r="U40" s="17">
        <v>0.73695976154992549</v>
      </c>
      <c r="V40" s="17" t="s">
        <v>364</v>
      </c>
      <c r="W40" s="17" t="s">
        <v>364</v>
      </c>
      <c r="X40" s="17" t="s">
        <v>364</v>
      </c>
      <c r="Y40" s="17" t="s">
        <v>364</v>
      </c>
      <c r="Z40" s="86"/>
      <c r="AA40" s="86"/>
      <c r="AB40"/>
    </row>
    <row r="41" spans="1:32" x14ac:dyDescent="0.25">
      <c r="A41" s="21" t="s">
        <v>18</v>
      </c>
      <c r="B41" s="21" t="s">
        <v>154</v>
      </c>
      <c r="C41" s="21" t="s">
        <v>319</v>
      </c>
      <c r="D41" s="15">
        <v>70.782608695652172</v>
      </c>
      <c r="E41" s="57">
        <v>573.98783783783779</v>
      </c>
      <c r="F41" s="15">
        <v>40628.356521739122</v>
      </c>
      <c r="G41" s="15">
        <v>66.478260869565219</v>
      </c>
      <c r="H41" s="57">
        <v>603.47546762589923</v>
      </c>
      <c r="I41" s="15">
        <v>40117.999565217389</v>
      </c>
      <c r="J41" s="15">
        <v>46</v>
      </c>
      <c r="K41" s="57">
        <v>623.27065217391305</v>
      </c>
      <c r="L41" s="15">
        <v>28670.45</v>
      </c>
      <c r="M41" s="15">
        <v>39.695652173913047</v>
      </c>
      <c r="N41" s="15">
        <v>750</v>
      </c>
      <c r="O41" s="15">
        <v>29771.739130434784</v>
      </c>
      <c r="P41" s="15">
        <v>6.3043478260869534</v>
      </c>
      <c r="Q41" s="15">
        <v>-126.72934782608695</v>
      </c>
      <c r="R41" s="15">
        <v>-1101.2891304347831</v>
      </c>
      <c r="S41" s="15">
        <v>-5829.5499999999993</v>
      </c>
      <c r="T41" s="15">
        <v>4728.2608695652152</v>
      </c>
      <c r="U41" s="17">
        <v>1.1588170865279299</v>
      </c>
      <c r="V41" s="17">
        <v>-0.3501228501228501</v>
      </c>
      <c r="W41" s="17">
        <v>-0.29432415055580141</v>
      </c>
      <c r="X41" s="17">
        <v>-0.3080444735120994</v>
      </c>
      <c r="Y41" s="17">
        <v>-0.28534696867444259</v>
      </c>
      <c r="Z41" s="86"/>
      <c r="AA41" s="86"/>
      <c r="AB41"/>
    </row>
    <row r="42" spans="1:32" x14ac:dyDescent="0.25">
      <c r="A42" s="21" t="s">
        <v>18</v>
      </c>
      <c r="B42" s="21" t="s">
        <v>216</v>
      </c>
      <c r="C42" s="21" t="s">
        <v>338</v>
      </c>
      <c r="D42" s="15" t="s">
        <v>364</v>
      </c>
      <c r="E42" s="57" t="s">
        <v>364</v>
      </c>
      <c r="F42" s="15" t="s">
        <v>364</v>
      </c>
      <c r="G42" s="15" t="s">
        <v>364</v>
      </c>
      <c r="H42" s="57" t="s">
        <v>364</v>
      </c>
      <c r="I42" s="15" t="s">
        <v>364</v>
      </c>
      <c r="J42" s="15">
        <v>7</v>
      </c>
      <c r="K42" s="57">
        <v>600</v>
      </c>
      <c r="L42" s="15">
        <v>4200</v>
      </c>
      <c r="M42" s="15">
        <v>11</v>
      </c>
      <c r="N42" s="15">
        <v>390</v>
      </c>
      <c r="O42" s="15">
        <v>4290</v>
      </c>
      <c r="P42" s="15">
        <v>-4</v>
      </c>
      <c r="Q42" s="15">
        <v>210</v>
      </c>
      <c r="R42" s="15">
        <v>-90</v>
      </c>
      <c r="S42" s="15">
        <v>1470</v>
      </c>
      <c r="T42" s="15">
        <v>-1560</v>
      </c>
      <c r="U42" s="17">
        <v>0.63636363636363635</v>
      </c>
      <c r="V42" s="17" t="s">
        <v>364</v>
      </c>
      <c r="W42" s="17" t="s">
        <v>364</v>
      </c>
      <c r="X42" s="17" t="s">
        <v>364</v>
      </c>
      <c r="Y42" s="17" t="s">
        <v>364</v>
      </c>
      <c r="Z42" s="86"/>
      <c r="AA42" s="86"/>
      <c r="AB42"/>
    </row>
    <row r="43" spans="1:32" x14ac:dyDescent="0.25">
      <c r="A43" s="21" t="s">
        <v>18</v>
      </c>
      <c r="B43" s="21" t="s">
        <v>154</v>
      </c>
      <c r="C43" s="21" t="s">
        <v>184</v>
      </c>
      <c r="D43" s="15" t="s">
        <v>364</v>
      </c>
      <c r="E43" s="57" t="s">
        <v>364</v>
      </c>
      <c r="F43" s="15" t="s">
        <v>364</v>
      </c>
      <c r="G43" s="15" t="s">
        <v>364</v>
      </c>
      <c r="H43" s="57" t="s">
        <v>364</v>
      </c>
      <c r="I43" s="15" t="s">
        <v>364</v>
      </c>
      <c r="J43" s="15">
        <v>3</v>
      </c>
      <c r="K43" s="57">
        <v>196.58333333333334</v>
      </c>
      <c r="L43" s="15">
        <v>589.75</v>
      </c>
      <c r="M43" s="15">
        <v>3.8260869565217392</v>
      </c>
      <c r="N43" s="15">
        <v>300</v>
      </c>
      <c r="O43" s="15">
        <v>1147.8260869565217</v>
      </c>
      <c r="P43" s="15">
        <v>-0.82608695652173925</v>
      </c>
      <c r="Q43" s="15">
        <v>-103.41666666666666</v>
      </c>
      <c r="R43" s="15">
        <v>-558.07608695652175</v>
      </c>
      <c r="S43" s="15">
        <v>-310.25</v>
      </c>
      <c r="T43" s="15">
        <v>-247.82608695652178</v>
      </c>
      <c r="U43" s="17">
        <v>0.78409090909090906</v>
      </c>
      <c r="V43" s="17" t="s">
        <v>364</v>
      </c>
      <c r="W43" s="17" t="s">
        <v>364</v>
      </c>
      <c r="X43" s="17" t="s">
        <v>364</v>
      </c>
      <c r="Y43" s="17" t="s">
        <v>364</v>
      </c>
      <c r="Z43" s="86"/>
      <c r="AA43" s="86"/>
      <c r="AB43"/>
    </row>
    <row r="44" spans="1:32" x14ac:dyDescent="0.25">
      <c r="A44" s="21" t="s">
        <v>18</v>
      </c>
      <c r="B44" s="21" t="s">
        <v>154</v>
      </c>
      <c r="C44" s="21" t="s">
        <v>328</v>
      </c>
      <c r="D44" s="15" t="s">
        <v>364</v>
      </c>
      <c r="E44" s="57" t="s">
        <v>364</v>
      </c>
      <c r="F44" s="15" t="s">
        <v>364</v>
      </c>
      <c r="G44" s="15" t="s">
        <v>364</v>
      </c>
      <c r="H44" s="57" t="s">
        <v>364</v>
      </c>
      <c r="I44" s="15" t="s">
        <v>364</v>
      </c>
      <c r="J44" s="15">
        <v>51</v>
      </c>
      <c r="K44" s="57">
        <v>436.90156862745096</v>
      </c>
      <c r="L44" s="15">
        <v>22281.98</v>
      </c>
      <c r="M44" s="15">
        <v>66.956521739130437</v>
      </c>
      <c r="N44" s="15">
        <v>850</v>
      </c>
      <c r="O44" s="15">
        <v>56913.043478260872</v>
      </c>
      <c r="P44" s="15">
        <v>-15.956521739130437</v>
      </c>
      <c r="Q44" s="15">
        <v>-413.09843137254904</v>
      </c>
      <c r="R44" s="15">
        <v>-34631.063478260869</v>
      </c>
      <c r="S44" s="15">
        <v>-21068.02</v>
      </c>
      <c r="T44" s="15">
        <v>-13563.043478260872</v>
      </c>
      <c r="U44" s="17">
        <v>0.76168831168831164</v>
      </c>
      <c r="V44" s="17" t="s">
        <v>364</v>
      </c>
      <c r="W44" s="17" t="s">
        <v>364</v>
      </c>
      <c r="X44" s="17" t="s">
        <v>364</v>
      </c>
      <c r="Y44" s="17" t="s">
        <v>364</v>
      </c>
      <c r="Z44" s="86"/>
      <c r="AA44" s="86"/>
      <c r="AB44"/>
    </row>
    <row r="45" spans="1:32" x14ac:dyDescent="0.25">
      <c r="A45" s="21" t="s">
        <v>18</v>
      </c>
      <c r="B45" s="21" t="s">
        <v>154</v>
      </c>
      <c r="C45" s="21" t="s">
        <v>335</v>
      </c>
      <c r="D45" s="15">
        <v>20.086956521739133</v>
      </c>
      <c r="E45" s="57">
        <v>782.65714285714273</v>
      </c>
      <c r="F45" s="15">
        <v>15721.199999999999</v>
      </c>
      <c r="G45" s="15">
        <v>47.826086956521742</v>
      </c>
      <c r="H45" s="57">
        <v>1457.6026999999997</v>
      </c>
      <c r="I45" s="15">
        <v>69711.433478260864</v>
      </c>
      <c r="J45" s="15">
        <v>49</v>
      </c>
      <c r="K45" s="57">
        <v>572.28448979591838</v>
      </c>
      <c r="L45" s="15">
        <v>28041.940000000002</v>
      </c>
      <c r="M45" s="15">
        <v>44</v>
      </c>
      <c r="N45" s="15">
        <v>1450</v>
      </c>
      <c r="O45" s="15">
        <v>63800</v>
      </c>
      <c r="P45" s="15">
        <v>5</v>
      </c>
      <c r="Q45" s="15">
        <v>-877.71551020408162</v>
      </c>
      <c r="R45" s="15">
        <v>-35758.06</v>
      </c>
      <c r="S45" s="15">
        <v>-43008.06</v>
      </c>
      <c r="T45" s="15">
        <v>7250</v>
      </c>
      <c r="U45" s="17">
        <v>1.1136363636363635</v>
      </c>
      <c r="V45" s="17">
        <v>1.4393939393939392</v>
      </c>
      <c r="W45" s="17">
        <v>0.78370226191384906</v>
      </c>
      <c r="X45" s="17">
        <v>2.4545454545454485E-2</v>
      </c>
      <c r="Y45" s="17">
        <v>-0.59774259973086441</v>
      </c>
      <c r="Z45" s="86"/>
      <c r="AA45" s="86"/>
      <c r="AB45"/>
    </row>
    <row r="46" spans="1:32" x14ac:dyDescent="0.25">
      <c r="A46" s="21" t="s">
        <v>18</v>
      </c>
      <c r="B46" s="21" t="s">
        <v>304</v>
      </c>
      <c r="C46" s="21" t="s">
        <v>313</v>
      </c>
      <c r="D46" s="15">
        <v>47.826086956521742</v>
      </c>
      <c r="E46" s="57">
        <v>408.97889999999978</v>
      </c>
      <c r="F46" s="15">
        <v>19559.8604347826</v>
      </c>
      <c r="G46" s="15">
        <v>56.913043478260875</v>
      </c>
      <c r="H46" s="57">
        <v>369.69453781512613</v>
      </c>
      <c r="I46" s="15">
        <v>21040.441304347831</v>
      </c>
      <c r="J46" s="15">
        <v>62</v>
      </c>
      <c r="K46" s="57">
        <v>378.76000000000005</v>
      </c>
      <c r="L46" s="15">
        <v>23483.120000000003</v>
      </c>
      <c r="M46" s="15">
        <v>61.599999999999994</v>
      </c>
      <c r="N46" s="15">
        <v>430</v>
      </c>
      <c r="O46" s="15">
        <v>26487.999999999996</v>
      </c>
      <c r="P46" s="15">
        <v>0.40000000000000568</v>
      </c>
      <c r="Q46" s="15">
        <v>-51.239999999999952</v>
      </c>
      <c r="R46" s="15">
        <v>-3004.8799999999937</v>
      </c>
      <c r="S46" s="15">
        <v>-3176.8799999999969</v>
      </c>
      <c r="T46" s="15">
        <v>172.00000000000244</v>
      </c>
      <c r="U46" s="17">
        <v>1.0064935064935066</v>
      </c>
      <c r="V46" s="17">
        <v>0.29636363636363627</v>
      </c>
      <c r="W46" s="17">
        <v>0.20057707355829646</v>
      </c>
      <c r="X46" s="17">
        <v>8.9381207028265755E-2</v>
      </c>
      <c r="Y46" s="17">
        <v>0.1160944611531229</v>
      </c>
      <c r="Z46" s="86"/>
      <c r="AA46" s="86"/>
      <c r="AB46"/>
    </row>
    <row r="47" spans="1:32" x14ac:dyDescent="0.25">
      <c r="A47" s="21" t="s">
        <v>18</v>
      </c>
      <c r="B47" s="21" t="s">
        <v>729</v>
      </c>
      <c r="C47" s="21" t="s">
        <v>312</v>
      </c>
      <c r="D47" s="15">
        <v>33</v>
      </c>
      <c r="E47" s="57">
        <v>1274.2008695652187</v>
      </c>
      <c r="F47" s="15">
        <v>42048.628695652216</v>
      </c>
      <c r="G47" s="15">
        <v>33.478260869565219</v>
      </c>
      <c r="H47" s="57">
        <v>1586.6561428571442</v>
      </c>
      <c r="I47" s="15">
        <v>53118.488260869613</v>
      </c>
      <c r="J47" s="15">
        <v>76</v>
      </c>
      <c r="K47" s="57">
        <v>1347.8040789473687</v>
      </c>
      <c r="L47" s="15">
        <v>102433.11000000002</v>
      </c>
      <c r="M47" s="15">
        <v>60.834782608695654</v>
      </c>
      <c r="N47" s="15">
        <v>1550</v>
      </c>
      <c r="O47" s="15">
        <v>94293.913043478271</v>
      </c>
      <c r="P47" s="15">
        <v>15.165217391304346</v>
      </c>
      <c r="Q47" s="15">
        <v>-202.19592105263132</v>
      </c>
      <c r="R47" s="15">
        <v>8139.1969565217441</v>
      </c>
      <c r="S47" s="15">
        <v>-15366.889999999981</v>
      </c>
      <c r="T47" s="15">
        <v>23506.086956521736</v>
      </c>
      <c r="U47" s="17">
        <v>1.2492853058890794</v>
      </c>
      <c r="V47" s="17">
        <v>1.303030303030303</v>
      </c>
      <c r="W47" s="17">
        <v>1.4360630340982199</v>
      </c>
      <c r="X47" s="17">
        <v>1.27012987012987</v>
      </c>
      <c r="Y47" s="17">
        <v>0.92838902901268416</v>
      </c>
      <c r="Z47" s="86"/>
      <c r="AA47" s="86"/>
      <c r="AB47"/>
    </row>
    <row r="48" spans="1:32" x14ac:dyDescent="0.25">
      <c r="A48" s="21" t="s">
        <v>18</v>
      </c>
      <c r="B48" s="21" t="s">
        <v>44</v>
      </c>
      <c r="C48" s="21" t="s">
        <v>339</v>
      </c>
      <c r="D48" s="15">
        <v>19.130434782608695</v>
      </c>
      <c r="E48" s="57">
        <v>486.39150000000001</v>
      </c>
      <c r="F48" s="15">
        <v>9304.8808695652169</v>
      </c>
      <c r="G48" s="15">
        <v>55.478260869565219</v>
      </c>
      <c r="H48" s="57">
        <v>565.08301724137937</v>
      </c>
      <c r="I48" s="15">
        <v>31349.823043478264</v>
      </c>
      <c r="J48" s="15">
        <v>56</v>
      </c>
      <c r="K48" s="57">
        <v>366.25446428571428</v>
      </c>
      <c r="L48" s="15">
        <v>20510.25</v>
      </c>
      <c r="M48" s="15">
        <v>68.869565217391312</v>
      </c>
      <c r="N48" s="15">
        <v>500</v>
      </c>
      <c r="O48" s="15">
        <v>34434.782608695656</v>
      </c>
      <c r="P48" s="15">
        <v>-12.869565217391312</v>
      </c>
      <c r="Q48" s="15">
        <v>-133.74553571428572</v>
      </c>
      <c r="R48" s="15">
        <v>-13924.532608695656</v>
      </c>
      <c r="S48" s="15">
        <v>-7489.75</v>
      </c>
      <c r="T48" s="15">
        <v>-6434.7826086956557</v>
      </c>
      <c r="U48" s="17">
        <v>0.81313131313131304</v>
      </c>
      <c r="V48" s="17">
        <v>1.9272727272727272</v>
      </c>
      <c r="W48" s="17">
        <v>1.204246382894139</v>
      </c>
      <c r="X48" s="17">
        <v>9.4043887147335203E-3</v>
      </c>
      <c r="Y48" s="17">
        <v>-0.34576185736184661</v>
      </c>
      <c r="Z48" s="86"/>
      <c r="AA48" s="86"/>
      <c r="AB48"/>
    </row>
    <row r="49" spans="1:28" x14ac:dyDescent="0.25">
      <c r="A49" s="21" t="s">
        <v>18</v>
      </c>
      <c r="B49" s="21" t="s">
        <v>307</v>
      </c>
      <c r="C49" s="21" t="s">
        <v>322</v>
      </c>
      <c r="D49" s="15" t="s">
        <v>364</v>
      </c>
      <c r="E49" s="57" t="s">
        <v>364</v>
      </c>
      <c r="F49" s="15" t="s">
        <v>364</v>
      </c>
      <c r="G49" s="15" t="s">
        <v>364</v>
      </c>
      <c r="H49" s="57" t="s">
        <v>364</v>
      </c>
      <c r="I49" s="15" t="s">
        <v>364</v>
      </c>
      <c r="J49" s="15">
        <v>45</v>
      </c>
      <c r="K49" s="57">
        <v>520.66666666666663</v>
      </c>
      <c r="L49" s="15">
        <v>23430</v>
      </c>
      <c r="M49" s="15">
        <v>9.2399565217391384</v>
      </c>
      <c r="N49" s="15">
        <v>1650.007764011687</v>
      </c>
      <c r="O49" s="15">
        <v>15246</v>
      </c>
      <c r="P49" s="15">
        <v>35.760043478260862</v>
      </c>
      <c r="Q49" s="15">
        <v>-1129.3410973450204</v>
      </c>
      <c r="R49" s="15">
        <v>8184</v>
      </c>
      <c r="S49" s="15">
        <v>-50820.34938052592</v>
      </c>
      <c r="T49" s="15">
        <v>59004.349380525913</v>
      </c>
      <c r="U49" s="17">
        <v>4.8701527863390996</v>
      </c>
      <c r="V49" s="17" t="s">
        <v>364</v>
      </c>
      <c r="W49" s="17" t="s">
        <v>364</v>
      </c>
      <c r="X49" s="17" t="s">
        <v>364</v>
      </c>
      <c r="Y49" s="17" t="s">
        <v>364</v>
      </c>
      <c r="Z49" s="86"/>
      <c r="AA49" s="86"/>
      <c r="AB49"/>
    </row>
    <row r="50" spans="1:28" x14ac:dyDescent="0.25">
      <c r="A50" s="21" t="s">
        <v>18</v>
      </c>
      <c r="B50" s="21" t="s">
        <v>308</v>
      </c>
      <c r="C50" s="21" t="s">
        <v>331</v>
      </c>
      <c r="D50" s="15" t="s">
        <v>364</v>
      </c>
      <c r="E50" s="57" t="s">
        <v>364</v>
      </c>
      <c r="F50" s="15" t="s">
        <v>364</v>
      </c>
      <c r="G50" s="15" t="s">
        <v>364</v>
      </c>
      <c r="H50" s="57" t="s">
        <v>364</v>
      </c>
      <c r="I50" s="15" t="s">
        <v>364</v>
      </c>
      <c r="J50" s="15">
        <v>29</v>
      </c>
      <c r="K50" s="57">
        <v>256.44655172413792</v>
      </c>
      <c r="L50" s="15">
        <v>7436.95</v>
      </c>
      <c r="M50" s="15">
        <v>30.216535555555556</v>
      </c>
      <c r="N50" s="15">
        <v>450</v>
      </c>
      <c r="O50" s="15">
        <v>13597.441000000001</v>
      </c>
      <c r="P50" s="15">
        <v>-1.2165355555555557</v>
      </c>
      <c r="Q50" s="15">
        <v>-193.55344827586208</v>
      </c>
      <c r="R50" s="15">
        <v>-6160.4910000000009</v>
      </c>
      <c r="S50" s="15">
        <v>-5613.05</v>
      </c>
      <c r="T50" s="15">
        <v>-547.44100000000003</v>
      </c>
      <c r="U50" s="17">
        <v>0.95973940979041572</v>
      </c>
      <c r="V50" s="17" t="s">
        <v>364</v>
      </c>
      <c r="W50" s="17" t="s">
        <v>364</v>
      </c>
      <c r="X50" s="17" t="s">
        <v>364</v>
      </c>
      <c r="Y50" s="17" t="s">
        <v>364</v>
      </c>
      <c r="Z50" s="86"/>
      <c r="AA50" s="86"/>
      <c r="AB50"/>
    </row>
    <row r="51" spans="1:28" x14ac:dyDescent="0.25">
      <c r="A51" s="21" t="s">
        <v>18</v>
      </c>
      <c r="B51" s="21" t="s">
        <v>306</v>
      </c>
      <c r="C51" s="21" t="s">
        <v>327</v>
      </c>
      <c r="D51" s="15" t="s">
        <v>364</v>
      </c>
      <c r="E51" s="57" t="s">
        <v>364</v>
      </c>
      <c r="F51" s="15" t="s">
        <v>364</v>
      </c>
      <c r="G51" s="15" t="s">
        <v>364</v>
      </c>
      <c r="H51" s="57" t="s">
        <v>364</v>
      </c>
      <c r="I51" s="15" t="s">
        <v>364</v>
      </c>
      <c r="J51" s="15">
        <v>22</v>
      </c>
      <c r="K51" s="57">
        <v>343.40909090909093</v>
      </c>
      <c r="L51" s="15">
        <v>7555</v>
      </c>
      <c r="M51" s="15">
        <v>5.5170395652173916</v>
      </c>
      <c r="N51" s="15">
        <v>2635.3137879317919</v>
      </c>
      <c r="O51" s="15">
        <v>14539.13043478261</v>
      </c>
      <c r="P51" s="15">
        <v>16.482960434782608</v>
      </c>
      <c r="Q51" s="15">
        <v>-2291.9046970227009</v>
      </c>
      <c r="R51" s="15">
        <v>-6984.1304347826099</v>
      </c>
      <c r="S51" s="15">
        <v>-50421.903334499424</v>
      </c>
      <c r="T51" s="15">
        <v>43437.772899716809</v>
      </c>
      <c r="U51" s="17">
        <v>3.9876458633178427</v>
      </c>
      <c r="V51" s="17" t="s">
        <v>364</v>
      </c>
      <c r="W51" s="17" t="s">
        <v>364</v>
      </c>
      <c r="X51" s="17" t="s">
        <v>364</v>
      </c>
      <c r="Y51" s="17" t="s">
        <v>364</v>
      </c>
      <c r="Z51" s="86"/>
      <c r="AA51" s="86"/>
      <c r="AB51"/>
    </row>
    <row r="52" spans="1:28" x14ac:dyDescent="0.25">
      <c r="A52" s="21" t="s">
        <v>18</v>
      </c>
      <c r="B52" s="21" t="s">
        <v>306</v>
      </c>
      <c r="C52" s="21" t="s">
        <v>333</v>
      </c>
      <c r="D52" s="15" t="s">
        <v>364</v>
      </c>
      <c r="E52" s="57" t="s">
        <v>364</v>
      </c>
      <c r="F52" s="15" t="s">
        <v>364</v>
      </c>
      <c r="G52" s="15" t="s">
        <v>364</v>
      </c>
      <c r="H52" s="57" t="s">
        <v>364</v>
      </c>
      <c r="I52" s="15" t="s">
        <v>364</v>
      </c>
      <c r="J52" s="15">
        <v>36</v>
      </c>
      <c r="K52" s="57">
        <v>672.23611111111109</v>
      </c>
      <c r="L52" s="15">
        <v>24200.5</v>
      </c>
      <c r="M52" s="15">
        <v>6.1661030434782615</v>
      </c>
      <c r="N52" s="15">
        <v>2175.639507921182</v>
      </c>
      <c r="O52" s="15">
        <v>13415.217391304348</v>
      </c>
      <c r="P52" s="15">
        <v>29.833896956521738</v>
      </c>
      <c r="Q52" s="15">
        <v>-1503.4033968100709</v>
      </c>
      <c r="R52" s="15">
        <v>10785.282608695652</v>
      </c>
      <c r="S52" s="15">
        <v>-54122.522285162551</v>
      </c>
      <c r="T52" s="15">
        <v>64907.804893858207</v>
      </c>
      <c r="U52" s="17">
        <v>5.838371455384018</v>
      </c>
      <c r="V52" s="17" t="s">
        <v>364</v>
      </c>
      <c r="W52" s="17" t="s">
        <v>364</v>
      </c>
      <c r="X52" s="17" t="s">
        <v>364</v>
      </c>
      <c r="Y52" s="17" t="s">
        <v>364</v>
      </c>
      <c r="Z52" s="86"/>
      <c r="AA52" s="86"/>
      <c r="AB52"/>
    </row>
    <row r="53" spans="1:28" x14ac:dyDescent="0.25">
      <c r="A53" s="21" t="s">
        <v>18</v>
      </c>
      <c r="B53" s="21" t="s">
        <v>306</v>
      </c>
      <c r="C53" s="21" t="s">
        <v>334</v>
      </c>
      <c r="D53" s="15" t="s">
        <v>364</v>
      </c>
      <c r="E53" s="57" t="s">
        <v>364</v>
      </c>
      <c r="F53" s="15" t="s">
        <v>364</v>
      </c>
      <c r="G53" s="15" t="s">
        <v>364</v>
      </c>
      <c r="H53" s="57" t="s">
        <v>364</v>
      </c>
      <c r="I53" s="15" t="s">
        <v>364</v>
      </c>
      <c r="J53" s="15">
        <v>29</v>
      </c>
      <c r="K53" s="57">
        <v>110.34482758620689</v>
      </c>
      <c r="L53" s="15">
        <v>3200</v>
      </c>
      <c r="M53" s="15">
        <v>8.2214707246376832</v>
      </c>
      <c r="N53" s="15">
        <v>1995.3057519170195</v>
      </c>
      <c r="O53" s="15">
        <v>16404.347826086956</v>
      </c>
      <c r="P53" s="15">
        <v>20.778529275362317</v>
      </c>
      <c r="Q53" s="15">
        <v>-1884.9609243308125</v>
      </c>
      <c r="R53" s="15">
        <v>-13204.347826086956</v>
      </c>
      <c r="S53" s="15">
        <v>-54663.866805593563</v>
      </c>
      <c r="T53" s="15">
        <v>41459.518979506611</v>
      </c>
      <c r="U53" s="17">
        <v>3.5273494209611771</v>
      </c>
      <c r="V53" s="17" t="s">
        <v>364</v>
      </c>
      <c r="W53" s="17" t="s">
        <v>364</v>
      </c>
      <c r="X53" s="17" t="s">
        <v>364</v>
      </c>
      <c r="Y53" s="17" t="s">
        <v>364</v>
      </c>
      <c r="Z53" s="86"/>
      <c r="AA53" s="86"/>
      <c r="AB53"/>
    </row>
    <row r="54" spans="1:28" x14ac:dyDescent="0.25">
      <c r="A54" s="21" t="s">
        <v>18</v>
      </c>
      <c r="B54" s="21" t="s">
        <v>306</v>
      </c>
      <c r="C54" s="21" t="s">
        <v>332</v>
      </c>
      <c r="D54" s="15">
        <v>2.8695652173913047</v>
      </c>
      <c r="E54" s="57">
        <v>2422.083333333333</v>
      </c>
      <c r="F54" s="15">
        <v>6950.326086956522</v>
      </c>
      <c r="G54" s="15">
        <v>2.3913043478260869</v>
      </c>
      <c r="H54" s="57">
        <v>3786.62</v>
      </c>
      <c r="I54" s="15">
        <v>9054.9608695652169</v>
      </c>
      <c r="J54" s="15">
        <v>31</v>
      </c>
      <c r="K54" s="57">
        <v>276.46129032258062</v>
      </c>
      <c r="L54" s="15">
        <v>8570.2999999999993</v>
      </c>
      <c r="M54" s="15">
        <v>5.841571304347827</v>
      </c>
      <c r="N54" s="15">
        <v>2155.2792451465184</v>
      </c>
      <c r="O54" s="15">
        <v>12590.217391304348</v>
      </c>
      <c r="P54" s="15">
        <v>25.158428695652173</v>
      </c>
      <c r="Q54" s="15">
        <v>-1878.8179548239377</v>
      </c>
      <c r="R54" s="15">
        <v>-4019.9173913043487</v>
      </c>
      <c r="S54" s="15">
        <v>-58243.356599542072</v>
      </c>
      <c r="T54" s="15">
        <v>54223.439208237724</v>
      </c>
      <c r="U54" s="17">
        <v>5.3067913383042997</v>
      </c>
      <c r="V54" s="17">
        <v>9.803030303030301</v>
      </c>
      <c r="W54" s="17">
        <v>0.23307883583816821</v>
      </c>
      <c r="X54" s="17">
        <v>11.963636363636365</v>
      </c>
      <c r="Y54" s="17">
        <v>-5.3524347211065207E-2</v>
      </c>
      <c r="Z54" s="86"/>
      <c r="AA54" s="86"/>
      <c r="AB54"/>
    </row>
    <row r="55" spans="1:28" x14ac:dyDescent="0.25">
      <c r="A55" s="21" t="s">
        <v>18</v>
      </c>
      <c r="B55" s="21" t="s">
        <v>306</v>
      </c>
      <c r="C55" s="21" t="s">
        <v>318</v>
      </c>
      <c r="D55" s="15">
        <v>2.8695652173913047</v>
      </c>
      <c r="E55" s="57">
        <v>6694.7633333333333</v>
      </c>
      <c r="F55" s="15">
        <v>19211.060000000001</v>
      </c>
      <c r="G55" s="15">
        <v>4.7826086956521738</v>
      </c>
      <c r="H55" s="57">
        <v>5431.8110000000006</v>
      </c>
      <c r="I55" s="15">
        <v>25978.226521739132</v>
      </c>
      <c r="J55" s="15">
        <v>53</v>
      </c>
      <c r="K55" s="57">
        <v>395.8103773584906</v>
      </c>
      <c r="L55" s="15">
        <v>20977.95</v>
      </c>
      <c r="M55" s="15">
        <v>9.9523066666666686</v>
      </c>
      <c r="N55" s="15">
        <v>1845.3226981856478</v>
      </c>
      <c r="O55" s="15">
        <v>18365.217391304348</v>
      </c>
      <c r="P55" s="15">
        <v>43.047693333333328</v>
      </c>
      <c r="Q55" s="15">
        <v>-1449.5123208271573</v>
      </c>
      <c r="R55" s="15">
        <v>2612.7326086956527</v>
      </c>
      <c r="S55" s="15">
        <v>-76824.153003839339</v>
      </c>
      <c r="T55" s="15">
        <v>79436.885612534985</v>
      </c>
      <c r="U55" s="17">
        <v>5.3253986010613277</v>
      </c>
      <c r="V55" s="17">
        <v>17.469696969696969</v>
      </c>
      <c r="W55" s="17">
        <v>9.1972540817633133E-2</v>
      </c>
      <c r="X55" s="17">
        <v>10.081818181818182</v>
      </c>
      <c r="Y55" s="17">
        <v>-0.19247951809007416</v>
      </c>
      <c r="Z55" s="86"/>
      <c r="AA55" s="86"/>
      <c r="AB55"/>
    </row>
    <row r="56" spans="1:28" x14ac:dyDescent="0.25">
      <c r="A56" s="21" t="s">
        <v>18</v>
      </c>
      <c r="B56" s="21" t="s">
        <v>214</v>
      </c>
      <c r="C56" s="21" t="s">
        <v>336</v>
      </c>
      <c r="D56" s="15" t="s">
        <v>364</v>
      </c>
      <c r="E56" s="57" t="s">
        <v>364</v>
      </c>
      <c r="F56" s="15" t="s">
        <v>364</v>
      </c>
      <c r="G56" s="15" t="s">
        <v>364</v>
      </c>
      <c r="H56" s="57" t="s">
        <v>364</v>
      </c>
      <c r="I56" s="15" t="s">
        <v>364</v>
      </c>
      <c r="J56" s="15">
        <v>29</v>
      </c>
      <c r="K56" s="57">
        <v>153.64655172413794</v>
      </c>
      <c r="L56" s="15">
        <v>4455.75</v>
      </c>
      <c r="M56" s="15">
        <v>16.581157775255392</v>
      </c>
      <c r="N56" s="15">
        <v>1378.7257726558407</v>
      </c>
      <c r="O56" s="15">
        <v>22860.869565217392</v>
      </c>
      <c r="P56" s="15">
        <v>12.418842224744608</v>
      </c>
      <c r="Q56" s="15">
        <v>-1225.0792209317028</v>
      </c>
      <c r="R56" s="15">
        <v>-18405.119565217392</v>
      </c>
      <c r="S56" s="15">
        <v>-35527.297407019381</v>
      </c>
      <c r="T56" s="15">
        <v>17122.177841801989</v>
      </c>
      <c r="U56" s="17">
        <v>1.7489731653888281</v>
      </c>
      <c r="V56" s="17" t="s">
        <v>364</v>
      </c>
      <c r="W56" s="17" t="s">
        <v>364</v>
      </c>
      <c r="X56" s="17" t="s">
        <v>364</v>
      </c>
      <c r="Y56" s="17" t="s">
        <v>364</v>
      </c>
      <c r="Z56" s="86"/>
      <c r="AA56" s="86"/>
      <c r="AB56"/>
    </row>
    <row r="57" spans="1:28" x14ac:dyDescent="0.25">
      <c r="A57" s="21" t="s">
        <v>18</v>
      </c>
      <c r="B57" s="21" t="s">
        <v>214</v>
      </c>
      <c r="C57" s="21" t="s">
        <v>323</v>
      </c>
      <c r="D57" s="15">
        <v>8.608695652173914</v>
      </c>
      <c r="E57" s="57">
        <v>2458.4977777777772</v>
      </c>
      <c r="F57" s="15">
        <v>21164.459130434781</v>
      </c>
      <c r="G57" s="15" t="s">
        <v>364</v>
      </c>
      <c r="H57" s="57" t="s">
        <v>364</v>
      </c>
      <c r="I57" s="15" t="s">
        <v>364</v>
      </c>
      <c r="J57" s="15">
        <v>74</v>
      </c>
      <c r="K57" s="57">
        <v>342.97297297297297</v>
      </c>
      <c r="L57" s="15">
        <v>25380</v>
      </c>
      <c r="M57" s="15">
        <v>14.508513053348468</v>
      </c>
      <c r="N57" s="15">
        <v>1549.315273516426</v>
      </c>
      <c r="O57" s="15">
        <v>22478.26086956522</v>
      </c>
      <c r="P57" s="15">
        <v>59.491486946651534</v>
      </c>
      <c r="Q57" s="15">
        <v>-1206.3423005434531</v>
      </c>
      <c r="R57" s="15">
        <v>2901.7391304347802</v>
      </c>
      <c r="S57" s="15">
        <v>-89269.330240215524</v>
      </c>
      <c r="T57" s="15">
        <v>92171.069370650308</v>
      </c>
      <c r="U57" s="17">
        <v>5.1004537631043654</v>
      </c>
      <c r="V57" s="17">
        <v>7.595959595959596</v>
      </c>
      <c r="W57" s="17">
        <v>0.19918018426954334</v>
      </c>
      <c r="X57" s="17" t="s">
        <v>364</v>
      </c>
      <c r="Y57" s="17" t="s">
        <v>364</v>
      </c>
      <c r="Z57" s="86"/>
      <c r="AA57" s="86"/>
      <c r="AB57"/>
    </row>
    <row r="58" spans="1:28" x14ac:dyDescent="0.25">
      <c r="A58" s="21" t="s">
        <v>18</v>
      </c>
      <c r="B58" s="21" t="s">
        <v>214</v>
      </c>
      <c r="C58" s="21" t="s">
        <v>316</v>
      </c>
      <c r="D58" s="15">
        <v>8.608695652173914</v>
      </c>
      <c r="E58" s="57">
        <v>2719.0861111111112</v>
      </c>
      <c r="F58" s="15">
        <v>23407.784782608698</v>
      </c>
      <c r="G58" s="15">
        <v>8.1304347826086953</v>
      </c>
      <c r="H58" s="57">
        <v>2247.0352941176475</v>
      </c>
      <c r="I58" s="15">
        <v>18269.373913043481</v>
      </c>
      <c r="J58" s="15">
        <v>66</v>
      </c>
      <c r="K58" s="57">
        <v>189.27651515151516</v>
      </c>
      <c r="L58" s="15">
        <v>12492.25</v>
      </c>
      <c r="M58" s="15">
        <v>15.860237871983419</v>
      </c>
      <c r="N58" s="15">
        <v>1543.9211391018621</v>
      </c>
      <c r="O58" s="15">
        <v>24486.956521739132</v>
      </c>
      <c r="P58" s="15">
        <v>50.139762128016585</v>
      </c>
      <c r="Q58" s="15">
        <v>-1354.6446239503468</v>
      </c>
      <c r="R58" s="15">
        <v>-11994.706521739132</v>
      </c>
      <c r="S58" s="15">
        <v>-89406.545180722896</v>
      </c>
      <c r="T58" s="15">
        <v>77411.838658983776</v>
      </c>
      <c r="U58" s="17">
        <v>4.1613499452354876</v>
      </c>
      <c r="V58" s="17">
        <v>6.6666666666666661</v>
      </c>
      <c r="W58" s="17">
        <v>-0.46632070843024082</v>
      </c>
      <c r="X58" s="17">
        <v>7.1176470588235299</v>
      </c>
      <c r="Y58" s="17">
        <v>-0.31621904179862909</v>
      </c>
      <c r="Z58" s="86"/>
      <c r="AA58" s="86"/>
      <c r="AB58"/>
    </row>
    <row r="59" spans="1:28" x14ac:dyDescent="0.25">
      <c r="A59" s="21" t="s">
        <v>18</v>
      </c>
      <c r="B59" s="21" t="s">
        <v>214</v>
      </c>
      <c r="C59" s="21" t="s">
        <v>324</v>
      </c>
      <c r="D59" s="15" t="s">
        <v>364</v>
      </c>
      <c r="E59" s="57" t="s">
        <v>364</v>
      </c>
      <c r="F59" s="15" t="s">
        <v>364</v>
      </c>
      <c r="G59" s="15" t="s">
        <v>364</v>
      </c>
      <c r="H59" s="57" t="s">
        <v>364</v>
      </c>
      <c r="I59" s="15" t="s">
        <v>364</v>
      </c>
      <c r="J59" s="15">
        <v>72</v>
      </c>
      <c r="K59" s="57">
        <v>112.83333333333333</v>
      </c>
      <c r="L59" s="15">
        <v>8124</v>
      </c>
      <c r="M59" s="15">
        <v>16.581157775255392</v>
      </c>
      <c r="N59" s="15">
        <v>1379.8795180722891</v>
      </c>
      <c r="O59" s="15">
        <v>22880</v>
      </c>
      <c r="P59" s="15">
        <v>55.418842224744608</v>
      </c>
      <c r="Q59" s="15">
        <v>-1267.0461847389558</v>
      </c>
      <c r="R59" s="15">
        <v>-14756</v>
      </c>
      <c r="S59" s="15">
        <v>-91227.325301204823</v>
      </c>
      <c r="T59" s="15">
        <v>76471.325301204823</v>
      </c>
      <c r="U59" s="17">
        <v>4.3422782037239864</v>
      </c>
      <c r="V59" s="17" t="s">
        <v>364</v>
      </c>
      <c r="W59" s="17" t="s">
        <v>364</v>
      </c>
      <c r="X59" s="17" t="s">
        <v>364</v>
      </c>
      <c r="Y59" s="17" t="s">
        <v>364</v>
      </c>
      <c r="Z59" s="86"/>
      <c r="AA59" s="86"/>
      <c r="AB59"/>
    </row>
    <row r="60" spans="1:28" x14ac:dyDescent="0.25">
      <c r="A60" s="21" t="s">
        <v>18</v>
      </c>
      <c r="B60" s="21" t="s">
        <v>214</v>
      </c>
      <c r="C60" s="21" t="s">
        <v>315</v>
      </c>
      <c r="D60" s="15" t="s">
        <v>364</v>
      </c>
      <c r="E60" s="57" t="s">
        <v>364</v>
      </c>
      <c r="F60" s="15" t="s">
        <v>364</v>
      </c>
      <c r="G60" s="15" t="s">
        <v>364</v>
      </c>
      <c r="H60" s="57" t="s">
        <v>364</v>
      </c>
      <c r="I60" s="15" t="s">
        <v>364</v>
      </c>
      <c r="J60" s="15">
        <v>43</v>
      </c>
      <c r="K60" s="57">
        <v>598.23023255813962</v>
      </c>
      <c r="L60" s="15">
        <v>25723.9</v>
      </c>
      <c r="M60" s="15">
        <v>15.860237871983419</v>
      </c>
      <c r="N60" s="15">
        <v>1375.0547645125957</v>
      </c>
      <c r="O60" s="15">
        <v>21808.695652173912</v>
      </c>
      <c r="P60" s="15">
        <v>27.139762128016581</v>
      </c>
      <c r="Q60" s="15">
        <v>-776.82453195445612</v>
      </c>
      <c r="R60" s="15">
        <v>3915.2043478260894</v>
      </c>
      <c r="S60" s="15">
        <v>-33403.454874041614</v>
      </c>
      <c r="T60" s="15">
        <v>37318.659221867703</v>
      </c>
      <c r="U60" s="17">
        <v>2.7111825400776661</v>
      </c>
      <c r="V60" s="17" t="s">
        <v>364</v>
      </c>
      <c r="W60" s="17" t="s">
        <v>364</v>
      </c>
      <c r="X60" s="17" t="s">
        <v>364</v>
      </c>
      <c r="Y60" s="17" t="s">
        <v>364</v>
      </c>
      <c r="Z60" s="86"/>
      <c r="AA60" s="86"/>
      <c r="AB60"/>
    </row>
    <row r="61" spans="1:28" x14ac:dyDescent="0.25">
      <c r="A61" s="21" t="s">
        <v>18</v>
      </c>
      <c r="B61" s="21" t="s">
        <v>222</v>
      </c>
      <c r="C61" s="21" t="s">
        <v>325</v>
      </c>
      <c r="D61" s="15" t="s">
        <v>364</v>
      </c>
      <c r="E61" s="57" t="s">
        <v>364</v>
      </c>
      <c r="F61" s="15" t="s">
        <v>364</v>
      </c>
      <c r="G61" s="15" t="s">
        <v>364</v>
      </c>
      <c r="H61" s="57" t="s">
        <v>364</v>
      </c>
      <c r="I61" s="15" t="s">
        <v>364</v>
      </c>
      <c r="J61" s="15">
        <v>24</v>
      </c>
      <c r="K61" s="57">
        <v>172.40416666666667</v>
      </c>
      <c r="L61" s="15">
        <v>4137.7</v>
      </c>
      <c r="M61" s="15">
        <v>8.5835240274599496</v>
      </c>
      <c r="N61" s="15">
        <v>1547.5806451612912</v>
      </c>
      <c r="O61" s="15">
        <v>13283.695652173914</v>
      </c>
      <c r="P61" s="15">
        <v>15.41647597254005</v>
      </c>
      <c r="Q61" s="15">
        <v>-1375.1764784946245</v>
      </c>
      <c r="R61" s="15">
        <v>-9145.995652173915</v>
      </c>
      <c r="S61" s="15">
        <v>-33004.235483870987</v>
      </c>
      <c r="T61" s="15">
        <v>23858.239831697076</v>
      </c>
      <c r="U61" s="17">
        <v>2.7960543854972024</v>
      </c>
      <c r="V61" s="17" t="s">
        <v>364</v>
      </c>
      <c r="W61" s="17" t="s">
        <v>364</v>
      </c>
      <c r="X61" s="17" t="s">
        <v>364</v>
      </c>
      <c r="Y61" s="17" t="s">
        <v>364</v>
      </c>
      <c r="Z61" s="86"/>
      <c r="AA61" s="86"/>
      <c r="AB61"/>
    </row>
    <row r="62" spans="1:28" x14ac:dyDescent="0.25">
      <c r="A62" s="21" t="s">
        <v>18</v>
      </c>
      <c r="B62" s="21" t="s">
        <v>222</v>
      </c>
      <c r="C62" s="21" t="s">
        <v>326</v>
      </c>
      <c r="D62" s="15">
        <v>7.1739130434782608</v>
      </c>
      <c r="E62" s="57">
        <v>2261.166666666667</v>
      </c>
      <c r="F62" s="15">
        <v>16221.413043478262</v>
      </c>
      <c r="G62" s="15">
        <v>9.0869565217391308</v>
      </c>
      <c r="H62" s="57">
        <v>1309.6842105263158</v>
      </c>
      <c r="I62" s="15">
        <v>11901.04347826087</v>
      </c>
      <c r="J62" s="15">
        <v>58</v>
      </c>
      <c r="K62" s="57">
        <v>255.32586206896551</v>
      </c>
      <c r="L62" s="15">
        <v>14808.9</v>
      </c>
      <c r="M62" s="15">
        <v>8.5835240274599496</v>
      </c>
      <c r="N62" s="15">
        <v>2252.4193548387107</v>
      </c>
      <c r="O62" s="15">
        <v>19333.695652173912</v>
      </c>
      <c r="P62" s="15">
        <v>49.416475972540049</v>
      </c>
      <c r="Q62" s="15">
        <v>-1997.0934927697451</v>
      </c>
      <c r="R62" s="15">
        <v>-4524.7956521739125</v>
      </c>
      <c r="S62" s="15">
        <v>-115831.42258064522</v>
      </c>
      <c r="T62" s="15">
        <v>111306.62692847131</v>
      </c>
      <c r="U62" s="17">
        <v>6.7571314316182391</v>
      </c>
      <c r="V62" s="17">
        <v>7.084848484848485</v>
      </c>
      <c r="W62" s="17">
        <v>-8.7077065339024581E-2</v>
      </c>
      <c r="X62" s="17">
        <v>5.3827751196172242</v>
      </c>
      <c r="Y62" s="17">
        <v>0.24433626572752107</v>
      </c>
      <c r="Z62" s="86"/>
      <c r="AA62" s="86"/>
      <c r="AB62"/>
    </row>
    <row r="63" spans="1:28" x14ac:dyDescent="0.25">
      <c r="A63" s="21" t="s">
        <v>18</v>
      </c>
      <c r="B63" s="21" t="s">
        <v>309</v>
      </c>
      <c r="C63" s="21" t="s">
        <v>321</v>
      </c>
      <c r="D63" s="15" t="s">
        <v>364</v>
      </c>
      <c r="E63" s="57" t="s">
        <v>364</v>
      </c>
      <c r="F63" s="15" t="s">
        <v>364</v>
      </c>
      <c r="G63" s="15" t="s">
        <v>364</v>
      </c>
      <c r="H63" s="57" t="s">
        <v>364</v>
      </c>
      <c r="I63" s="15" t="s">
        <v>364</v>
      </c>
      <c r="J63" s="15">
        <v>20</v>
      </c>
      <c r="K63" s="57">
        <v>8.25</v>
      </c>
      <c r="L63" s="15">
        <v>165</v>
      </c>
      <c r="M63" s="15">
        <v>4.447382181818182</v>
      </c>
      <c r="N63" s="15">
        <v>2875.3614097478076</v>
      </c>
      <c r="O63" s="15">
        <v>12787.831100000009</v>
      </c>
      <c r="P63" s="15">
        <v>15.552617818181819</v>
      </c>
      <c r="Q63" s="15">
        <v>-2867.1114097478076</v>
      </c>
      <c r="R63" s="15">
        <v>-12622.831100000009</v>
      </c>
      <c r="S63" s="15">
        <v>-57342.228194956151</v>
      </c>
      <c r="T63" s="15">
        <v>44719.397094956148</v>
      </c>
      <c r="U63" s="17">
        <v>4.4970275057007996</v>
      </c>
      <c r="V63" s="17" t="s">
        <v>364</v>
      </c>
      <c r="W63" s="17" t="s">
        <v>364</v>
      </c>
      <c r="X63" s="17" t="s">
        <v>364</v>
      </c>
      <c r="Y63" s="17" t="s">
        <v>364</v>
      </c>
      <c r="Z63" s="86"/>
      <c r="AA63" s="86"/>
      <c r="AB63"/>
    </row>
    <row r="64" spans="1:28" x14ac:dyDescent="0.25">
      <c r="A64" s="21" t="s">
        <v>18</v>
      </c>
      <c r="B64" s="21" t="s">
        <v>47</v>
      </c>
      <c r="C64" s="21" t="s">
        <v>270</v>
      </c>
      <c r="D64" s="15">
        <v>25.347826086956523</v>
      </c>
      <c r="E64" s="57">
        <v>441.00905660377362</v>
      </c>
      <c r="F64" s="15">
        <v>11178.620869565219</v>
      </c>
      <c r="G64" s="15">
        <v>30.130434782608695</v>
      </c>
      <c r="H64" s="57">
        <v>654.08698412698425</v>
      </c>
      <c r="I64" s="15">
        <v>19707.925217391308</v>
      </c>
      <c r="J64" s="15">
        <v>30</v>
      </c>
      <c r="K64" s="57">
        <v>466.90499999999997</v>
      </c>
      <c r="L64" s="15">
        <v>14007.15</v>
      </c>
      <c r="M64" s="15">
        <v>29.269565217391303</v>
      </c>
      <c r="N64" s="15">
        <v>420</v>
      </c>
      <c r="O64" s="15">
        <v>12293.217391304348</v>
      </c>
      <c r="P64" s="15">
        <v>0.73043478260869676</v>
      </c>
      <c r="Q64" s="15">
        <v>46.904999999999973</v>
      </c>
      <c r="R64" s="15">
        <v>1713.9326086956517</v>
      </c>
      <c r="S64" s="15">
        <v>1407.1499999999992</v>
      </c>
      <c r="T64" s="15">
        <v>306.78260869565264</v>
      </c>
      <c r="U64" s="17">
        <v>1.0249554367201426</v>
      </c>
      <c r="V64" s="17">
        <v>0.183533447684391</v>
      </c>
      <c r="W64" s="17">
        <v>0.2530302407997127</v>
      </c>
      <c r="X64" s="17">
        <v>-4.3290043290043186E-3</v>
      </c>
      <c r="Y64" s="17">
        <v>-0.28926308348078394</v>
      </c>
      <c r="Z64" s="86"/>
      <c r="AA64" s="86"/>
      <c r="AB64"/>
    </row>
    <row r="65" spans="1:28" x14ac:dyDescent="0.25">
      <c r="A65" s="21" t="s">
        <v>18</v>
      </c>
      <c r="B65" s="21" t="s">
        <v>305</v>
      </c>
      <c r="C65" s="21" t="s">
        <v>337</v>
      </c>
      <c r="D65" s="15">
        <v>7.6521739130434785</v>
      </c>
      <c r="E65" s="57">
        <v>557.20624999999995</v>
      </c>
      <c r="F65" s="15">
        <v>4263.8391304347824</v>
      </c>
      <c r="G65" s="15">
        <v>15.782608695652174</v>
      </c>
      <c r="H65" s="57">
        <v>552.56969696969702</v>
      </c>
      <c r="I65" s="15">
        <v>8720.9913043478264</v>
      </c>
      <c r="J65" s="15">
        <v>8</v>
      </c>
      <c r="K65" s="57">
        <v>550.15000000000009</v>
      </c>
      <c r="L65" s="15">
        <v>4401.2000000000007</v>
      </c>
      <c r="M65" s="15">
        <v>16.838608695652173</v>
      </c>
      <c r="N65" s="15">
        <v>400.00000000000006</v>
      </c>
      <c r="O65" s="15">
        <v>6735.4434782608705</v>
      </c>
      <c r="P65" s="15">
        <v>-8.838608695652173</v>
      </c>
      <c r="Q65" s="15">
        <v>150.15000000000003</v>
      </c>
      <c r="R65" s="15">
        <v>-2334.2434782608698</v>
      </c>
      <c r="S65" s="15">
        <v>1201.2000000000003</v>
      </c>
      <c r="T65" s="15">
        <v>-3535.4434782608696</v>
      </c>
      <c r="U65" s="17">
        <v>0.47509863460783708</v>
      </c>
      <c r="V65" s="17">
        <v>4.5454545454545421E-2</v>
      </c>
      <c r="W65" s="17">
        <v>3.2215303008209802E-2</v>
      </c>
      <c r="X65" s="17">
        <v>-0.49311294765840219</v>
      </c>
      <c r="Y65" s="17">
        <v>-0.49533260080126507</v>
      </c>
      <c r="Z65" s="86"/>
      <c r="AA65" s="86"/>
      <c r="AB65"/>
    </row>
    <row r="66" spans="1:28" x14ac:dyDescent="0.25">
      <c r="A66" s="21" t="s">
        <v>18</v>
      </c>
      <c r="B66" s="21" t="s">
        <v>311</v>
      </c>
      <c r="C66" s="21" t="s">
        <v>311</v>
      </c>
      <c r="D66" s="15" t="s">
        <v>364</v>
      </c>
      <c r="E66" s="57" t="s">
        <v>364</v>
      </c>
      <c r="F66" s="15" t="s">
        <v>364</v>
      </c>
      <c r="G66" s="15" t="s">
        <v>364</v>
      </c>
      <c r="H66" s="57" t="s">
        <v>364</v>
      </c>
      <c r="I66" s="15" t="s">
        <v>364</v>
      </c>
      <c r="J66" s="15">
        <v>0</v>
      </c>
      <c r="K66" s="57" t="s">
        <v>364</v>
      </c>
      <c r="L66" s="15">
        <v>0</v>
      </c>
      <c r="M66" s="15">
        <v>0</v>
      </c>
      <c r="N66" s="15" t="s">
        <v>364</v>
      </c>
      <c r="O66" s="15">
        <v>28730.16663478261</v>
      </c>
      <c r="P66" s="15">
        <v>0</v>
      </c>
      <c r="Q66" s="15" t="s">
        <v>364</v>
      </c>
      <c r="R66" s="15">
        <v>-28730.16663478261</v>
      </c>
      <c r="S66" s="15" t="s">
        <v>364</v>
      </c>
      <c r="T66" s="15" t="s">
        <v>364</v>
      </c>
      <c r="U66" s="17" t="s">
        <v>364</v>
      </c>
      <c r="V66" s="17" t="s">
        <v>364</v>
      </c>
      <c r="W66" s="17" t="s">
        <v>364</v>
      </c>
      <c r="X66" s="17" t="s">
        <v>364</v>
      </c>
      <c r="Y66" s="17" t="s">
        <v>364</v>
      </c>
      <c r="Z66" s="86"/>
      <c r="AA66" s="86"/>
      <c r="AB66"/>
    </row>
    <row r="67" spans="1:28" x14ac:dyDescent="0.25">
      <c r="A67" s="21" t="s">
        <v>18</v>
      </c>
      <c r="B67" s="21" t="s">
        <v>310</v>
      </c>
      <c r="C67" s="21" t="s">
        <v>320</v>
      </c>
      <c r="D67" s="15" t="s">
        <v>364</v>
      </c>
      <c r="E67" s="57" t="s">
        <v>364</v>
      </c>
      <c r="F67" s="15" t="s">
        <v>364</v>
      </c>
      <c r="G67" s="15" t="s">
        <v>364</v>
      </c>
      <c r="H67" s="57" t="s">
        <v>364</v>
      </c>
      <c r="I67" s="15" t="s">
        <v>364</v>
      </c>
      <c r="J67" s="15">
        <v>17</v>
      </c>
      <c r="K67" s="57">
        <v>3385.25</v>
      </c>
      <c r="L67" s="15">
        <v>57549.25</v>
      </c>
      <c r="M67" s="15">
        <v>15.318333942272561</v>
      </c>
      <c r="N67" s="15">
        <v>5950.0000000000018</v>
      </c>
      <c r="O67" s="15">
        <v>91144.086956521773</v>
      </c>
      <c r="P67" s="15">
        <v>1.6816660577274387</v>
      </c>
      <c r="Q67" s="15">
        <v>-2564.7500000000018</v>
      </c>
      <c r="R67" s="15">
        <v>-33594.836956521773</v>
      </c>
      <c r="S67" s="15">
        <v>-43600.750000000029</v>
      </c>
      <c r="T67" s="15">
        <v>10005.913043478264</v>
      </c>
      <c r="U67" s="17">
        <v>1.1097812636847342</v>
      </c>
      <c r="V67" s="17" t="s">
        <v>364</v>
      </c>
      <c r="W67" s="17" t="s">
        <v>364</v>
      </c>
      <c r="X67" s="17" t="s">
        <v>364</v>
      </c>
      <c r="Y67" s="17" t="s">
        <v>364</v>
      </c>
    </row>
    <row r="68" spans="1:28" x14ac:dyDescent="0.25">
      <c r="A68" s="21" t="s">
        <v>18</v>
      </c>
      <c r="B68" s="21" t="s">
        <v>278</v>
      </c>
      <c r="C68" s="21" t="s">
        <v>317</v>
      </c>
      <c r="D68" s="15" t="s">
        <v>364</v>
      </c>
      <c r="E68" s="57" t="s">
        <v>364</v>
      </c>
      <c r="F68" s="15" t="s">
        <v>364</v>
      </c>
      <c r="G68" s="15" t="s">
        <v>364</v>
      </c>
      <c r="H68" s="57" t="s">
        <v>364</v>
      </c>
      <c r="I68" s="15" t="s">
        <v>364</v>
      </c>
      <c r="J68" s="15">
        <v>72</v>
      </c>
      <c r="K68" s="57">
        <v>958.19791666666663</v>
      </c>
      <c r="L68" s="15">
        <v>68990.25</v>
      </c>
      <c r="M68" s="15">
        <v>61.925217391304358</v>
      </c>
      <c r="N68" s="15">
        <v>870.00000000000011</v>
      </c>
      <c r="O68" s="15">
        <v>53874.939130434796</v>
      </c>
      <c r="P68" s="15">
        <v>10.074782608695642</v>
      </c>
      <c r="Q68" s="15">
        <v>88.197916666666515</v>
      </c>
      <c r="R68" s="15">
        <v>15115.310869565204</v>
      </c>
      <c r="S68" s="15">
        <v>6350.2499999999891</v>
      </c>
      <c r="T68" s="15">
        <v>8765.0608695652099</v>
      </c>
      <c r="U68" s="17">
        <v>1.1626927289577891</v>
      </c>
      <c r="V68" s="17" t="s">
        <v>364</v>
      </c>
      <c r="W68" s="17" t="s">
        <v>364</v>
      </c>
      <c r="X68" s="17" t="s">
        <v>364</v>
      </c>
      <c r="Y68" s="17" t="s">
        <v>364</v>
      </c>
    </row>
    <row r="69" spans="1:28" x14ac:dyDescent="0.25">
      <c r="A69" s="21" t="s">
        <v>18</v>
      </c>
      <c r="B69" s="21" t="s">
        <v>49</v>
      </c>
      <c r="C69" s="21" t="s">
        <v>264</v>
      </c>
      <c r="D69" s="15">
        <v>105.69565217391305</v>
      </c>
      <c r="E69" s="57">
        <v>251.3900452488688</v>
      </c>
      <c r="F69" s="15">
        <v>26570.834782608697</v>
      </c>
      <c r="G69" s="15">
        <v>105.69565217391305</v>
      </c>
      <c r="H69" s="57">
        <v>266.78968325791857</v>
      </c>
      <c r="I69" s="15">
        <v>28198.509565217391</v>
      </c>
      <c r="J69" s="15">
        <v>127</v>
      </c>
      <c r="K69" s="57">
        <v>259.95102362204722</v>
      </c>
      <c r="L69" s="15">
        <v>33013.78</v>
      </c>
      <c r="M69" s="15" t="s">
        <v>364</v>
      </c>
      <c r="N69" s="15" t="s">
        <v>364</v>
      </c>
      <c r="O69" s="15" t="s">
        <v>364</v>
      </c>
      <c r="P69" s="15" t="s">
        <v>364</v>
      </c>
      <c r="Q69" s="15" t="s">
        <v>364</v>
      </c>
      <c r="R69" s="15" t="s">
        <v>364</v>
      </c>
      <c r="S69" s="15" t="s">
        <v>364</v>
      </c>
      <c r="T69" s="15" t="s">
        <v>364</v>
      </c>
      <c r="U69" s="17" t="s">
        <v>364</v>
      </c>
      <c r="V69" s="17">
        <v>0.20156314273961329</v>
      </c>
      <c r="W69" s="17">
        <v>0.24248185162810076</v>
      </c>
      <c r="X69" s="17">
        <v>0.20156314273961329</v>
      </c>
      <c r="Y69" s="17">
        <v>0.17076329596945083</v>
      </c>
    </row>
    <row r="70" spans="1:28" x14ac:dyDescent="0.25">
      <c r="A70" s="21" t="s">
        <v>18</v>
      </c>
      <c r="B70" s="21" t="s">
        <v>45</v>
      </c>
      <c r="C70" s="21" t="s">
        <v>329</v>
      </c>
      <c r="D70" s="15" t="s">
        <v>364</v>
      </c>
      <c r="E70" s="57" t="s">
        <v>364</v>
      </c>
      <c r="F70" s="15" t="s">
        <v>364</v>
      </c>
      <c r="G70" s="15" t="s">
        <v>364</v>
      </c>
      <c r="H70" s="57" t="s">
        <v>364</v>
      </c>
      <c r="I70" s="15" t="s">
        <v>364</v>
      </c>
      <c r="J70" s="15">
        <v>10</v>
      </c>
      <c r="K70" s="57">
        <v>25</v>
      </c>
      <c r="L70" s="15">
        <v>250</v>
      </c>
      <c r="M70" s="15" t="s">
        <v>364</v>
      </c>
      <c r="N70" s="15" t="s">
        <v>364</v>
      </c>
      <c r="O70" s="15" t="s">
        <v>364</v>
      </c>
      <c r="P70" s="15" t="s">
        <v>364</v>
      </c>
      <c r="Q70" s="15" t="s">
        <v>364</v>
      </c>
      <c r="R70" s="15" t="s">
        <v>364</v>
      </c>
      <c r="S70" s="15" t="s">
        <v>364</v>
      </c>
      <c r="T70" s="15" t="s">
        <v>364</v>
      </c>
      <c r="U70" s="17" t="s">
        <v>364</v>
      </c>
      <c r="V70" s="17" t="s">
        <v>364</v>
      </c>
      <c r="W70" s="17" t="s">
        <v>364</v>
      </c>
      <c r="X70" s="17" t="s">
        <v>364</v>
      </c>
      <c r="Y70" s="17" t="s">
        <v>364</v>
      </c>
    </row>
    <row r="71" spans="1:28" x14ac:dyDescent="0.25">
      <c r="A71" s="21" t="s">
        <v>18</v>
      </c>
      <c r="B71" s="21" t="s">
        <v>304</v>
      </c>
      <c r="C71" s="21" t="s">
        <v>330</v>
      </c>
      <c r="D71" s="15" t="s">
        <v>364</v>
      </c>
      <c r="E71" s="57" t="s">
        <v>364</v>
      </c>
      <c r="F71" s="15" t="s">
        <v>364</v>
      </c>
      <c r="G71" s="15" t="s">
        <v>364</v>
      </c>
      <c r="H71" s="57" t="s">
        <v>364</v>
      </c>
      <c r="I71" s="15" t="s">
        <v>364</v>
      </c>
      <c r="J71" s="15">
        <v>9</v>
      </c>
      <c r="K71" s="57">
        <v>0</v>
      </c>
      <c r="L71" s="15">
        <v>0</v>
      </c>
      <c r="M71" s="15" t="s">
        <v>364</v>
      </c>
      <c r="N71" s="15" t="s">
        <v>364</v>
      </c>
      <c r="O71" s="15" t="s">
        <v>364</v>
      </c>
      <c r="P71" s="15" t="s">
        <v>364</v>
      </c>
      <c r="Q71" s="15" t="s">
        <v>364</v>
      </c>
      <c r="R71" s="15" t="s">
        <v>364</v>
      </c>
      <c r="S71" s="15" t="s">
        <v>364</v>
      </c>
      <c r="T71" s="15" t="s">
        <v>364</v>
      </c>
      <c r="U71" s="17" t="s">
        <v>364</v>
      </c>
      <c r="V71" s="17" t="s">
        <v>364</v>
      </c>
      <c r="W71" s="17" t="s">
        <v>364</v>
      </c>
      <c r="X71" s="17" t="s">
        <v>364</v>
      </c>
      <c r="Y71" s="17" t="s">
        <v>364</v>
      </c>
    </row>
    <row r="72" spans="1:28" x14ac:dyDescent="0.25">
      <c r="A72" s="21" t="s">
        <v>18</v>
      </c>
      <c r="B72" s="21" t="s">
        <v>711</v>
      </c>
      <c r="C72" s="21" t="s">
        <v>711</v>
      </c>
      <c r="D72" s="15" t="s">
        <v>364</v>
      </c>
      <c r="E72" s="57" t="s">
        <v>364</v>
      </c>
      <c r="F72" s="15" t="s">
        <v>364</v>
      </c>
      <c r="G72" s="15" t="s">
        <v>364</v>
      </c>
      <c r="H72" s="57" t="s">
        <v>364</v>
      </c>
      <c r="I72" s="15" t="s">
        <v>364</v>
      </c>
      <c r="J72" s="15">
        <v>3</v>
      </c>
      <c r="K72" s="57">
        <v>533.33333333333337</v>
      </c>
      <c r="L72" s="15">
        <v>1600</v>
      </c>
      <c r="M72" s="15" t="s">
        <v>364</v>
      </c>
      <c r="N72" s="15" t="s">
        <v>364</v>
      </c>
      <c r="O72" s="15" t="s">
        <v>364</v>
      </c>
      <c r="P72" s="15" t="s">
        <v>364</v>
      </c>
      <c r="Q72" s="15" t="s">
        <v>364</v>
      </c>
      <c r="R72" s="15" t="s">
        <v>364</v>
      </c>
      <c r="S72" s="15" t="s">
        <v>364</v>
      </c>
      <c r="T72" s="15" t="s">
        <v>364</v>
      </c>
      <c r="U72" s="17" t="s">
        <v>364</v>
      </c>
      <c r="V72" s="17" t="s">
        <v>364</v>
      </c>
      <c r="W72" s="17" t="s">
        <v>364</v>
      </c>
      <c r="X72" s="17" t="s">
        <v>364</v>
      </c>
      <c r="Y72" s="17" t="s">
        <v>364</v>
      </c>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sheetData>
  <mergeCells count="49">
    <mergeCell ref="X38:Y38"/>
    <mergeCell ref="D38:F38"/>
    <mergeCell ref="G38:I38"/>
    <mergeCell ref="J38:L38"/>
    <mergeCell ref="M38:O38"/>
    <mergeCell ref="P38:T38"/>
    <mergeCell ref="V38:W38"/>
    <mergeCell ref="D37:F37"/>
    <mergeCell ref="G37:I37"/>
    <mergeCell ref="J37:L37"/>
    <mergeCell ref="M37:O37"/>
    <mergeCell ref="P37:T37"/>
    <mergeCell ref="S14:U14"/>
    <mergeCell ref="V14:Z14"/>
    <mergeCell ref="AA14:AB14"/>
    <mergeCell ref="AC14:AD14"/>
    <mergeCell ref="AE14:AF14"/>
    <mergeCell ref="D14:F14"/>
    <mergeCell ref="G14:I14"/>
    <mergeCell ref="J14:L14"/>
    <mergeCell ref="M14:O14"/>
    <mergeCell ref="P14:R14"/>
    <mergeCell ref="AC8:AD8"/>
    <mergeCell ref="AE8:AF8"/>
    <mergeCell ref="AG8:AH8"/>
    <mergeCell ref="D13:F13"/>
    <mergeCell ref="G13:I13"/>
    <mergeCell ref="J13:L13"/>
    <mergeCell ref="M13:O13"/>
    <mergeCell ref="P13:R13"/>
    <mergeCell ref="S13:U13"/>
    <mergeCell ref="V13:Z13"/>
    <mergeCell ref="R7:T7"/>
    <mergeCell ref="U7:W7"/>
    <mergeCell ref="X7:AB7"/>
    <mergeCell ref="C8:C9"/>
    <mergeCell ref="D8:F8"/>
    <mergeCell ref="G8:I8"/>
    <mergeCell ref="J8:N8"/>
    <mergeCell ref="O8:Q8"/>
    <mergeCell ref="R8:T8"/>
    <mergeCell ref="U8:W8"/>
    <mergeCell ref="O7:Q7"/>
    <mergeCell ref="X8:AB8"/>
    <mergeCell ref="C1:C2"/>
    <mergeCell ref="D1:H2"/>
    <mergeCell ref="D7:F7"/>
    <mergeCell ref="G7:I7"/>
    <mergeCell ref="J7:N7"/>
  </mergeCells>
  <conditionalFormatting sqref="N9">
    <cfRule type="duplicateValues" dxfId="5" priority="2"/>
    <cfRule type="duplicateValues" dxfId="4" priority="3"/>
  </conditionalFormatting>
  <conditionalFormatting sqref="C40:C73">
    <cfRule type="duplicateValues" dxfId="3" priority="4"/>
  </conditionalFormatting>
  <conditionalFormatting sqref="C40:C73">
    <cfRule type="duplicateValues" dxfId="2" priority="5"/>
  </conditionalFormatting>
  <conditionalFormatting sqref="C74:C106">
    <cfRule type="duplicateValues" dxfId="1" priority="1"/>
  </conditionalFormatting>
  <pageMargins left="0.7" right="0.7" top="0.75" bottom="0.75" header="0.3" footer="0.3"/>
  <pageSetup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033C3-9421-4750-902E-CE65574A4094}">
  <sheetPr codeName="Sheet11">
    <outlinePr summaryBelow="0"/>
  </sheetPr>
  <dimension ref="A1:AI71"/>
  <sheetViews>
    <sheetView showGridLines="0" zoomScale="90" zoomScaleNormal="90" workbookViewId="0"/>
  </sheetViews>
  <sheetFormatPr defaultRowHeight="15" x14ac:dyDescent="0.25"/>
  <cols>
    <col min="1" max="1" width="4.5703125" bestFit="1" customWidth="1"/>
    <col min="2" max="2" width="13.85546875" bestFit="1" customWidth="1"/>
    <col min="3" max="3" width="43.85546875" style="3" bestFit="1" customWidth="1"/>
    <col min="4" max="4" width="4.42578125" style="3" bestFit="1" customWidth="1"/>
    <col min="5" max="5" width="6.42578125" style="3" bestFit="1" customWidth="1"/>
    <col min="6" max="6" width="7.85546875" style="3" bestFit="1" customWidth="1"/>
    <col min="7" max="7" width="4.42578125" style="3" bestFit="1" customWidth="1"/>
    <col min="8" max="8" width="6.42578125" style="3" bestFit="1" customWidth="1"/>
    <col min="9" max="9" width="7.85546875" style="3" bestFit="1" customWidth="1"/>
    <col min="10" max="10" width="4.42578125" style="3" bestFit="1" customWidth="1"/>
    <col min="11" max="11" width="6.42578125" style="3" bestFit="1" customWidth="1"/>
    <col min="12" max="12" width="7.85546875" style="3" bestFit="1" customWidth="1"/>
    <col min="13" max="13" width="7.42578125" style="3" bestFit="1" customWidth="1"/>
    <col min="14" max="14" width="6.42578125" style="3" bestFit="1" customWidth="1"/>
    <col min="15" max="15" width="7.85546875" style="3" bestFit="1" customWidth="1"/>
    <col min="16" max="16" width="6.28515625" style="3" bestFit="1" customWidth="1"/>
    <col min="17" max="17" width="6.42578125" style="3" bestFit="1" customWidth="1"/>
    <col min="18" max="18" width="9.140625" style="3" bestFit="1" customWidth="1"/>
    <col min="19" max="19" width="11.28515625" style="3" bestFit="1" customWidth="1"/>
    <col min="20" max="20" width="12.5703125" style="3" bestFit="1" customWidth="1"/>
    <col min="21" max="21" width="9.140625" style="3" bestFit="1" customWidth="1"/>
    <col min="22" max="22" width="7.5703125" style="3" bestFit="1" customWidth="1"/>
    <col min="23" max="23" width="7.28515625" style="3" bestFit="1" customWidth="1"/>
    <col min="24" max="24" width="8.28515625" style="3" bestFit="1" customWidth="1"/>
    <col min="25" max="25" width="12" style="3" bestFit="1" customWidth="1"/>
    <col min="26" max="26" width="13.42578125" style="3" bestFit="1" customWidth="1"/>
    <col min="27" max="27" width="7.5703125" bestFit="1" customWidth="1"/>
    <col min="28" max="28" width="7.85546875" bestFit="1" customWidth="1"/>
    <col min="29" max="29" width="7.5703125" bestFit="1" customWidth="1"/>
    <col min="30" max="30" width="7.85546875" bestFit="1" customWidth="1"/>
    <col min="31" max="31" width="7.5703125" bestFit="1" customWidth="1"/>
    <col min="32" max="36" width="7.85546875" bestFit="1" customWidth="1"/>
  </cols>
  <sheetData>
    <row r="1" spans="3:35" ht="15" customHeight="1" x14ac:dyDescent="0.25">
      <c r="C1" s="112" t="s">
        <v>18</v>
      </c>
      <c r="D1" s="114" t="s">
        <v>725</v>
      </c>
      <c r="E1" s="115"/>
      <c r="F1" s="115"/>
      <c r="G1" s="115"/>
      <c r="H1" s="115"/>
      <c r="I1"/>
      <c r="J1"/>
      <c r="K1" s="9">
        <v>0.47826086956521741</v>
      </c>
      <c r="L1" s="87">
        <v>0.04</v>
      </c>
      <c r="M1" s="87">
        <v>3.7037037037037035E-2</v>
      </c>
      <c r="AA1" s="3"/>
      <c r="AB1" s="3"/>
      <c r="AC1" s="3"/>
    </row>
    <row r="2" spans="3:35" ht="24.75" customHeight="1" x14ac:dyDescent="0.25">
      <c r="C2" s="113"/>
      <c r="D2" s="114"/>
      <c r="E2" s="115"/>
      <c r="F2" s="115"/>
      <c r="G2" s="115"/>
      <c r="H2" s="115"/>
      <c r="I2"/>
      <c r="J2"/>
      <c r="AA2" s="3"/>
      <c r="AB2" s="3"/>
      <c r="AC2" s="3"/>
    </row>
    <row r="3" spans="3:35" x14ac:dyDescent="0.25">
      <c r="C3"/>
      <c r="D3"/>
      <c r="E3"/>
      <c r="F3"/>
      <c r="G3"/>
      <c r="H3"/>
      <c r="I3"/>
      <c r="J3"/>
      <c r="K3"/>
      <c r="L3"/>
      <c r="M3"/>
      <c r="N3"/>
      <c r="O3"/>
      <c r="P3"/>
      <c r="Q3"/>
      <c r="R3"/>
      <c r="S3"/>
      <c r="T3"/>
      <c r="U3"/>
      <c r="V3"/>
      <c r="W3"/>
      <c r="X3"/>
      <c r="Y3"/>
      <c r="Z3"/>
    </row>
    <row r="4" spans="3:35" x14ac:dyDescent="0.25">
      <c r="C4"/>
      <c r="D4"/>
      <c r="E4"/>
      <c r="F4"/>
      <c r="G4"/>
      <c r="H4"/>
      <c r="I4"/>
      <c r="J4"/>
      <c r="K4"/>
      <c r="L4"/>
      <c r="M4"/>
      <c r="N4"/>
      <c r="O4"/>
      <c r="P4"/>
      <c r="Q4"/>
      <c r="R4"/>
      <c r="S4"/>
      <c r="T4"/>
      <c r="U4"/>
      <c r="V4"/>
      <c r="W4"/>
      <c r="X4"/>
      <c r="Y4"/>
      <c r="Z4"/>
    </row>
    <row r="5" spans="3:35" x14ac:dyDescent="0.25">
      <c r="C5"/>
      <c r="D5"/>
      <c r="E5"/>
      <c r="F5"/>
      <c r="G5"/>
      <c r="H5"/>
      <c r="I5"/>
      <c r="J5"/>
      <c r="K5"/>
      <c r="L5"/>
      <c r="M5"/>
      <c r="N5"/>
      <c r="O5"/>
      <c r="P5"/>
      <c r="Q5"/>
      <c r="R5"/>
      <c r="S5"/>
      <c r="T5"/>
      <c r="U5"/>
      <c r="V5"/>
      <c r="W5"/>
      <c r="X5"/>
      <c r="Y5"/>
      <c r="Z5"/>
    </row>
    <row r="6" spans="3:35" x14ac:dyDescent="0.25">
      <c r="C6" s="33"/>
      <c r="D6" s="34"/>
      <c r="E6" s="34"/>
      <c r="F6" s="34"/>
      <c r="G6" s="34"/>
      <c r="AA6" s="3"/>
      <c r="AB6" s="3"/>
      <c r="AC6" s="3"/>
    </row>
    <row r="7" spans="3:35" x14ac:dyDescent="0.25">
      <c r="D7" s="118" t="s">
        <v>25</v>
      </c>
      <c r="E7" s="118"/>
      <c r="F7" s="118"/>
      <c r="G7" s="118" t="s">
        <v>26</v>
      </c>
      <c r="H7" s="118"/>
      <c r="I7" s="118"/>
      <c r="J7" s="118" t="s">
        <v>27</v>
      </c>
      <c r="K7" s="118"/>
      <c r="L7" s="118"/>
      <c r="M7" s="119" t="s">
        <v>28</v>
      </c>
      <c r="N7" s="120"/>
      <c r="O7" s="121"/>
      <c r="P7" s="119" t="s">
        <v>1</v>
      </c>
      <c r="Q7" s="120"/>
      <c r="R7" s="121"/>
      <c r="S7" s="119" t="s">
        <v>2</v>
      </c>
      <c r="T7" s="120"/>
      <c r="U7" s="121"/>
      <c r="V7" s="122" t="s">
        <v>3</v>
      </c>
      <c r="W7" s="123"/>
      <c r="X7" s="123"/>
      <c r="Y7" s="123"/>
      <c r="Z7" s="123"/>
    </row>
    <row r="8" spans="3:35" x14ac:dyDescent="0.25">
      <c r="C8" s="116" t="s">
        <v>4</v>
      </c>
      <c r="D8" s="124" t="s">
        <v>20</v>
      </c>
      <c r="E8" s="125"/>
      <c r="F8" s="126"/>
      <c r="G8" s="124" t="s">
        <v>5</v>
      </c>
      <c r="H8" s="125"/>
      <c r="I8" s="126"/>
      <c r="J8" s="134" t="s">
        <v>17</v>
      </c>
      <c r="K8" s="135"/>
      <c r="L8" s="145"/>
      <c r="M8" s="134" t="s">
        <v>17</v>
      </c>
      <c r="N8" s="135"/>
      <c r="O8" s="145"/>
      <c r="P8" s="134" t="s">
        <v>17</v>
      </c>
      <c r="Q8" s="135"/>
      <c r="R8" s="145"/>
      <c r="S8" s="134" t="s">
        <v>17</v>
      </c>
      <c r="T8" s="135"/>
      <c r="U8" s="145"/>
      <c r="V8" s="134" t="s">
        <v>17</v>
      </c>
      <c r="W8" s="135"/>
      <c r="X8" s="135"/>
      <c r="Y8" s="135"/>
      <c r="Z8" s="145"/>
      <c r="AA8" s="127" t="s">
        <v>6</v>
      </c>
      <c r="AB8" s="128"/>
      <c r="AC8" s="127" t="s">
        <v>7</v>
      </c>
      <c r="AD8" s="129"/>
      <c r="AE8" s="127" t="s">
        <v>8</v>
      </c>
      <c r="AF8" s="129"/>
    </row>
    <row r="9" spans="3:35" x14ac:dyDescent="0.25">
      <c r="C9" s="117"/>
      <c r="D9" s="4" t="s">
        <v>9</v>
      </c>
      <c r="E9" s="4" t="s">
        <v>10</v>
      </c>
      <c r="F9" s="4" t="s">
        <v>11</v>
      </c>
      <c r="G9" s="4" t="s">
        <v>9</v>
      </c>
      <c r="H9" s="4" t="s">
        <v>10</v>
      </c>
      <c r="I9" s="4" t="s">
        <v>11</v>
      </c>
      <c r="J9" s="4" t="s">
        <v>9</v>
      </c>
      <c r="K9" s="4" t="s">
        <v>10</v>
      </c>
      <c r="L9" s="4" t="s">
        <v>11</v>
      </c>
      <c r="M9" s="4" t="s">
        <v>9</v>
      </c>
      <c r="N9" s="4" t="s">
        <v>10</v>
      </c>
      <c r="O9" s="4" t="s">
        <v>11</v>
      </c>
      <c r="P9" s="4" t="s">
        <v>9</v>
      </c>
      <c r="Q9" s="4" t="s">
        <v>10</v>
      </c>
      <c r="R9" s="4" t="s">
        <v>11</v>
      </c>
      <c r="S9" s="4" t="s">
        <v>9</v>
      </c>
      <c r="T9" s="4" t="s">
        <v>10</v>
      </c>
      <c r="U9" s="4" t="s">
        <v>11</v>
      </c>
      <c r="V9" s="4" t="s">
        <v>9</v>
      </c>
      <c r="W9" s="4" t="s">
        <v>10</v>
      </c>
      <c r="X9" s="4" t="s">
        <v>11</v>
      </c>
      <c r="Y9" s="4" t="s">
        <v>14</v>
      </c>
      <c r="Z9" s="4" t="s">
        <v>15</v>
      </c>
      <c r="AA9" s="4" t="s">
        <v>16</v>
      </c>
      <c r="AB9" s="4" t="s">
        <v>11</v>
      </c>
      <c r="AC9" s="4" t="s">
        <v>16</v>
      </c>
      <c r="AD9" s="4" t="s">
        <v>11</v>
      </c>
      <c r="AE9" s="4" t="s">
        <v>16</v>
      </c>
      <c r="AF9" s="4" t="s">
        <v>11</v>
      </c>
    </row>
    <row r="10" spans="3:35" x14ac:dyDescent="0.25">
      <c r="C10" s="5" t="s">
        <v>18</v>
      </c>
      <c r="D10" s="6">
        <v>48.68</v>
      </c>
      <c r="E10" s="53">
        <v>787.55227608874293</v>
      </c>
      <c r="F10" s="6">
        <v>38338.044800000003</v>
      </c>
      <c r="G10" s="6">
        <v>55.925925925925924</v>
      </c>
      <c r="H10" s="53">
        <v>840.7838675496688</v>
      </c>
      <c r="I10" s="6">
        <v>47021.616296296292</v>
      </c>
      <c r="J10" s="6">
        <v>137</v>
      </c>
      <c r="K10" s="53">
        <v>395.12620437956213</v>
      </c>
      <c r="L10" s="6">
        <v>54132.290000000008</v>
      </c>
      <c r="M10" s="6">
        <v>64.967534363221432</v>
      </c>
      <c r="N10" s="53">
        <v>1139.9721739922313</v>
      </c>
      <c r="O10" s="6">
        <v>74061.181386956523</v>
      </c>
      <c r="P10" s="6">
        <v>3151</v>
      </c>
      <c r="Q10" s="6">
        <v>395.12620437956207</v>
      </c>
      <c r="R10" s="6">
        <v>1245042.6700000002</v>
      </c>
      <c r="S10" s="6">
        <v>1494.253290354093</v>
      </c>
      <c r="T10" s="6">
        <v>1139.9721739922313</v>
      </c>
      <c r="U10" s="6">
        <v>1703407.1719000002</v>
      </c>
      <c r="V10" s="6">
        <v>72.032465636778568</v>
      </c>
      <c r="W10" s="6">
        <v>-744.84596961266925</v>
      </c>
      <c r="X10" s="6">
        <v>-19928.891386956515</v>
      </c>
      <c r="Y10" s="6">
        <v>-102043.89783693569</v>
      </c>
      <c r="Z10" s="6">
        <v>82115.006449979162</v>
      </c>
      <c r="AA10" s="8">
        <v>2.1087455656552767</v>
      </c>
      <c r="AB10" s="8">
        <v>0.73091313136322256</v>
      </c>
      <c r="AC10" s="8">
        <v>1.8142974527526703</v>
      </c>
      <c r="AD10" s="8">
        <v>0.41197315310143318</v>
      </c>
      <c r="AE10" s="8">
        <v>1.4496688741721855</v>
      </c>
      <c r="AF10" s="8">
        <v>0.15122137994783894</v>
      </c>
    </row>
    <row r="11" spans="3:35" x14ac:dyDescent="0.25">
      <c r="C11" s="41"/>
      <c r="D11" s="42"/>
      <c r="E11" s="43"/>
      <c r="F11" s="42"/>
      <c r="G11" s="42"/>
      <c r="H11" s="43"/>
      <c r="I11" s="42"/>
      <c r="J11" s="42"/>
      <c r="K11" s="44"/>
      <c r="L11" s="42"/>
      <c r="M11" s="42"/>
      <c r="N11" s="43"/>
      <c r="O11" s="42"/>
      <c r="P11" s="42"/>
      <c r="Q11" s="43"/>
      <c r="R11" s="42"/>
      <c r="S11" s="42"/>
      <c r="T11" s="43"/>
      <c r="U11" s="42"/>
      <c r="V11" s="45"/>
      <c r="W11" s="45"/>
      <c r="X11" s="45"/>
      <c r="Y11" s="42"/>
      <c r="Z11" s="42"/>
      <c r="AA11" s="42"/>
      <c r="AB11" s="46"/>
      <c r="AC11" s="46"/>
      <c r="AD11" s="47"/>
      <c r="AE11" s="47"/>
      <c r="AF11" s="47"/>
      <c r="AG11" s="47"/>
      <c r="AH11" s="47"/>
      <c r="AI11" s="47"/>
    </row>
    <row r="12" spans="3:35" x14ac:dyDescent="0.25">
      <c r="C12" s="41"/>
      <c r="D12" s="68"/>
      <c r="E12" s="69"/>
      <c r="F12" s="68"/>
      <c r="G12" s="68"/>
      <c r="H12" s="69"/>
      <c r="I12" s="68"/>
      <c r="J12" s="68"/>
      <c r="K12" s="68"/>
      <c r="L12" s="68"/>
      <c r="M12" s="68"/>
      <c r="N12" s="68"/>
      <c r="O12" s="68"/>
      <c r="P12" s="68"/>
      <c r="Q12" s="69"/>
      <c r="R12" s="50"/>
      <c r="S12" s="70"/>
      <c r="T12" s="69"/>
      <c r="U12" s="68"/>
      <c r="V12" s="49"/>
      <c r="W12" s="49"/>
      <c r="X12" s="50"/>
      <c r="Y12" s="50"/>
      <c r="Z12" s="50"/>
      <c r="AA12" s="50"/>
      <c r="AB12" s="50"/>
      <c r="AC12" s="50"/>
      <c r="AD12" s="50"/>
      <c r="AE12" s="50"/>
    </row>
    <row r="13" spans="3:35" x14ac:dyDescent="0.25">
      <c r="C13" s="24"/>
      <c r="D13" s="118" t="s">
        <v>30</v>
      </c>
      <c r="E13" s="118"/>
      <c r="F13" s="118"/>
      <c r="G13" s="118" t="s">
        <v>31</v>
      </c>
      <c r="H13" s="118"/>
      <c r="I13" s="118"/>
      <c r="J13" s="118" t="s">
        <v>27</v>
      </c>
      <c r="K13" s="118"/>
      <c r="L13" s="118"/>
      <c r="M13" s="119" t="s">
        <v>28</v>
      </c>
      <c r="N13" s="120"/>
      <c r="O13" s="121"/>
      <c r="P13" s="119" t="s">
        <v>32</v>
      </c>
      <c r="Q13" s="120"/>
      <c r="R13" s="121"/>
      <c r="S13" s="119" t="s">
        <v>2</v>
      </c>
      <c r="T13" s="120"/>
      <c r="U13" s="121"/>
      <c r="V13" s="122" t="s">
        <v>3</v>
      </c>
      <c r="W13" s="123"/>
      <c r="X13" s="123"/>
      <c r="Y13" s="123"/>
      <c r="Z13" s="123"/>
    </row>
    <row r="14" spans="3:35" x14ac:dyDescent="0.25">
      <c r="D14" s="133" t="s">
        <v>20</v>
      </c>
      <c r="E14" s="133" t="s">
        <v>5</v>
      </c>
      <c r="F14" s="133" t="s">
        <v>5</v>
      </c>
      <c r="G14" s="133" t="s">
        <v>5</v>
      </c>
      <c r="H14" s="133" t="s">
        <v>5</v>
      </c>
      <c r="I14" s="133" t="s">
        <v>5</v>
      </c>
      <c r="J14" s="134" t="s">
        <v>17</v>
      </c>
      <c r="K14" s="135"/>
      <c r="L14" s="145"/>
      <c r="M14" s="134" t="s">
        <v>17</v>
      </c>
      <c r="N14" s="135"/>
      <c r="O14" s="145"/>
      <c r="P14" s="134" t="s">
        <v>17</v>
      </c>
      <c r="Q14" s="135"/>
      <c r="R14" s="145"/>
      <c r="S14" s="134" t="s">
        <v>17</v>
      </c>
      <c r="T14" s="135"/>
      <c r="U14" s="145"/>
      <c r="V14" s="134" t="s">
        <v>17</v>
      </c>
      <c r="W14" s="135"/>
      <c r="X14" s="135"/>
      <c r="Y14" s="135"/>
      <c r="Z14" s="145"/>
      <c r="AA14" s="127" t="s">
        <v>6</v>
      </c>
      <c r="AB14" s="128"/>
      <c r="AC14" s="127" t="s">
        <v>7</v>
      </c>
      <c r="AD14" s="129"/>
      <c r="AE14" s="127" t="s">
        <v>8</v>
      </c>
      <c r="AF14" s="129"/>
    </row>
    <row r="15" spans="3:35" x14ac:dyDescent="0.25">
      <c r="C15" s="97" t="s">
        <v>33</v>
      </c>
      <c r="D15" s="4" t="s">
        <v>9</v>
      </c>
      <c r="E15" s="4" t="s">
        <v>10</v>
      </c>
      <c r="F15" s="4" t="s">
        <v>11</v>
      </c>
      <c r="G15" s="4" t="s">
        <v>9</v>
      </c>
      <c r="H15" s="4" t="s">
        <v>10</v>
      </c>
      <c r="I15" s="4" t="s">
        <v>11</v>
      </c>
      <c r="J15" s="4" t="s">
        <v>9</v>
      </c>
      <c r="K15" s="4" t="s">
        <v>10</v>
      </c>
      <c r="L15" s="4" t="s">
        <v>11</v>
      </c>
      <c r="M15" s="4" t="s">
        <v>9</v>
      </c>
      <c r="N15" s="4" t="s">
        <v>10</v>
      </c>
      <c r="O15" s="4" t="s">
        <v>11</v>
      </c>
      <c r="P15" s="4" t="s">
        <v>9</v>
      </c>
      <c r="Q15" s="4" t="s">
        <v>10</v>
      </c>
      <c r="R15" s="4" t="s">
        <v>11</v>
      </c>
      <c r="S15" s="4" t="s">
        <v>9</v>
      </c>
      <c r="T15" s="4" t="s">
        <v>10</v>
      </c>
      <c r="U15" s="4" t="s">
        <v>11</v>
      </c>
      <c r="V15" s="4" t="s">
        <v>9</v>
      </c>
      <c r="W15" s="4" t="s">
        <v>10</v>
      </c>
      <c r="X15" s="4" t="s">
        <v>11</v>
      </c>
      <c r="Y15" s="4" t="s">
        <v>14</v>
      </c>
      <c r="Z15" s="4" t="s">
        <v>15</v>
      </c>
      <c r="AA15" s="4" t="s">
        <v>16</v>
      </c>
      <c r="AB15" s="4" t="s">
        <v>11</v>
      </c>
      <c r="AC15" s="4" t="s">
        <v>16</v>
      </c>
      <c r="AD15" s="4" t="s">
        <v>11</v>
      </c>
      <c r="AE15" s="4" t="s">
        <v>16</v>
      </c>
      <c r="AF15" s="4" t="s">
        <v>11</v>
      </c>
    </row>
    <row r="16" spans="3:35" x14ac:dyDescent="0.25">
      <c r="C16" s="52" t="s">
        <v>729</v>
      </c>
      <c r="D16" s="15">
        <v>2.7600000000000002</v>
      </c>
      <c r="E16" s="57">
        <v>1274.2008695652185</v>
      </c>
      <c r="F16" s="15">
        <v>3516.7944000000034</v>
      </c>
      <c r="G16" s="15">
        <v>2.5925925925925926</v>
      </c>
      <c r="H16" s="57">
        <v>1586.6561428571442</v>
      </c>
      <c r="I16" s="15">
        <v>4113.5529629629664</v>
      </c>
      <c r="J16" s="15">
        <v>3</v>
      </c>
      <c r="K16" s="57">
        <v>531.73333333333335</v>
      </c>
      <c r="L16" s="15">
        <v>1595.2</v>
      </c>
      <c r="M16" s="6">
        <v>5.5304347826086957</v>
      </c>
      <c r="N16" s="53">
        <v>1550</v>
      </c>
      <c r="O16" s="6">
        <v>8572.173913043478</v>
      </c>
      <c r="P16" s="6">
        <v>69</v>
      </c>
      <c r="Q16" s="53">
        <v>531.73333333333335</v>
      </c>
      <c r="R16" s="6">
        <v>36689.599999999999</v>
      </c>
      <c r="S16" s="6">
        <v>127.2</v>
      </c>
      <c r="T16" s="6">
        <v>1550</v>
      </c>
      <c r="U16" s="6">
        <v>197160</v>
      </c>
      <c r="V16" s="6">
        <v>-2.5304347826086957</v>
      </c>
      <c r="W16" s="6">
        <v>-1018.2666666666667</v>
      </c>
      <c r="X16" s="6">
        <v>-6976.9739130434782</v>
      </c>
      <c r="Y16" s="6">
        <v>-3054.8</v>
      </c>
      <c r="Z16" s="6">
        <v>-3922.1739130434785</v>
      </c>
      <c r="AA16" s="8">
        <v>0.54245283018867929</v>
      </c>
      <c r="AB16" s="8">
        <v>0.1860904848853723</v>
      </c>
      <c r="AC16" s="8">
        <v>8.6956521739130349E-2</v>
      </c>
      <c r="AD16" s="8">
        <v>-0.54640510119101693</v>
      </c>
      <c r="AE16" s="8">
        <v>0.15714285714285717</v>
      </c>
      <c r="AF16" s="8">
        <v>-0.61220871242873531</v>
      </c>
    </row>
    <row r="17" spans="3:32" s="16" customFormat="1" ht="15" customHeight="1" x14ac:dyDescent="0.25">
      <c r="C17" s="52" t="s">
        <v>304</v>
      </c>
      <c r="D17" s="15">
        <v>4</v>
      </c>
      <c r="E17" s="57">
        <v>408.97889999999978</v>
      </c>
      <c r="F17" s="15">
        <v>1635.9155999999991</v>
      </c>
      <c r="G17" s="15">
        <v>4.8518518518518512</v>
      </c>
      <c r="H17" s="57">
        <v>371.88671755725198</v>
      </c>
      <c r="I17" s="15">
        <v>1804.3392592592595</v>
      </c>
      <c r="J17" s="15">
        <v>2</v>
      </c>
      <c r="K17" s="57">
        <v>413.29499999999996</v>
      </c>
      <c r="L17" s="15">
        <v>826.58999999999992</v>
      </c>
      <c r="M17" s="6">
        <v>5.5999999999999988</v>
      </c>
      <c r="N17" s="53">
        <v>430</v>
      </c>
      <c r="O17" s="6">
        <v>2407.9999999999995</v>
      </c>
      <c r="P17" s="6">
        <v>46</v>
      </c>
      <c r="Q17" s="53">
        <v>413.29500000000002</v>
      </c>
      <c r="R17" s="6">
        <v>19011.57</v>
      </c>
      <c r="S17" s="6">
        <v>0</v>
      </c>
      <c r="T17" s="6" t="s">
        <v>364</v>
      </c>
      <c r="U17" s="6">
        <v>0</v>
      </c>
      <c r="V17" s="6">
        <v>-3.5999999999999988</v>
      </c>
      <c r="W17" s="6">
        <v>-16.705000000000041</v>
      </c>
      <c r="X17" s="6">
        <v>-1581.4099999999996</v>
      </c>
      <c r="Y17" s="6">
        <v>-33.410000000000082</v>
      </c>
      <c r="Z17" s="6">
        <v>-1547.9999999999995</v>
      </c>
      <c r="AA17" s="8">
        <v>0.35714285714285721</v>
      </c>
      <c r="AB17" s="8">
        <v>0.34326827242524921</v>
      </c>
      <c r="AC17" s="8">
        <v>-0.5</v>
      </c>
      <c r="AD17" s="8">
        <v>-0.49472332191220603</v>
      </c>
      <c r="AE17" s="8">
        <v>-0.58778625954198471</v>
      </c>
      <c r="AF17" s="8">
        <v>-0.54188770445567858</v>
      </c>
    </row>
    <row r="18" spans="3:32" s="16" customFormat="1" ht="15" customHeight="1" x14ac:dyDescent="0.25">
      <c r="C18" s="52" t="s">
        <v>49</v>
      </c>
      <c r="D18" s="15">
        <v>8.84</v>
      </c>
      <c r="E18" s="57">
        <v>251.39004524886877</v>
      </c>
      <c r="F18" s="15">
        <v>2222.288</v>
      </c>
      <c r="G18" s="15">
        <v>8.1851851851851851</v>
      </c>
      <c r="H18" s="57">
        <v>266.78968325791851</v>
      </c>
      <c r="I18" s="15">
        <v>2183.7229629629628</v>
      </c>
      <c r="J18" s="15">
        <v>13</v>
      </c>
      <c r="K18" s="57">
        <v>407.04692307692306</v>
      </c>
      <c r="L18" s="15">
        <v>5291.61</v>
      </c>
      <c r="M18" s="6">
        <v>0</v>
      </c>
      <c r="N18" s="53" t="s">
        <v>364</v>
      </c>
      <c r="O18" s="6">
        <v>0</v>
      </c>
      <c r="P18" s="6">
        <v>299</v>
      </c>
      <c r="Q18" s="53">
        <v>407.04692307692306</v>
      </c>
      <c r="R18" s="6">
        <v>121707.03</v>
      </c>
      <c r="S18" s="6">
        <v>0</v>
      </c>
      <c r="T18" s="6" t="s">
        <v>364</v>
      </c>
      <c r="U18" s="6">
        <v>0</v>
      </c>
      <c r="V18" s="6">
        <v>13</v>
      </c>
      <c r="W18" s="6" t="s">
        <v>364</v>
      </c>
      <c r="X18" s="6">
        <v>5291.61</v>
      </c>
      <c r="Y18" s="6" t="s">
        <v>364</v>
      </c>
      <c r="Z18" s="6" t="s">
        <v>364</v>
      </c>
      <c r="AA18" s="8" t="s">
        <v>364</v>
      </c>
      <c r="AB18" s="8" t="s">
        <v>364</v>
      </c>
      <c r="AC18" s="8">
        <v>0.4705882352941177</v>
      </c>
      <c r="AD18" s="8">
        <v>1.3811540178410717</v>
      </c>
      <c r="AE18" s="8">
        <v>0.58823529411764708</v>
      </c>
      <c r="AF18" s="8">
        <v>1.4232057315641042</v>
      </c>
    </row>
    <row r="19" spans="3:32" x14ac:dyDescent="0.25">
      <c r="C19" s="52" t="s">
        <v>154</v>
      </c>
      <c r="D19" s="15">
        <v>15.36</v>
      </c>
      <c r="E19" s="57">
        <v>637.98882812500005</v>
      </c>
      <c r="F19" s="15">
        <v>9799.5084000000006</v>
      </c>
      <c r="G19" s="15">
        <v>17.296296296296294</v>
      </c>
      <c r="H19" s="57">
        <v>775.44278372590986</v>
      </c>
      <c r="I19" s="15">
        <v>13412.288148148144</v>
      </c>
      <c r="J19" s="15">
        <v>19</v>
      </c>
      <c r="K19" s="57">
        <v>927.10210526315802</v>
      </c>
      <c r="L19" s="15">
        <v>17614.940000000002</v>
      </c>
      <c r="M19" s="6">
        <v>19.34782608695652</v>
      </c>
      <c r="N19" s="53">
        <v>931.79775280898878</v>
      </c>
      <c r="O19" s="6">
        <v>18028.260869565216</v>
      </c>
      <c r="P19" s="6">
        <v>437</v>
      </c>
      <c r="Q19" s="53">
        <v>927.10210526315802</v>
      </c>
      <c r="R19" s="6">
        <v>405143.62000000005</v>
      </c>
      <c r="S19" s="6">
        <v>445</v>
      </c>
      <c r="T19" s="6">
        <v>931.79775280898878</v>
      </c>
      <c r="U19" s="6">
        <v>414650</v>
      </c>
      <c r="V19" s="6">
        <v>-0.34782608695651973</v>
      </c>
      <c r="W19" s="6">
        <v>-4.6956475458307523</v>
      </c>
      <c r="X19" s="6">
        <v>-413.3208695652138</v>
      </c>
      <c r="Y19" s="6">
        <v>-89.217303370784293</v>
      </c>
      <c r="Z19" s="6">
        <v>-324.10356619442899</v>
      </c>
      <c r="AA19" s="8">
        <v>0.98202247191011249</v>
      </c>
      <c r="AB19" s="8">
        <v>0.97707372482816857</v>
      </c>
      <c r="AC19" s="8">
        <v>0.23697916666666671</v>
      </c>
      <c r="AD19" s="8">
        <v>0.79753302726900066</v>
      </c>
      <c r="AE19" s="8">
        <v>9.850107066381171E-2</v>
      </c>
      <c r="AF19" s="8">
        <v>0.31334339118207249</v>
      </c>
    </row>
    <row r="20" spans="3:32" ht="15" customHeight="1" x14ac:dyDescent="0.25">
      <c r="C20" s="52" t="s">
        <v>214</v>
      </c>
      <c r="D20" s="15">
        <v>3.72</v>
      </c>
      <c r="E20" s="57">
        <v>1867.1027956989246</v>
      </c>
      <c r="F20" s="15">
        <v>6945.6224000000002</v>
      </c>
      <c r="G20" s="15">
        <v>4.7037037037037033</v>
      </c>
      <c r="H20" s="57">
        <v>1618.1720472440945</v>
      </c>
      <c r="I20" s="15">
        <v>7611.4018518518515</v>
      </c>
      <c r="J20" s="15">
        <v>30</v>
      </c>
      <c r="K20" s="57">
        <v>241.92166666666665</v>
      </c>
      <c r="L20" s="15">
        <v>7257.65</v>
      </c>
      <c r="M20" s="6">
        <v>7.2173913043478253</v>
      </c>
      <c r="N20" s="53">
        <v>1442.4096385542171</v>
      </c>
      <c r="O20" s="6">
        <v>10410.434782608696</v>
      </c>
      <c r="P20" s="6">
        <v>690</v>
      </c>
      <c r="Q20" s="53">
        <v>241.92166666666665</v>
      </c>
      <c r="R20" s="6">
        <v>166925.94999999998</v>
      </c>
      <c r="S20" s="6">
        <v>0</v>
      </c>
      <c r="T20" s="6" t="s">
        <v>364</v>
      </c>
      <c r="U20" s="6">
        <v>0</v>
      </c>
      <c r="V20" s="6">
        <v>22.782608695652176</v>
      </c>
      <c r="W20" s="6">
        <v>-1200.4879718875504</v>
      </c>
      <c r="X20" s="6">
        <v>-3152.7847826086963</v>
      </c>
      <c r="Y20" s="6">
        <v>-36014.639156626516</v>
      </c>
      <c r="Z20" s="6">
        <v>32861.854374017814</v>
      </c>
      <c r="AA20" s="8">
        <v>4.1566265060240966</v>
      </c>
      <c r="AB20" s="8">
        <v>0.69715147844971592</v>
      </c>
      <c r="AC20" s="8">
        <v>7.064516129032258</v>
      </c>
      <c r="AD20" s="8">
        <v>4.4924354079484571E-2</v>
      </c>
      <c r="AE20" s="8">
        <v>5.3779527559055129</v>
      </c>
      <c r="AF20" s="8">
        <v>-4.647657011642134E-2</v>
      </c>
    </row>
    <row r="21" spans="3:32" ht="15" customHeight="1" x14ac:dyDescent="0.25">
      <c r="C21" s="52" t="s">
        <v>278</v>
      </c>
      <c r="D21" s="15">
        <v>4.16</v>
      </c>
      <c r="E21" s="57">
        <v>679.28894230769231</v>
      </c>
      <c r="F21" s="15">
        <v>2825.8420000000001</v>
      </c>
      <c r="G21" s="15">
        <v>4.1481481481481479</v>
      </c>
      <c r="H21" s="57">
        <v>898.03107142857141</v>
      </c>
      <c r="I21" s="15">
        <v>3725.1659259259254</v>
      </c>
      <c r="J21" s="15">
        <v>3</v>
      </c>
      <c r="K21" s="57">
        <v>133.33333333333334</v>
      </c>
      <c r="L21" s="15">
        <v>400</v>
      </c>
      <c r="M21" s="6">
        <v>5.6295652173913053</v>
      </c>
      <c r="N21" s="53">
        <v>870</v>
      </c>
      <c r="O21" s="6">
        <v>4897.7217391304357</v>
      </c>
      <c r="P21" s="6">
        <v>69</v>
      </c>
      <c r="Q21" s="53">
        <v>133.33333333333334</v>
      </c>
      <c r="R21" s="6">
        <v>9200</v>
      </c>
      <c r="S21" s="6">
        <v>129.48000000000002</v>
      </c>
      <c r="T21" s="6">
        <v>870</v>
      </c>
      <c r="U21" s="6">
        <v>112647.60000000002</v>
      </c>
      <c r="V21" s="6">
        <v>-2.6295652173913053</v>
      </c>
      <c r="W21" s="6">
        <v>-736.66666666666663</v>
      </c>
      <c r="X21" s="6">
        <v>-4497.7217391304357</v>
      </c>
      <c r="Y21" s="6">
        <v>-2210</v>
      </c>
      <c r="Z21" s="6">
        <v>-2287.7217391304357</v>
      </c>
      <c r="AA21" s="8">
        <v>0.53290083410565325</v>
      </c>
      <c r="AB21" s="8">
        <v>8.1670625916575215E-2</v>
      </c>
      <c r="AC21" s="8">
        <v>-0.27884615384615385</v>
      </c>
      <c r="AD21" s="8">
        <v>-0.8584492692797403</v>
      </c>
      <c r="AE21" s="8">
        <v>-0.27678571428571425</v>
      </c>
      <c r="AF21" s="8">
        <v>-0.89262223268603103</v>
      </c>
    </row>
    <row r="22" spans="3:32" x14ac:dyDescent="0.25">
      <c r="C22" s="52" t="s">
        <v>306</v>
      </c>
      <c r="D22" s="15">
        <v>1.1599999999999999</v>
      </c>
      <c r="E22" s="57">
        <v>3003.2665517241385</v>
      </c>
      <c r="F22" s="15">
        <v>3483.7892000000006</v>
      </c>
      <c r="G22" s="15">
        <v>1.8518518518518516</v>
      </c>
      <c r="H22" s="57">
        <v>2284.5516000000002</v>
      </c>
      <c r="I22" s="15">
        <v>4230.6511111111113</v>
      </c>
      <c r="J22" s="15">
        <v>21</v>
      </c>
      <c r="K22" s="57">
        <v>142.85714285714286</v>
      </c>
      <c r="L22" s="15">
        <v>3000</v>
      </c>
      <c r="M22" s="6">
        <v>3.245317391304348</v>
      </c>
      <c r="N22" s="53">
        <v>2109.7286659173146</v>
      </c>
      <c r="O22" s="6">
        <v>6846.7391304347821</v>
      </c>
      <c r="P22" s="6">
        <v>483</v>
      </c>
      <c r="Q22" s="53">
        <v>142.85714285714286</v>
      </c>
      <c r="R22" s="6">
        <v>69000</v>
      </c>
      <c r="S22" s="6">
        <v>74.642300000000006</v>
      </c>
      <c r="T22" s="6">
        <v>2109.7286659173146</v>
      </c>
      <c r="U22" s="6">
        <v>157475</v>
      </c>
      <c r="V22" s="6">
        <v>17.754682608695653</v>
      </c>
      <c r="W22" s="6">
        <v>-1966.8715230601717</v>
      </c>
      <c r="X22" s="6">
        <v>-3846.7391304347821</v>
      </c>
      <c r="Y22" s="6">
        <v>-41304.301984263606</v>
      </c>
      <c r="Z22" s="6">
        <v>37457.562853828829</v>
      </c>
      <c r="AA22" s="8">
        <v>6.4708616963839534</v>
      </c>
      <c r="AB22" s="8">
        <v>0.43816478806159709</v>
      </c>
      <c r="AC22" s="8">
        <v>17.103448275862071</v>
      </c>
      <c r="AD22" s="8">
        <v>-0.13886867781781989</v>
      </c>
      <c r="AE22" s="8">
        <v>10.340000000000002</v>
      </c>
      <c r="AF22" s="8">
        <v>-0.29088929311117334</v>
      </c>
    </row>
    <row r="23" spans="3:32" ht="15" customHeight="1" x14ac:dyDescent="0.25">
      <c r="C23" s="52" t="s">
        <v>310</v>
      </c>
      <c r="D23" s="15">
        <v>0</v>
      </c>
      <c r="E23" s="57" t="s">
        <v>364</v>
      </c>
      <c r="F23" s="15">
        <v>0</v>
      </c>
      <c r="G23" s="15">
        <v>0</v>
      </c>
      <c r="H23" s="57" t="s">
        <v>364</v>
      </c>
      <c r="I23" s="15">
        <v>0</v>
      </c>
      <c r="J23" s="15">
        <v>2</v>
      </c>
      <c r="K23" s="57">
        <v>1800</v>
      </c>
      <c r="L23" s="15">
        <v>3600</v>
      </c>
      <c r="M23" s="6">
        <v>1.392575812933869</v>
      </c>
      <c r="N23" s="53">
        <v>5950.0000000000027</v>
      </c>
      <c r="O23" s="6">
        <v>8285.8260869565238</v>
      </c>
      <c r="P23" s="6">
        <v>46</v>
      </c>
      <c r="Q23" s="53">
        <v>1800</v>
      </c>
      <c r="R23" s="6">
        <v>82800</v>
      </c>
      <c r="S23" s="6">
        <v>32.029243697478989</v>
      </c>
      <c r="T23" s="6">
        <v>5950.0000000000018</v>
      </c>
      <c r="U23" s="6">
        <v>190574.00000000006</v>
      </c>
      <c r="V23" s="6">
        <v>0.60742418706613099</v>
      </c>
      <c r="W23" s="6">
        <v>-4150.0000000000027</v>
      </c>
      <c r="X23" s="6">
        <v>-4685.8260869565238</v>
      </c>
      <c r="Y23" s="6">
        <v>-8300.0000000000055</v>
      </c>
      <c r="Z23" s="6">
        <v>3614.1739130434812</v>
      </c>
      <c r="AA23" s="8">
        <v>1.4361875177096564</v>
      </c>
      <c r="AB23" s="8">
        <v>0.43447689611384543</v>
      </c>
      <c r="AC23" s="8" t="s">
        <v>364</v>
      </c>
      <c r="AD23" s="8" t="s">
        <v>364</v>
      </c>
      <c r="AE23" s="8" t="s">
        <v>364</v>
      </c>
      <c r="AF23" s="8" t="s">
        <v>364</v>
      </c>
    </row>
    <row r="24" spans="3:32" ht="15" customHeight="1" x14ac:dyDescent="0.25">
      <c r="C24" s="52" t="s">
        <v>309</v>
      </c>
      <c r="D24" s="15">
        <v>0</v>
      </c>
      <c r="E24" s="57" t="s">
        <v>364</v>
      </c>
      <c r="F24" s="15">
        <v>0</v>
      </c>
      <c r="G24" s="15">
        <v>0</v>
      </c>
      <c r="H24" s="57" t="s">
        <v>364</v>
      </c>
      <c r="I24" s="15">
        <v>0</v>
      </c>
      <c r="J24" s="15">
        <v>2</v>
      </c>
      <c r="K24" s="57">
        <v>82.5</v>
      </c>
      <c r="L24" s="15">
        <v>165</v>
      </c>
      <c r="M24" s="6">
        <v>0.4043074710743802</v>
      </c>
      <c r="N24" s="53">
        <v>2875.3614097478071</v>
      </c>
      <c r="O24" s="6">
        <v>1162.5301000000006</v>
      </c>
      <c r="P24" s="6">
        <v>46</v>
      </c>
      <c r="Q24" s="53">
        <v>82.5</v>
      </c>
      <c r="R24" s="6">
        <v>3795</v>
      </c>
      <c r="S24" s="6">
        <v>9.2990718347107446</v>
      </c>
      <c r="T24" s="6">
        <v>2875.3614097478076</v>
      </c>
      <c r="U24" s="6">
        <v>26738.192300000017</v>
      </c>
      <c r="V24" s="6">
        <v>1.5956925289256199</v>
      </c>
      <c r="W24" s="6">
        <v>-2792.8614097478071</v>
      </c>
      <c r="X24" s="6">
        <v>-997.53010000000063</v>
      </c>
      <c r="Y24" s="6">
        <v>-5585.7228194956142</v>
      </c>
      <c r="Z24" s="6">
        <v>4588.1927194956133</v>
      </c>
      <c r="AA24" s="8">
        <v>4.9467302562708797</v>
      </c>
      <c r="AB24" s="8">
        <v>0.14193180890542095</v>
      </c>
      <c r="AC24" s="8" t="s">
        <v>364</v>
      </c>
      <c r="AD24" s="8" t="s">
        <v>364</v>
      </c>
      <c r="AE24" s="8" t="s">
        <v>364</v>
      </c>
      <c r="AF24" s="8" t="s">
        <v>364</v>
      </c>
    </row>
    <row r="25" spans="3:32" x14ac:dyDescent="0.25">
      <c r="C25" s="52" t="s">
        <v>307</v>
      </c>
      <c r="D25" s="15">
        <v>0</v>
      </c>
      <c r="E25" s="57" t="s">
        <v>364</v>
      </c>
      <c r="F25" s="15">
        <v>0</v>
      </c>
      <c r="G25" s="15">
        <v>7.407407407407407E-2</v>
      </c>
      <c r="H25" s="57">
        <v>2799</v>
      </c>
      <c r="I25" s="15">
        <v>207.33333333333331</v>
      </c>
      <c r="J25" s="15">
        <v>5</v>
      </c>
      <c r="K25" s="57">
        <v>0</v>
      </c>
      <c r="L25" s="15">
        <v>0</v>
      </c>
      <c r="M25" s="6">
        <v>0.83999604743083067</v>
      </c>
      <c r="N25" s="53">
        <v>1650.0077640116872</v>
      </c>
      <c r="O25" s="6">
        <v>1386</v>
      </c>
      <c r="P25" s="6">
        <v>115</v>
      </c>
      <c r="Q25" s="53">
        <v>0</v>
      </c>
      <c r="R25" s="6">
        <v>0</v>
      </c>
      <c r="S25" s="6">
        <v>19.319909090909107</v>
      </c>
      <c r="T25" s="6">
        <v>1650.007764011687</v>
      </c>
      <c r="U25" s="6">
        <v>31878</v>
      </c>
      <c r="V25" s="6">
        <v>4.160003952569169</v>
      </c>
      <c r="W25" s="6">
        <v>-1650.0077640116872</v>
      </c>
      <c r="X25" s="6">
        <v>-1386</v>
      </c>
      <c r="Y25" s="6">
        <v>-8250.0388200584366</v>
      </c>
      <c r="Z25" s="6">
        <v>6864.0388200584357</v>
      </c>
      <c r="AA25" s="8">
        <v>5.9524089610811224</v>
      </c>
      <c r="AB25" s="8">
        <v>0</v>
      </c>
      <c r="AC25" s="8" t="s">
        <v>364</v>
      </c>
      <c r="AD25" s="8" t="s">
        <v>364</v>
      </c>
      <c r="AE25" s="8">
        <v>66.5</v>
      </c>
      <c r="AF25" s="8">
        <v>-1</v>
      </c>
    </row>
    <row r="26" spans="3:32" ht="15" customHeight="1" x14ac:dyDescent="0.25">
      <c r="C26" s="52" t="s">
        <v>222</v>
      </c>
      <c r="D26" s="15">
        <v>0.68</v>
      </c>
      <c r="E26" s="57">
        <v>2218.6764705882351</v>
      </c>
      <c r="F26" s="15">
        <v>1508.7</v>
      </c>
      <c r="G26" s="15">
        <v>1.4444444444444444</v>
      </c>
      <c r="H26" s="57">
        <v>1477.8756410256412</v>
      </c>
      <c r="I26" s="15">
        <v>2134.7092592592594</v>
      </c>
      <c r="J26" s="15">
        <v>8</v>
      </c>
      <c r="K26" s="57">
        <v>0</v>
      </c>
      <c r="L26" s="15">
        <v>0</v>
      </c>
      <c r="M26" s="6">
        <v>1.5606407322654454</v>
      </c>
      <c r="N26" s="53">
        <v>1900.0000000000011</v>
      </c>
      <c r="O26" s="6">
        <v>2965.217391304348</v>
      </c>
      <c r="P26" s="6">
        <v>184</v>
      </c>
      <c r="Q26" s="53">
        <v>0</v>
      </c>
      <c r="R26" s="6">
        <v>0</v>
      </c>
      <c r="S26" s="6">
        <v>0</v>
      </c>
      <c r="T26" s="6" t="s">
        <v>364</v>
      </c>
      <c r="U26" s="6">
        <v>0</v>
      </c>
      <c r="V26" s="6">
        <v>6.4393592677345541</v>
      </c>
      <c r="W26" s="6">
        <v>-1900.0000000000011</v>
      </c>
      <c r="X26" s="6">
        <v>-2965.217391304348</v>
      </c>
      <c r="Y26" s="6">
        <v>-15200.000000000009</v>
      </c>
      <c r="Z26" s="6">
        <v>12234.782608695659</v>
      </c>
      <c r="AA26" s="8">
        <v>5.1260997067448706</v>
      </c>
      <c r="AB26" s="8">
        <v>0</v>
      </c>
      <c r="AC26" s="8">
        <v>10.76470588235294</v>
      </c>
      <c r="AD26" s="8">
        <v>-1</v>
      </c>
      <c r="AE26" s="8">
        <v>4.5384615384615383</v>
      </c>
      <c r="AF26" s="8">
        <v>-1</v>
      </c>
    </row>
    <row r="27" spans="3:32" ht="15" customHeight="1" x14ac:dyDescent="0.25">
      <c r="C27" s="52" t="s">
        <v>47</v>
      </c>
      <c r="D27" s="15">
        <v>2.12</v>
      </c>
      <c r="E27" s="57">
        <v>441.00905660377362</v>
      </c>
      <c r="F27" s="15">
        <v>934.93920000000014</v>
      </c>
      <c r="G27" s="15">
        <v>2.333333333333333</v>
      </c>
      <c r="H27" s="57">
        <v>654.08698412698425</v>
      </c>
      <c r="I27" s="15">
        <v>1526.2029629629631</v>
      </c>
      <c r="J27" s="15">
        <v>7</v>
      </c>
      <c r="K27" s="57">
        <v>404.71428571428572</v>
      </c>
      <c r="L27" s="15">
        <v>2833</v>
      </c>
      <c r="M27" s="6">
        <v>2.660869565217391</v>
      </c>
      <c r="N27" s="53">
        <v>420</v>
      </c>
      <c r="O27" s="6">
        <v>1117.5652173913043</v>
      </c>
      <c r="P27" s="6">
        <v>161</v>
      </c>
      <c r="Q27" s="53">
        <v>404.71428571428572</v>
      </c>
      <c r="R27" s="6">
        <v>65159</v>
      </c>
      <c r="S27" s="6">
        <v>61.199999999999996</v>
      </c>
      <c r="T27" s="6">
        <v>420.00000000000006</v>
      </c>
      <c r="U27" s="6">
        <v>25704</v>
      </c>
      <c r="V27" s="6">
        <v>4.339130434782609</v>
      </c>
      <c r="W27" s="6">
        <v>-15.285714285714278</v>
      </c>
      <c r="X27" s="6">
        <v>1715.4347826086957</v>
      </c>
      <c r="Y27" s="6">
        <v>-106.99999999999994</v>
      </c>
      <c r="Z27" s="6">
        <v>1822.4347826086957</v>
      </c>
      <c r="AA27" s="8">
        <v>2.6307189542483664</v>
      </c>
      <c r="AB27" s="8">
        <v>2.5349751011515718</v>
      </c>
      <c r="AC27" s="8">
        <v>2.3018867924528301</v>
      </c>
      <c r="AD27" s="8">
        <v>2.0301435644157388</v>
      </c>
      <c r="AE27" s="8">
        <v>2.0000000000000004</v>
      </c>
      <c r="AF27" s="8">
        <v>0.85624066310291225</v>
      </c>
    </row>
    <row r="28" spans="3:32" ht="15" customHeight="1" x14ac:dyDescent="0.25">
      <c r="C28" s="52" t="s">
        <v>45</v>
      </c>
      <c r="D28" s="15">
        <v>0.4</v>
      </c>
      <c r="E28" s="57">
        <v>238.33</v>
      </c>
      <c r="F28" s="15">
        <v>95.332000000000008</v>
      </c>
      <c r="G28" s="15">
        <v>0.62962962962962954</v>
      </c>
      <c r="H28" s="57">
        <v>389.28000000000009</v>
      </c>
      <c r="I28" s="15">
        <v>245.10222222222222</v>
      </c>
      <c r="J28" s="15">
        <v>0</v>
      </c>
      <c r="K28" s="57" t="s">
        <v>364</v>
      </c>
      <c r="L28" s="15">
        <v>0</v>
      </c>
      <c r="M28" s="6">
        <v>0</v>
      </c>
      <c r="N28" s="53" t="s">
        <v>364</v>
      </c>
      <c r="O28" s="6">
        <v>0</v>
      </c>
      <c r="P28" s="6">
        <v>0</v>
      </c>
      <c r="Q28" s="53" t="s">
        <v>364</v>
      </c>
      <c r="R28" s="6">
        <v>0</v>
      </c>
      <c r="S28" s="6">
        <v>0</v>
      </c>
      <c r="T28" s="6" t="s">
        <v>364</v>
      </c>
      <c r="U28" s="6">
        <v>0</v>
      </c>
      <c r="V28" s="6">
        <v>0</v>
      </c>
      <c r="W28" s="6" t="s">
        <v>364</v>
      </c>
      <c r="X28" s="6">
        <v>0</v>
      </c>
      <c r="Y28" s="6" t="s">
        <v>364</v>
      </c>
      <c r="Z28" s="6" t="s">
        <v>364</v>
      </c>
      <c r="AA28" s="8" t="s">
        <v>364</v>
      </c>
      <c r="AB28" s="8" t="s">
        <v>364</v>
      </c>
      <c r="AC28" s="8">
        <v>-1</v>
      </c>
      <c r="AD28" s="8">
        <v>-1</v>
      </c>
      <c r="AE28" s="8">
        <v>-1</v>
      </c>
      <c r="AF28" s="8">
        <v>-1</v>
      </c>
    </row>
    <row r="29" spans="3:32" ht="15" customHeight="1" x14ac:dyDescent="0.25">
      <c r="C29" s="52" t="s">
        <v>308</v>
      </c>
      <c r="D29" s="15">
        <v>1.4000000000000001</v>
      </c>
      <c r="E29" s="57">
        <v>461.46057142857137</v>
      </c>
      <c r="F29" s="15">
        <v>646.04480000000001</v>
      </c>
      <c r="G29" s="15">
        <v>0.96296296296296291</v>
      </c>
      <c r="H29" s="57">
        <v>462.61538461538464</v>
      </c>
      <c r="I29" s="15">
        <v>445.48148148148147</v>
      </c>
      <c r="J29" s="15">
        <v>3</v>
      </c>
      <c r="K29" s="57">
        <v>595.66666666666663</v>
      </c>
      <c r="L29" s="15">
        <v>1787</v>
      </c>
      <c r="M29" s="6">
        <v>2.7469577777777774</v>
      </c>
      <c r="N29" s="53">
        <v>450</v>
      </c>
      <c r="O29" s="6">
        <v>1236.1309999999999</v>
      </c>
      <c r="P29" s="6">
        <v>69</v>
      </c>
      <c r="Q29" s="53">
        <v>595.66666666666663</v>
      </c>
      <c r="R29" s="6">
        <v>41101</v>
      </c>
      <c r="S29" s="6">
        <v>0</v>
      </c>
      <c r="T29" s="6" t="s">
        <v>364</v>
      </c>
      <c r="U29" s="6">
        <v>0</v>
      </c>
      <c r="V29" s="6">
        <v>0.25304222222222261</v>
      </c>
      <c r="W29" s="6">
        <v>145.66666666666663</v>
      </c>
      <c r="X29" s="6">
        <v>550.86900000000014</v>
      </c>
      <c r="Y29" s="6">
        <v>436.99999999999989</v>
      </c>
      <c r="Z29" s="6">
        <v>113.86900000000017</v>
      </c>
      <c r="AA29" s="8">
        <v>1.0921172594166801</v>
      </c>
      <c r="AB29" s="8">
        <v>1.445639661168598</v>
      </c>
      <c r="AC29" s="8">
        <v>1.1428571428571426</v>
      </c>
      <c r="AD29" s="8">
        <v>1.7660620439944721</v>
      </c>
      <c r="AE29" s="8">
        <v>2.1153846153846159</v>
      </c>
      <c r="AF29" s="8">
        <v>3.0113900897904888</v>
      </c>
    </row>
    <row r="30" spans="3:32" ht="15" customHeight="1" x14ac:dyDescent="0.25">
      <c r="C30" s="52" t="s">
        <v>305</v>
      </c>
      <c r="D30" s="15">
        <v>0.64</v>
      </c>
      <c r="E30" s="57">
        <v>557.20624999999995</v>
      </c>
      <c r="F30" s="15">
        <v>356.61199999999997</v>
      </c>
      <c r="G30" s="15">
        <v>1.2222222222222221</v>
      </c>
      <c r="H30" s="57">
        <v>552.56969696969702</v>
      </c>
      <c r="I30" s="15">
        <v>675.36296296296291</v>
      </c>
      <c r="J30" s="15">
        <v>3</v>
      </c>
      <c r="K30" s="57">
        <v>699.30000000000007</v>
      </c>
      <c r="L30" s="15">
        <v>2097.9</v>
      </c>
      <c r="M30" s="6">
        <v>1.530782608695652</v>
      </c>
      <c r="N30" s="53">
        <v>400.00000000000006</v>
      </c>
      <c r="O30" s="6">
        <v>612.31304347826085</v>
      </c>
      <c r="P30" s="6">
        <v>69</v>
      </c>
      <c r="Q30" s="53">
        <v>699.30000000000007</v>
      </c>
      <c r="R30" s="6">
        <v>48251.700000000004</v>
      </c>
      <c r="S30" s="6">
        <v>35.207999999999998</v>
      </c>
      <c r="T30" s="6">
        <v>400.00000000000006</v>
      </c>
      <c r="U30" s="6">
        <v>14083.2</v>
      </c>
      <c r="V30" s="6">
        <v>1.469217391304348</v>
      </c>
      <c r="W30" s="6">
        <v>299.3</v>
      </c>
      <c r="X30" s="6">
        <v>1485.5869565217392</v>
      </c>
      <c r="Y30" s="6">
        <v>897.90000000000009</v>
      </c>
      <c r="Z30" s="6">
        <v>587.68695652173926</v>
      </c>
      <c r="AA30" s="8">
        <v>1.9597818677573282</v>
      </c>
      <c r="AB30" s="8">
        <v>3.4261886503067487</v>
      </c>
      <c r="AC30" s="8">
        <v>3.6874999999999996</v>
      </c>
      <c r="AD30" s="8">
        <v>4.8828642894798833</v>
      </c>
      <c r="AE30" s="8">
        <v>1.4545454545454548</v>
      </c>
      <c r="AF30" s="8">
        <v>2.1063296553842106</v>
      </c>
    </row>
    <row r="31" spans="3:32" ht="15" customHeight="1" x14ac:dyDescent="0.25">
      <c r="C31" s="52" t="s">
        <v>216</v>
      </c>
      <c r="D31" s="15">
        <v>0</v>
      </c>
      <c r="E31" s="57" t="s">
        <v>364</v>
      </c>
      <c r="F31" s="15">
        <v>0</v>
      </c>
      <c r="G31" s="15">
        <v>0</v>
      </c>
      <c r="H31" s="57" t="s">
        <v>364</v>
      </c>
      <c r="I31" s="15">
        <v>0</v>
      </c>
      <c r="J31" s="15">
        <v>4</v>
      </c>
      <c r="K31" s="57">
        <v>450</v>
      </c>
      <c r="L31" s="15">
        <v>1800</v>
      </c>
      <c r="M31" s="6">
        <v>1</v>
      </c>
      <c r="N31" s="53">
        <v>390</v>
      </c>
      <c r="O31" s="6">
        <v>390</v>
      </c>
      <c r="P31" s="6">
        <v>92</v>
      </c>
      <c r="Q31" s="53">
        <v>450</v>
      </c>
      <c r="R31" s="6">
        <v>41400</v>
      </c>
      <c r="S31" s="6">
        <v>23</v>
      </c>
      <c r="T31" s="6">
        <v>390</v>
      </c>
      <c r="U31" s="6">
        <v>8970</v>
      </c>
      <c r="V31" s="6">
        <v>3</v>
      </c>
      <c r="W31" s="6">
        <v>60</v>
      </c>
      <c r="X31" s="6">
        <v>1410</v>
      </c>
      <c r="Y31" s="6">
        <v>240</v>
      </c>
      <c r="Z31" s="6">
        <v>1170</v>
      </c>
      <c r="AA31" s="8">
        <v>4</v>
      </c>
      <c r="AB31" s="8">
        <v>4.615384615384615</v>
      </c>
      <c r="AC31" s="8" t="s">
        <v>364</v>
      </c>
      <c r="AD31" s="8" t="s">
        <v>364</v>
      </c>
      <c r="AE31" s="8" t="s">
        <v>364</v>
      </c>
      <c r="AF31" s="8" t="s">
        <v>364</v>
      </c>
    </row>
    <row r="32" spans="3:32" ht="15" customHeight="1" x14ac:dyDescent="0.25">
      <c r="C32" s="52" t="s">
        <v>44</v>
      </c>
      <c r="D32" s="15">
        <v>1.6</v>
      </c>
      <c r="E32" s="57">
        <v>486.39150000000001</v>
      </c>
      <c r="F32" s="15">
        <v>778.22640000000001</v>
      </c>
      <c r="G32" s="15">
        <v>4.2962962962962958</v>
      </c>
      <c r="H32" s="57">
        <v>565.08301724137937</v>
      </c>
      <c r="I32" s="15">
        <v>2427.764074074074</v>
      </c>
      <c r="J32" s="15">
        <v>12</v>
      </c>
      <c r="K32" s="57">
        <v>488.61666666666662</v>
      </c>
      <c r="L32" s="15">
        <v>5863.4</v>
      </c>
      <c r="M32" s="6">
        <v>6.2608695652173907</v>
      </c>
      <c r="N32" s="53">
        <v>500</v>
      </c>
      <c r="O32" s="6">
        <v>3130.4347826086955</v>
      </c>
      <c r="P32" s="6">
        <v>276</v>
      </c>
      <c r="Q32" s="53">
        <v>488.61666666666662</v>
      </c>
      <c r="R32" s="6">
        <v>134858.19999999998</v>
      </c>
      <c r="S32" s="6">
        <v>144</v>
      </c>
      <c r="T32" s="6">
        <v>500</v>
      </c>
      <c r="U32" s="6">
        <v>72000</v>
      </c>
      <c r="V32" s="6">
        <v>5.7391304347826093</v>
      </c>
      <c r="W32" s="6">
        <v>-11.383333333333383</v>
      </c>
      <c r="X32" s="6">
        <v>2732.9652173913041</v>
      </c>
      <c r="Y32" s="6">
        <v>-136.60000000000059</v>
      </c>
      <c r="Z32" s="6">
        <v>2869.5652173913045</v>
      </c>
      <c r="AA32" s="8">
        <v>1.916666666666667</v>
      </c>
      <c r="AB32" s="8">
        <v>1.8730305555555555</v>
      </c>
      <c r="AC32" s="8">
        <v>6.5</v>
      </c>
      <c r="AD32" s="8">
        <v>6.5343113520692695</v>
      </c>
      <c r="AE32" s="8">
        <v>1.7931034482758623</v>
      </c>
      <c r="AF32" s="8">
        <v>1.4151440671747499</v>
      </c>
    </row>
    <row r="33" spans="1:32" ht="15" customHeight="1" x14ac:dyDescent="0.25">
      <c r="C33" s="52" t="s">
        <v>311</v>
      </c>
      <c r="D33" s="15">
        <v>0</v>
      </c>
      <c r="E33" s="57" t="s">
        <v>364</v>
      </c>
      <c r="F33" s="15">
        <v>0</v>
      </c>
      <c r="G33" s="15">
        <v>0</v>
      </c>
      <c r="H33" s="57" t="s">
        <v>364</v>
      </c>
      <c r="I33" s="15">
        <v>0</v>
      </c>
      <c r="J33" s="15">
        <v>0</v>
      </c>
      <c r="K33" s="57" t="s">
        <v>364</v>
      </c>
      <c r="L33" s="15">
        <v>0</v>
      </c>
      <c r="M33" s="6">
        <v>0</v>
      </c>
      <c r="N33" s="53" t="s">
        <v>364</v>
      </c>
      <c r="O33" s="6">
        <v>2611.8333304347825</v>
      </c>
      <c r="P33" s="6">
        <v>0</v>
      </c>
      <c r="Q33" s="53" t="s">
        <v>364</v>
      </c>
      <c r="R33" s="6">
        <v>0</v>
      </c>
      <c r="S33" s="6">
        <v>0</v>
      </c>
      <c r="T33" s="6" t="s">
        <v>364</v>
      </c>
      <c r="U33" s="6">
        <v>0</v>
      </c>
      <c r="V33" s="6">
        <v>0</v>
      </c>
      <c r="W33" s="6" t="s">
        <v>364</v>
      </c>
      <c r="X33" s="6">
        <v>-2611.8333304347825</v>
      </c>
      <c r="Y33" s="6" t="s">
        <v>364</v>
      </c>
      <c r="Z33" s="6" t="s">
        <v>364</v>
      </c>
      <c r="AA33" s="8" t="s">
        <v>364</v>
      </c>
      <c r="AB33" s="8">
        <v>0</v>
      </c>
      <c r="AC33" s="8" t="s">
        <v>364</v>
      </c>
      <c r="AD33" s="8" t="s">
        <v>364</v>
      </c>
      <c r="AE33" s="8" t="s">
        <v>364</v>
      </c>
      <c r="AF33" s="8" t="s">
        <v>364</v>
      </c>
    </row>
    <row r="34" spans="1:32" ht="15" customHeight="1" x14ac:dyDescent="0.25">
      <c r="C34" s="52" t="s">
        <v>711</v>
      </c>
      <c r="D34" s="15">
        <v>0</v>
      </c>
      <c r="E34" s="57" t="s">
        <v>364</v>
      </c>
      <c r="F34" s="15">
        <v>0</v>
      </c>
      <c r="G34" s="15">
        <v>0</v>
      </c>
      <c r="H34" s="57" t="s">
        <v>364</v>
      </c>
      <c r="I34" s="15">
        <v>0</v>
      </c>
      <c r="J34" s="15">
        <v>0</v>
      </c>
      <c r="K34" s="57" t="s">
        <v>364</v>
      </c>
      <c r="L34" s="15">
        <v>0</v>
      </c>
      <c r="M34" s="6">
        <v>0</v>
      </c>
      <c r="N34" s="53" t="s">
        <v>364</v>
      </c>
      <c r="O34" s="6">
        <v>0</v>
      </c>
      <c r="P34" s="6">
        <v>0</v>
      </c>
      <c r="Q34" s="53" t="s">
        <v>364</v>
      </c>
      <c r="R34" s="6">
        <v>0</v>
      </c>
      <c r="S34" s="6">
        <v>0</v>
      </c>
      <c r="T34" s="6" t="s">
        <v>364</v>
      </c>
      <c r="U34" s="6">
        <v>0</v>
      </c>
      <c r="V34" s="6">
        <v>0</v>
      </c>
      <c r="W34" s="6" t="s">
        <v>364</v>
      </c>
      <c r="X34" s="6">
        <v>0</v>
      </c>
      <c r="Y34" s="6" t="s">
        <v>364</v>
      </c>
      <c r="Z34" s="6" t="s">
        <v>364</v>
      </c>
      <c r="AA34" s="8" t="s">
        <v>364</v>
      </c>
      <c r="AB34" s="8" t="s">
        <v>364</v>
      </c>
      <c r="AC34" s="8" t="s">
        <v>364</v>
      </c>
      <c r="AD34" s="8" t="s">
        <v>364</v>
      </c>
      <c r="AE34" s="8" t="s">
        <v>364</v>
      </c>
      <c r="AF34" s="8" t="s">
        <v>364</v>
      </c>
    </row>
    <row r="35" spans="1:32" x14ac:dyDescent="0.25">
      <c r="C35"/>
      <c r="D35"/>
      <c r="E35"/>
      <c r="F35"/>
      <c r="G35"/>
      <c r="H35"/>
      <c r="I35"/>
      <c r="J35"/>
      <c r="K35"/>
      <c r="L35"/>
      <c r="M35"/>
      <c r="N35"/>
      <c r="O35"/>
      <c r="P35"/>
      <c r="Q35"/>
      <c r="R35"/>
      <c r="S35"/>
      <c r="T35"/>
      <c r="U35"/>
      <c r="V35"/>
      <c r="W35"/>
      <c r="X35"/>
      <c r="Y35"/>
      <c r="Z35"/>
    </row>
    <row r="36" spans="1:32" x14ac:dyDescent="0.25">
      <c r="A36" s="71"/>
      <c r="B36" s="71"/>
      <c r="C36" s="72">
        <v>0.47826086956521741</v>
      </c>
      <c r="D36" s="144" t="s">
        <v>30</v>
      </c>
      <c r="E36" s="144"/>
      <c r="F36" s="144"/>
      <c r="G36" s="144" t="s">
        <v>31</v>
      </c>
      <c r="H36" s="144"/>
      <c r="I36" s="144"/>
      <c r="J36" s="144" t="s">
        <v>27</v>
      </c>
      <c r="K36" s="144"/>
      <c r="L36" s="144"/>
      <c r="M36" s="136" t="s">
        <v>28</v>
      </c>
      <c r="N36" s="137"/>
      <c r="O36" s="138"/>
      <c r="P36" s="136" t="s">
        <v>3</v>
      </c>
      <c r="Q36" s="137"/>
      <c r="R36" s="137"/>
      <c r="S36" s="137"/>
      <c r="T36" s="137"/>
      <c r="U36" s="61"/>
      <c r="V36" s="61"/>
      <c r="W36" s="61"/>
      <c r="X36" s="61"/>
      <c r="Y36" s="61"/>
      <c r="Z36" s="61"/>
    </row>
    <row r="37" spans="1:32" x14ac:dyDescent="0.25">
      <c r="A37" s="71"/>
      <c r="B37" s="71"/>
      <c r="C37" s="71"/>
      <c r="D37" s="133" t="s">
        <v>20</v>
      </c>
      <c r="E37" s="133" t="s">
        <v>5</v>
      </c>
      <c r="F37" s="133" t="s">
        <v>5</v>
      </c>
      <c r="G37" s="141" t="s">
        <v>5</v>
      </c>
      <c r="H37" s="141" t="s">
        <v>5</v>
      </c>
      <c r="I37" s="141" t="s">
        <v>5</v>
      </c>
      <c r="J37" s="146" t="s">
        <v>17</v>
      </c>
      <c r="K37" s="147"/>
      <c r="L37" s="148"/>
      <c r="M37" s="146" t="s">
        <v>17</v>
      </c>
      <c r="N37" s="147"/>
      <c r="O37" s="148"/>
      <c r="P37" s="146" t="s">
        <v>17</v>
      </c>
      <c r="Q37" s="147"/>
      <c r="R37" s="147"/>
      <c r="S37" s="147"/>
      <c r="T37" s="148"/>
      <c r="U37" s="139" t="s">
        <v>6</v>
      </c>
      <c r="V37" s="149"/>
      <c r="W37" s="139" t="s">
        <v>7</v>
      </c>
      <c r="X37" s="140"/>
      <c r="Y37" s="139" t="s">
        <v>8</v>
      </c>
      <c r="Z37" s="140"/>
      <c r="AC37" s="62"/>
    </row>
    <row r="38" spans="1:32" x14ac:dyDescent="0.25">
      <c r="A38" s="18" t="s">
        <v>4</v>
      </c>
      <c r="B38" s="19" t="s">
        <v>33</v>
      </c>
      <c r="C38" s="19" t="s">
        <v>34</v>
      </c>
      <c r="D38" s="20" t="s">
        <v>9</v>
      </c>
      <c r="E38" s="20" t="s">
        <v>10</v>
      </c>
      <c r="F38" s="20" t="s">
        <v>11</v>
      </c>
      <c r="G38" s="20" t="s">
        <v>9</v>
      </c>
      <c r="H38" s="20" t="s">
        <v>10</v>
      </c>
      <c r="I38" s="20" t="s">
        <v>11</v>
      </c>
      <c r="J38" s="20" t="s">
        <v>9</v>
      </c>
      <c r="K38" s="20" t="s">
        <v>10</v>
      </c>
      <c r="L38" s="20" t="s">
        <v>11</v>
      </c>
      <c r="M38" s="20" t="s">
        <v>9</v>
      </c>
      <c r="N38" s="20" t="s">
        <v>10</v>
      </c>
      <c r="O38" s="20" t="s">
        <v>11</v>
      </c>
      <c r="P38" s="20" t="s">
        <v>9</v>
      </c>
      <c r="Q38" s="20" t="s">
        <v>10</v>
      </c>
      <c r="R38" s="20" t="s">
        <v>11</v>
      </c>
      <c r="S38" s="20" t="s">
        <v>14</v>
      </c>
      <c r="T38" s="20" t="s">
        <v>15</v>
      </c>
      <c r="U38" s="20" t="s">
        <v>16</v>
      </c>
      <c r="V38" s="20" t="s">
        <v>11</v>
      </c>
      <c r="W38" s="20" t="s">
        <v>16</v>
      </c>
      <c r="X38" s="20" t="s">
        <v>11</v>
      </c>
      <c r="Y38" s="20" t="s">
        <v>16</v>
      </c>
      <c r="Z38" s="20" t="s">
        <v>11</v>
      </c>
      <c r="AA38" s="62"/>
    </row>
    <row r="39" spans="1:32" x14ac:dyDescent="0.25">
      <c r="A39" s="21" t="s">
        <v>18</v>
      </c>
      <c r="B39" s="21" t="s">
        <v>154</v>
      </c>
      <c r="C39" s="21" t="s">
        <v>314</v>
      </c>
      <c r="D39" s="15">
        <v>0</v>
      </c>
      <c r="E39" s="57" t="s">
        <v>364</v>
      </c>
      <c r="F39" s="15">
        <v>0</v>
      </c>
      <c r="G39" s="15">
        <v>0</v>
      </c>
      <c r="H39" s="57" t="s">
        <v>364</v>
      </c>
      <c r="I39" s="15">
        <v>0</v>
      </c>
      <c r="J39" s="15">
        <v>2</v>
      </c>
      <c r="K39" s="57">
        <v>627.5</v>
      </c>
      <c r="L39" s="15">
        <v>1255</v>
      </c>
      <c r="M39" s="15">
        <v>5.3043478260869561</v>
      </c>
      <c r="N39" s="15">
        <v>800</v>
      </c>
      <c r="O39" s="15">
        <v>4243.478260869565</v>
      </c>
      <c r="P39" s="15">
        <v>-3.3043478260869561</v>
      </c>
      <c r="Q39" s="15">
        <v>-172.5</v>
      </c>
      <c r="R39" s="15">
        <v>-2988.478260869565</v>
      </c>
      <c r="S39" s="15">
        <v>-345</v>
      </c>
      <c r="T39" s="15">
        <v>-2643.478260869565</v>
      </c>
      <c r="U39" s="17">
        <v>0.37704918032786888</v>
      </c>
      <c r="V39" s="17">
        <v>0.29574795081967215</v>
      </c>
      <c r="W39" s="17" t="s">
        <v>364</v>
      </c>
      <c r="X39" s="17" t="s">
        <v>364</v>
      </c>
      <c r="Y39" s="17" t="s">
        <v>364</v>
      </c>
      <c r="Z39" s="17" t="s">
        <v>364</v>
      </c>
      <c r="AA39" s="86"/>
      <c r="AB39" s="86"/>
    </row>
    <row r="40" spans="1:32" x14ac:dyDescent="0.25">
      <c r="A40" s="21" t="s">
        <v>18</v>
      </c>
      <c r="B40" s="21" t="s">
        <v>154</v>
      </c>
      <c r="C40" s="21" t="s">
        <v>319</v>
      </c>
      <c r="D40" s="15">
        <v>5.92</v>
      </c>
      <c r="E40" s="57">
        <v>573.98783783783779</v>
      </c>
      <c r="F40" s="15">
        <v>3398.0079999999994</v>
      </c>
      <c r="G40" s="15">
        <v>5.1481481481481479</v>
      </c>
      <c r="H40" s="57">
        <v>603.47546762589923</v>
      </c>
      <c r="I40" s="15">
        <v>3106.7811111111109</v>
      </c>
      <c r="J40" s="15">
        <v>2</v>
      </c>
      <c r="K40" s="57">
        <v>4450</v>
      </c>
      <c r="L40" s="15">
        <v>8900</v>
      </c>
      <c r="M40" s="15">
        <v>3.6086956521739131</v>
      </c>
      <c r="N40" s="15">
        <v>749.99999999999989</v>
      </c>
      <c r="O40" s="15">
        <v>2706.5217391304345</v>
      </c>
      <c r="P40" s="15">
        <v>-1.6086956521739131</v>
      </c>
      <c r="Q40" s="15">
        <v>3700</v>
      </c>
      <c r="R40" s="15">
        <v>6193.4782608695659</v>
      </c>
      <c r="S40" s="15">
        <v>7400</v>
      </c>
      <c r="T40" s="15">
        <v>-1206.5217391304345</v>
      </c>
      <c r="U40" s="17">
        <v>0.55421686746987953</v>
      </c>
      <c r="V40" s="17">
        <v>3.2883534136546189</v>
      </c>
      <c r="W40" s="17">
        <v>-0.66216216216216217</v>
      </c>
      <c r="X40" s="17">
        <v>1.6191815910969019</v>
      </c>
      <c r="Y40" s="17">
        <v>-0.61151079136690645</v>
      </c>
      <c r="Z40" s="17">
        <v>1.8647013361095783</v>
      </c>
      <c r="AA40" s="86"/>
      <c r="AB40" s="86"/>
    </row>
    <row r="41" spans="1:32" x14ac:dyDescent="0.25">
      <c r="A41" s="21" t="s">
        <v>18</v>
      </c>
      <c r="B41" s="21" t="s">
        <v>216</v>
      </c>
      <c r="C41" s="21" t="s">
        <v>338</v>
      </c>
      <c r="D41" s="15">
        <v>0</v>
      </c>
      <c r="E41" s="57" t="s">
        <v>364</v>
      </c>
      <c r="F41" s="15">
        <v>0</v>
      </c>
      <c r="G41" s="15">
        <v>0</v>
      </c>
      <c r="H41" s="57" t="s">
        <v>364</v>
      </c>
      <c r="I41" s="15">
        <v>0</v>
      </c>
      <c r="J41" s="15">
        <v>4</v>
      </c>
      <c r="K41" s="57">
        <v>450</v>
      </c>
      <c r="L41" s="15">
        <v>1800</v>
      </c>
      <c r="M41" s="15">
        <v>1</v>
      </c>
      <c r="N41" s="15">
        <v>390</v>
      </c>
      <c r="O41" s="15">
        <v>390</v>
      </c>
      <c r="P41" s="15">
        <v>3</v>
      </c>
      <c r="Q41" s="15">
        <v>60</v>
      </c>
      <c r="R41" s="15">
        <v>1410</v>
      </c>
      <c r="S41" s="15">
        <v>240</v>
      </c>
      <c r="T41" s="15">
        <v>1170</v>
      </c>
      <c r="U41" s="17">
        <v>4</v>
      </c>
      <c r="V41" s="17">
        <v>4.615384615384615</v>
      </c>
      <c r="W41" s="17" t="s">
        <v>364</v>
      </c>
      <c r="X41" s="17" t="s">
        <v>364</v>
      </c>
      <c r="Y41" s="17" t="s">
        <v>364</v>
      </c>
      <c r="Z41" s="17" t="s">
        <v>364</v>
      </c>
      <c r="AA41" s="86"/>
      <c r="AB41" s="86"/>
    </row>
    <row r="42" spans="1:32" x14ac:dyDescent="0.25">
      <c r="A42" s="21" t="s">
        <v>18</v>
      </c>
      <c r="B42" s="21" t="s">
        <v>154</v>
      </c>
      <c r="C42" s="21" t="s">
        <v>184</v>
      </c>
      <c r="D42" s="15">
        <v>0</v>
      </c>
      <c r="E42" s="57" t="s">
        <v>364</v>
      </c>
      <c r="F42" s="15">
        <v>0</v>
      </c>
      <c r="G42" s="15">
        <v>0</v>
      </c>
      <c r="H42" s="57" t="s">
        <v>364</v>
      </c>
      <c r="I42" s="15">
        <v>0</v>
      </c>
      <c r="J42" s="15">
        <v>0</v>
      </c>
      <c r="K42" s="57" t="s">
        <v>364</v>
      </c>
      <c r="L42" s="15">
        <v>0</v>
      </c>
      <c r="M42" s="15">
        <v>0.34782608695652173</v>
      </c>
      <c r="N42" s="15">
        <v>300</v>
      </c>
      <c r="O42" s="15">
        <v>104.34782608695652</v>
      </c>
      <c r="P42" s="15">
        <v>-0.34782608695652173</v>
      </c>
      <c r="Q42" s="15" t="s">
        <v>364</v>
      </c>
      <c r="R42" s="15">
        <v>-104.34782608695652</v>
      </c>
      <c r="S42" s="15" t="s">
        <v>364</v>
      </c>
      <c r="T42" s="15">
        <v>-104.34782608695652</v>
      </c>
      <c r="U42" s="17">
        <v>0</v>
      </c>
      <c r="V42" s="17">
        <v>0</v>
      </c>
      <c r="W42" s="17" t="s">
        <v>364</v>
      </c>
      <c r="X42" s="17" t="s">
        <v>364</v>
      </c>
      <c r="Y42" s="17" t="s">
        <v>364</v>
      </c>
      <c r="Z42" s="17" t="s">
        <v>364</v>
      </c>
      <c r="AA42" s="86"/>
      <c r="AB42" s="86"/>
    </row>
    <row r="43" spans="1:32" x14ac:dyDescent="0.25">
      <c r="A43" s="21" t="s">
        <v>18</v>
      </c>
      <c r="B43" s="21" t="s">
        <v>154</v>
      </c>
      <c r="C43" s="21" t="s">
        <v>328</v>
      </c>
      <c r="D43" s="15">
        <v>0</v>
      </c>
      <c r="E43" s="57" t="s">
        <v>364</v>
      </c>
      <c r="F43" s="15">
        <v>0</v>
      </c>
      <c r="G43" s="15">
        <v>0</v>
      </c>
      <c r="H43" s="57" t="s">
        <v>364</v>
      </c>
      <c r="I43" s="15">
        <v>0</v>
      </c>
      <c r="J43" s="15">
        <v>4</v>
      </c>
      <c r="K43" s="57">
        <v>249.67000000000002</v>
      </c>
      <c r="L43" s="15">
        <v>998.68000000000006</v>
      </c>
      <c r="M43" s="15">
        <v>6.0869565217391299</v>
      </c>
      <c r="N43" s="15">
        <v>850.00000000000011</v>
      </c>
      <c r="O43" s="15">
        <v>5173.913043478261</v>
      </c>
      <c r="P43" s="15">
        <v>-2.0869565217391299</v>
      </c>
      <c r="Q43" s="15">
        <v>-600.33000000000015</v>
      </c>
      <c r="R43" s="15">
        <v>-4175.2330434782607</v>
      </c>
      <c r="S43" s="15">
        <v>-2401.3200000000006</v>
      </c>
      <c r="T43" s="15">
        <v>-1773.9130434782608</v>
      </c>
      <c r="U43" s="17">
        <v>0.65714285714285725</v>
      </c>
      <c r="V43" s="17">
        <v>0.19302218487394959</v>
      </c>
      <c r="W43" s="17" t="s">
        <v>364</v>
      </c>
      <c r="X43" s="17" t="s">
        <v>364</v>
      </c>
      <c r="Y43" s="17" t="s">
        <v>364</v>
      </c>
      <c r="Z43" s="17" t="s">
        <v>364</v>
      </c>
      <c r="AA43" s="86"/>
      <c r="AB43" s="86"/>
    </row>
    <row r="44" spans="1:32" x14ac:dyDescent="0.25">
      <c r="A44" s="21" t="s">
        <v>18</v>
      </c>
      <c r="B44" s="21" t="s">
        <v>154</v>
      </c>
      <c r="C44" s="21" t="s">
        <v>335</v>
      </c>
      <c r="D44" s="15">
        <v>1.68</v>
      </c>
      <c r="E44" s="57">
        <v>782.65714285714296</v>
      </c>
      <c r="F44" s="15">
        <v>1314.864</v>
      </c>
      <c r="G44" s="15">
        <v>3.7037037037037033</v>
      </c>
      <c r="H44" s="57">
        <v>1457.6026999999999</v>
      </c>
      <c r="I44" s="15">
        <v>5398.5285185185176</v>
      </c>
      <c r="J44" s="15">
        <v>11</v>
      </c>
      <c r="K44" s="57">
        <v>587.38727272727272</v>
      </c>
      <c r="L44" s="15">
        <v>6461.26</v>
      </c>
      <c r="M44" s="15">
        <v>4</v>
      </c>
      <c r="N44" s="15">
        <v>1450</v>
      </c>
      <c r="O44" s="15">
        <v>5800</v>
      </c>
      <c r="P44" s="15">
        <v>7</v>
      </c>
      <c r="Q44" s="15">
        <v>-862.61272727272728</v>
      </c>
      <c r="R44" s="15">
        <v>661.26000000000022</v>
      </c>
      <c r="S44" s="15">
        <v>-9488.74</v>
      </c>
      <c r="T44" s="15">
        <v>10150</v>
      </c>
      <c r="U44" s="17">
        <v>2.75</v>
      </c>
      <c r="V44" s="17">
        <v>1.1140103448275862</v>
      </c>
      <c r="W44" s="17">
        <v>5.5476190476190483</v>
      </c>
      <c r="X44" s="17">
        <v>3.9140139208313562</v>
      </c>
      <c r="Y44" s="17">
        <v>1.9700000000000004</v>
      </c>
      <c r="Z44" s="17">
        <v>0.19685576872216301</v>
      </c>
      <c r="AA44" s="86"/>
      <c r="AB44" s="86"/>
    </row>
    <row r="45" spans="1:32" x14ac:dyDescent="0.25">
      <c r="A45" s="21" t="s">
        <v>18</v>
      </c>
      <c r="B45" s="21" t="s">
        <v>304</v>
      </c>
      <c r="C45" s="21" t="s">
        <v>313</v>
      </c>
      <c r="D45" s="15">
        <v>4</v>
      </c>
      <c r="E45" s="57">
        <v>408.97889999999978</v>
      </c>
      <c r="F45" s="15">
        <v>1635.9155999999991</v>
      </c>
      <c r="G45" s="15">
        <v>4.4074074074074074</v>
      </c>
      <c r="H45" s="57">
        <v>369.69453781512607</v>
      </c>
      <c r="I45" s="15">
        <v>1629.3944444444446</v>
      </c>
      <c r="J45" s="15">
        <v>2</v>
      </c>
      <c r="K45" s="57">
        <v>413.29499999999996</v>
      </c>
      <c r="L45" s="15">
        <v>826.58999999999992</v>
      </c>
      <c r="M45" s="15">
        <v>5.5999999999999988</v>
      </c>
      <c r="N45" s="15">
        <v>430</v>
      </c>
      <c r="O45" s="15">
        <v>2407.9999999999995</v>
      </c>
      <c r="P45" s="15">
        <v>-3.5999999999999988</v>
      </c>
      <c r="Q45" s="15">
        <v>-16.705000000000041</v>
      </c>
      <c r="R45" s="15">
        <v>-1581.4099999999996</v>
      </c>
      <c r="S45" s="15">
        <v>-33.410000000000082</v>
      </c>
      <c r="T45" s="15">
        <v>-1547.9999999999995</v>
      </c>
      <c r="U45" s="17">
        <v>0.35714285714285721</v>
      </c>
      <c r="V45" s="17">
        <v>0.34326827242524921</v>
      </c>
      <c r="W45" s="17">
        <v>-0.5</v>
      </c>
      <c r="X45" s="17">
        <v>-0.49472332191220603</v>
      </c>
      <c r="Y45" s="17">
        <v>-0.54621848739495804</v>
      </c>
      <c r="Z45" s="17">
        <v>-0.49270110572775855</v>
      </c>
      <c r="AA45" s="86"/>
      <c r="AB45" s="86"/>
    </row>
    <row r="46" spans="1:32" x14ac:dyDescent="0.25">
      <c r="A46" s="21" t="s">
        <v>18</v>
      </c>
      <c r="B46" s="21" t="s">
        <v>729</v>
      </c>
      <c r="C46" s="21" t="s">
        <v>312</v>
      </c>
      <c r="D46" s="15">
        <v>2.7600000000000002</v>
      </c>
      <c r="E46" s="57">
        <v>1274.2008695652185</v>
      </c>
      <c r="F46" s="15">
        <v>3516.7944000000034</v>
      </c>
      <c r="G46" s="15">
        <v>2.5925925925925926</v>
      </c>
      <c r="H46" s="57">
        <v>1586.6561428571442</v>
      </c>
      <c r="I46" s="15">
        <v>4113.5529629629664</v>
      </c>
      <c r="J46" s="15">
        <v>3</v>
      </c>
      <c r="K46" s="57">
        <v>531.73333333333335</v>
      </c>
      <c r="L46" s="15">
        <v>1595.2</v>
      </c>
      <c r="M46" s="15">
        <v>5.5304347826086957</v>
      </c>
      <c r="N46" s="15">
        <v>1550</v>
      </c>
      <c r="O46" s="15">
        <v>8572.173913043478</v>
      </c>
      <c r="P46" s="15">
        <v>-2.5304347826086957</v>
      </c>
      <c r="Q46" s="15">
        <v>-1018.2666666666667</v>
      </c>
      <c r="R46" s="15">
        <v>-6976.9739130434782</v>
      </c>
      <c r="S46" s="15">
        <v>-3054.8</v>
      </c>
      <c r="T46" s="15">
        <v>-3922.1739130434785</v>
      </c>
      <c r="U46" s="17">
        <v>0.54245283018867929</v>
      </c>
      <c r="V46" s="17">
        <v>0.1860904848853723</v>
      </c>
      <c r="W46" s="17">
        <v>8.6956521739130349E-2</v>
      </c>
      <c r="X46" s="17">
        <v>-0.54640510119101693</v>
      </c>
      <c r="Y46" s="17">
        <v>0.15714285714285717</v>
      </c>
      <c r="Z46" s="17">
        <v>-0.61220871242873531</v>
      </c>
      <c r="AA46" s="86"/>
      <c r="AB46" s="86"/>
    </row>
    <row r="47" spans="1:32" x14ac:dyDescent="0.25">
      <c r="A47" s="21" t="s">
        <v>18</v>
      </c>
      <c r="B47" s="21" t="s">
        <v>44</v>
      </c>
      <c r="C47" s="21" t="s">
        <v>339</v>
      </c>
      <c r="D47" s="15">
        <v>1.6</v>
      </c>
      <c r="E47" s="57">
        <v>486.39150000000001</v>
      </c>
      <c r="F47" s="15">
        <v>778.22640000000001</v>
      </c>
      <c r="G47" s="15">
        <v>4.2962962962962958</v>
      </c>
      <c r="H47" s="57">
        <v>565.08301724137937</v>
      </c>
      <c r="I47" s="15">
        <v>2427.764074074074</v>
      </c>
      <c r="J47" s="15">
        <v>12</v>
      </c>
      <c r="K47" s="57">
        <v>488.61666666666662</v>
      </c>
      <c r="L47" s="15">
        <v>5863.4</v>
      </c>
      <c r="M47" s="15">
        <v>6.2608695652173907</v>
      </c>
      <c r="N47" s="15">
        <v>500</v>
      </c>
      <c r="O47" s="15">
        <v>3130.4347826086955</v>
      </c>
      <c r="P47" s="15">
        <v>5.7391304347826093</v>
      </c>
      <c r="Q47" s="15">
        <v>-11.383333333333383</v>
      </c>
      <c r="R47" s="15">
        <v>2732.9652173913041</v>
      </c>
      <c r="S47" s="15">
        <v>-136.60000000000059</v>
      </c>
      <c r="T47" s="15">
        <v>2869.5652173913045</v>
      </c>
      <c r="U47" s="17">
        <v>1.916666666666667</v>
      </c>
      <c r="V47" s="17">
        <v>1.8730305555555555</v>
      </c>
      <c r="W47" s="17">
        <v>6.5</v>
      </c>
      <c r="X47" s="17">
        <v>6.5343113520692695</v>
      </c>
      <c r="Y47" s="17">
        <v>1.7931034482758623</v>
      </c>
      <c r="Z47" s="17">
        <v>1.4151440671747499</v>
      </c>
      <c r="AA47" s="86"/>
      <c r="AB47" s="86"/>
    </row>
    <row r="48" spans="1:32" x14ac:dyDescent="0.25">
      <c r="A48" s="21" t="s">
        <v>18</v>
      </c>
      <c r="B48" s="21" t="s">
        <v>307</v>
      </c>
      <c r="C48" s="21" t="s">
        <v>322</v>
      </c>
      <c r="D48" s="15">
        <v>0</v>
      </c>
      <c r="E48" s="57" t="s">
        <v>364</v>
      </c>
      <c r="F48" s="15">
        <v>0</v>
      </c>
      <c r="G48" s="15">
        <v>0</v>
      </c>
      <c r="H48" s="57" t="s">
        <v>364</v>
      </c>
      <c r="I48" s="15">
        <v>0</v>
      </c>
      <c r="J48" s="15">
        <v>5</v>
      </c>
      <c r="K48" s="57">
        <v>0</v>
      </c>
      <c r="L48" s="15">
        <v>0</v>
      </c>
      <c r="M48" s="15">
        <v>0.83999604743083067</v>
      </c>
      <c r="N48" s="15">
        <v>1650.0077640116872</v>
      </c>
      <c r="O48" s="15">
        <v>1386</v>
      </c>
      <c r="P48" s="15">
        <v>4.160003952569169</v>
      </c>
      <c r="Q48" s="15">
        <v>-1650.0077640116872</v>
      </c>
      <c r="R48" s="15">
        <v>-1386</v>
      </c>
      <c r="S48" s="15">
        <v>-8250.0388200584366</v>
      </c>
      <c r="T48" s="15">
        <v>6864.0388200584357</v>
      </c>
      <c r="U48" s="17">
        <v>5.9524089610811224</v>
      </c>
      <c r="V48" s="17">
        <v>0</v>
      </c>
      <c r="W48" s="17" t="s">
        <v>364</v>
      </c>
      <c r="X48" s="17" t="s">
        <v>364</v>
      </c>
      <c r="Y48" s="17" t="s">
        <v>364</v>
      </c>
      <c r="Z48" s="17" t="s">
        <v>364</v>
      </c>
      <c r="AA48" s="86"/>
      <c r="AB48" s="86"/>
    </row>
    <row r="49" spans="1:28" x14ac:dyDescent="0.25">
      <c r="A49" s="21" t="s">
        <v>18</v>
      </c>
      <c r="B49" s="21" t="s">
        <v>308</v>
      </c>
      <c r="C49" s="21" t="s">
        <v>331</v>
      </c>
      <c r="D49" s="15">
        <v>0</v>
      </c>
      <c r="E49" s="57" t="s">
        <v>364</v>
      </c>
      <c r="F49" s="15">
        <v>0</v>
      </c>
      <c r="G49" s="15">
        <v>0</v>
      </c>
      <c r="H49" s="57" t="s">
        <v>364</v>
      </c>
      <c r="I49" s="15">
        <v>0</v>
      </c>
      <c r="J49" s="15">
        <v>3</v>
      </c>
      <c r="K49" s="57">
        <v>595.66666666666663</v>
      </c>
      <c r="L49" s="15">
        <v>1787</v>
      </c>
      <c r="M49" s="15">
        <v>2.7469577777777774</v>
      </c>
      <c r="N49" s="15">
        <v>450</v>
      </c>
      <c r="O49" s="15">
        <v>1236.1309999999999</v>
      </c>
      <c r="P49" s="15">
        <v>0.25304222222222261</v>
      </c>
      <c r="Q49" s="15">
        <v>145.66666666666663</v>
      </c>
      <c r="R49" s="15">
        <v>550.86900000000014</v>
      </c>
      <c r="S49" s="15">
        <v>436.99999999999989</v>
      </c>
      <c r="T49" s="15">
        <v>113.86900000000017</v>
      </c>
      <c r="U49" s="17">
        <v>1.0921172594166801</v>
      </c>
      <c r="V49" s="17">
        <v>1.445639661168598</v>
      </c>
      <c r="W49" s="17" t="s">
        <v>364</v>
      </c>
      <c r="X49" s="17" t="s">
        <v>364</v>
      </c>
      <c r="Y49" s="17" t="s">
        <v>364</v>
      </c>
      <c r="Z49" s="17" t="s">
        <v>364</v>
      </c>
      <c r="AA49" s="86"/>
      <c r="AB49" s="86"/>
    </row>
    <row r="50" spans="1:28" x14ac:dyDescent="0.25">
      <c r="A50" s="21" t="s">
        <v>18</v>
      </c>
      <c r="B50" s="21" t="s">
        <v>306</v>
      </c>
      <c r="C50" s="21" t="s">
        <v>327</v>
      </c>
      <c r="D50" s="15">
        <v>0</v>
      </c>
      <c r="E50" s="57" t="s">
        <v>364</v>
      </c>
      <c r="F50" s="15">
        <v>0</v>
      </c>
      <c r="G50" s="15">
        <v>0</v>
      </c>
      <c r="H50" s="57" t="s">
        <v>364</v>
      </c>
      <c r="I50" s="15">
        <v>0</v>
      </c>
      <c r="J50" s="15">
        <v>5</v>
      </c>
      <c r="K50" s="57">
        <v>0</v>
      </c>
      <c r="L50" s="15">
        <v>0</v>
      </c>
      <c r="M50" s="15">
        <v>0.50154905138339922</v>
      </c>
      <c r="N50" s="15">
        <v>2635.3137879317915</v>
      </c>
      <c r="O50" s="15">
        <v>1321.7391304347825</v>
      </c>
      <c r="P50" s="15">
        <v>4.4984509486166004</v>
      </c>
      <c r="Q50" s="15">
        <v>-2635.3137879317915</v>
      </c>
      <c r="R50" s="15">
        <v>-1321.7391304347825</v>
      </c>
      <c r="S50" s="15">
        <v>-13176.568939658957</v>
      </c>
      <c r="T50" s="15">
        <v>11854.829809224175</v>
      </c>
      <c r="U50" s="17">
        <v>9.9691146582946057</v>
      </c>
      <c r="V50" s="17">
        <v>0</v>
      </c>
      <c r="W50" s="17" t="s">
        <v>364</v>
      </c>
      <c r="X50" s="17" t="s">
        <v>364</v>
      </c>
      <c r="Y50" s="17" t="s">
        <v>364</v>
      </c>
      <c r="Z50" s="17" t="s">
        <v>364</v>
      </c>
      <c r="AA50" s="86"/>
      <c r="AB50" s="86"/>
    </row>
    <row r="51" spans="1:28" x14ac:dyDescent="0.25">
      <c r="A51" s="21" t="s">
        <v>18</v>
      </c>
      <c r="B51" s="21" t="s">
        <v>306</v>
      </c>
      <c r="C51" s="21" t="s">
        <v>333</v>
      </c>
      <c r="D51" s="15">
        <v>0</v>
      </c>
      <c r="E51" s="57" t="s">
        <v>364</v>
      </c>
      <c r="F51" s="15">
        <v>0</v>
      </c>
      <c r="G51" s="15">
        <v>0</v>
      </c>
      <c r="H51" s="57" t="s">
        <v>364</v>
      </c>
      <c r="I51" s="15">
        <v>0</v>
      </c>
      <c r="J51" s="15">
        <v>4</v>
      </c>
      <c r="K51" s="57">
        <v>0</v>
      </c>
      <c r="L51" s="15">
        <v>0</v>
      </c>
      <c r="M51" s="15">
        <v>0.56055482213438734</v>
      </c>
      <c r="N51" s="15">
        <v>2175.639507921182</v>
      </c>
      <c r="O51" s="15">
        <v>1219.5652173913043</v>
      </c>
      <c r="P51" s="15">
        <v>3.4394451778656125</v>
      </c>
      <c r="Q51" s="15">
        <v>-2175.639507921182</v>
      </c>
      <c r="R51" s="15">
        <v>-1219.5652173913043</v>
      </c>
      <c r="S51" s="15">
        <v>-8702.5580316847281</v>
      </c>
      <c r="T51" s="15">
        <v>7482.9928142934241</v>
      </c>
      <c r="U51" s="17">
        <v>7.1357873343582447</v>
      </c>
      <c r="V51" s="17">
        <v>0</v>
      </c>
      <c r="W51" s="17" t="s">
        <v>364</v>
      </c>
      <c r="X51" s="17" t="s">
        <v>364</v>
      </c>
      <c r="Y51" s="17" t="s">
        <v>364</v>
      </c>
      <c r="Z51" s="17" t="s">
        <v>364</v>
      </c>
      <c r="AA51" s="86"/>
      <c r="AB51" s="86"/>
    </row>
    <row r="52" spans="1:28" x14ac:dyDescent="0.25">
      <c r="A52" s="21" t="s">
        <v>18</v>
      </c>
      <c r="B52" s="21" t="s">
        <v>306</v>
      </c>
      <c r="C52" s="21" t="s">
        <v>334</v>
      </c>
      <c r="D52" s="15">
        <v>0</v>
      </c>
      <c r="E52" s="57" t="s">
        <v>364</v>
      </c>
      <c r="F52" s="15">
        <v>0</v>
      </c>
      <c r="G52" s="15">
        <v>0</v>
      </c>
      <c r="H52" s="57" t="s">
        <v>364</v>
      </c>
      <c r="I52" s="15">
        <v>0</v>
      </c>
      <c r="J52" s="15">
        <v>2</v>
      </c>
      <c r="K52" s="57">
        <v>0</v>
      </c>
      <c r="L52" s="15">
        <v>0</v>
      </c>
      <c r="M52" s="15">
        <v>0.74740642951251657</v>
      </c>
      <c r="N52" s="15">
        <v>1995.30575191702</v>
      </c>
      <c r="O52" s="15">
        <v>1491.304347826087</v>
      </c>
      <c r="P52" s="15">
        <v>1.2525935704874835</v>
      </c>
      <c r="Q52" s="15">
        <v>-1995.30575191702</v>
      </c>
      <c r="R52" s="15">
        <v>-1491.304347826087</v>
      </c>
      <c r="S52" s="15">
        <v>-3990.6115038340399</v>
      </c>
      <c r="T52" s="15">
        <v>2499.3071560079529</v>
      </c>
      <c r="U52" s="17">
        <v>2.6759202503843413</v>
      </c>
      <c r="V52" s="17">
        <v>0</v>
      </c>
      <c r="W52" s="17" t="s">
        <v>364</v>
      </c>
      <c r="X52" s="17" t="s">
        <v>364</v>
      </c>
      <c r="Y52" s="17" t="s">
        <v>364</v>
      </c>
      <c r="Z52" s="17" t="s">
        <v>364</v>
      </c>
      <c r="AA52" s="86"/>
      <c r="AB52" s="86"/>
    </row>
    <row r="53" spans="1:28" x14ac:dyDescent="0.25">
      <c r="A53" s="21" t="s">
        <v>18</v>
      </c>
      <c r="B53" s="21" t="s">
        <v>306</v>
      </c>
      <c r="C53" s="21" t="s">
        <v>332</v>
      </c>
      <c r="D53" s="15">
        <v>0.24</v>
      </c>
      <c r="E53" s="57">
        <v>2422.0833333333335</v>
      </c>
      <c r="F53" s="15">
        <v>581.30000000000007</v>
      </c>
      <c r="G53" s="15">
        <v>0.18518518518518517</v>
      </c>
      <c r="H53" s="57">
        <v>3786.6199999999994</v>
      </c>
      <c r="I53" s="15">
        <v>701.22592592592582</v>
      </c>
      <c r="J53" s="15">
        <v>3</v>
      </c>
      <c r="K53" s="57">
        <v>1000</v>
      </c>
      <c r="L53" s="15">
        <v>3000</v>
      </c>
      <c r="M53" s="15">
        <v>0.53105193675889328</v>
      </c>
      <c r="N53" s="15">
        <v>2155.2792451465184</v>
      </c>
      <c r="O53" s="15">
        <v>1144.5652173913043</v>
      </c>
      <c r="P53" s="15">
        <v>2.4689480632411067</v>
      </c>
      <c r="Q53" s="15">
        <v>-1155.2792451465184</v>
      </c>
      <c r="R53" s="15">
        <v>1855.4347826086957</v>
      </c>
      <c r="S53" s="15">
        <v>-3465.8377354395552</v>
      </c>
      <c r="T53" s="15">
        <v>5321.2725180482512</v>
      </c>
      <c r="U53" s="17">
        <v>5.6491649730336109</v>
      </c>
      <c r="V53" s="17">
        <v>2.6210826210826212</v>
      </c>
      <c r="W53" s="17">
        <v>11.5</v>
      </c>
      <c r="X53" s="17">
        <v>4.1608463788061236</v>
      </c>
      <c r="Y53" s="17">
        <v>15.200000000000001</v>
      </c>
      <c r="Z53" s="17">
        <v>3.2782217386481882</v>
      </c>
      <c r="AA53" s="86"/>
      <c r="AB53" s="86"/>
    </row>
    <row r="54" spans="1:28" x14ac:dyDescent="0.25">
      <c r="A54" s="21" t="s">
        <v>18</v>
      </c>
      <c r="B54" s="21" t="s">
        <v>306</v>
      </c>
      <c r="C54" s="21" t="s">
        <v>318</v>
      </c>
      <c r="D54" s="15">
        <v>0.24</v>
      </c>
      <c r="E54" s="57">
        <v>6694.7633333333342</v>
      </c>
      <c r="F54" s="15">
        <v>1606.7432000000001</v>
      </c>
      <c r="G54" s="15">
        <v>0.37037037037037035</v>
      </c>
      <c r="H54" s="57">
        <v>5431.8110000000006</v>
      </c>
      <c r="I54" s="15">
        <v>2011.7818518518518</v>
      </c>
      <c r="J54" s="15">
        <v>7</v>
      </c>
      <c r="K54" s="57">
        <v>0</v>
      </c>
      <c r="L54" s="15">
        <v>0</v>
      </c>
      <c r="M54" s="15">
        <v>0.90475515151515162</v>
      </c>
      <c r="N54" s="15">
        <v>1845.3226981856478</v>
      </c>
      <c r="O54" s="15">
        <v>1669.5652173913043</v>
      </c>
      <c r="P54" s="15">
        <v>6.0952448484848487</v>
      </c>
      <c r="Q54" s="15">
        <v>-1845.3226981856478</v>
      </c>
      <c r="R54" s="15">
        <v>-1669.5652173913043</v>
      </c>
      <c r="S54" s="15">
        <v>-12917.258887299535</v>
      </c>
      <c r="T54" s="15">
        <v>11247.693669908231</v>
      </c>
      <c r="U54" s="17">
        <v>7.7368998543721181</v>
      </c>
      <c r="V54" s="17">
        <v>0</v>
      </c>
      <c r="W54" s="17">
        <v>28.166666666666668</v>
      </c>
      <c r="X54" s="17">
        <v>-1</v>
      </c>
      <c r="Y54" s="17">
        <v>17.900000000000002</v>
      </c>
      <c r="Z54" s="17">
        <v>-1</v>
      </c>
      <c r="AA54" s="86"/>
      <c r="AB54" s="86"/>
    </row>
    <row r="55" spans="1:28" x14ac:dyDescent="0.25">
      <c r="A55" s="21" t="s">
        <v>18</v>
      </c>
      <c r="B55" s="21" t="s">
        <v>214</v>
      </c>
      <c r="C55" s="21" t="s">
        <v>336</v>
      </c>
      <c r="D55" s="15">
        <v>0</v>
      </c>
      <c r="E55" s="57" t="s">
        <v>364</v>
      </c>
      <c r="F55" s="15">
        <v>0</v>
      </c>
      <c r="G55" s="15">
        <v>0</v>
      </c>
      <c r="H55" s="57" t="s">
        <v>364</v>
      </c>
      <c r="I55" s="15">
        <v>0</v>
      </c>
      <c r="J55" s="15">
        <v>8</v>
      </c>
      <c r="K55" s="57">
        <v>184.46875</v>
      </c>
      <c r="L55" s="15">
        <v>1475.75</v>
      </c>
      <c r="M55" s="15">
        <v>1.5073779795686719</v>
      </c>
      <c r="N55" s="15">
        <v>1378.725772655841</v>
      </c>
      <c r="O55" s="15">
        <v>2078.2608695652175</v>
      </c>
      <c r="P55" s="15">
        <v>6.4926220204313285</v>
      </c>
      <c r="Q55" s="15">
        <v>-1194.257022655841</v>
      </c>
      <c r="R55" s="15">
        <v>-602.51086956521749</v>
      </c>
      <c r="S55" s="15">
        <v>-9554.0561812467276</v>
      </c>
      <c r="T55" s="15">
        <v>8951.5453116815115</v>
      </c>
      <c r="U55" s="17">
        <v>5.3072289156626509</v>
      </c>
      <c r="V55" s="17">
        <v>0.71008891213389114</v>
      </c>
      <c r="W55" s="17" t="s">
        <v>364</v>
      </c>
      <c r="X55" s="17" t="s">
        <v>364</v>
      </c>
      <c r="Y55" s="17" t="s">
        <v>364</v>
      </c>
      <c r="Z55" s="17" t="s">
        <v>364</v>
      </c>
      <c r="AA55" s="86"/>
      <c r="AB55" s="86"/>
    </row>
    <row r="56" spans="1:28" x14ac:dyDescent="0.25">
      <c r="A56" s="21" t="s">
        <v>18</v>
      </c>
      <c r="B56" s="21" t="s">
        <v>214</v>
      </c>
      <c r="C56" s="21" t="s">
        <v>323</v>
      </c>
      <c r="D56" s="15">
        <v>0.72</v>
      </c>
      <c r="E56" s="57">
        <v>2458.4977777777781</v>
      </c>
      <c r="F56" s="15">
        <v>1770.1184000000001</v>
      </c>
      <c r="G56" s="15">
        <v>0</v>
      </c>
      <c r="H56" s="57" t="s">
        <v>364</v>
      </c>
      <c r="I56" s="15">
        <v>0</v>
      </c>
      <c r="J56" s="15">
        <v>1</v>
      </c>
      <c r="K56" s="57">
        <v>0</v>
      </c>
      <c r="L56" s="15">
        <v>0</v>
      </c>
      <c r="M56" s="15">
        <v>1.3189557321225878</v>
      </c>
      <c r="N56" s="15">
        <v>1549.3152735164263</v>
      </c>
      <c r="O56" s="15">
        <v>2043.4782608695652</v>
      </c>
      <c r="P56" s="15">
        <v>-0.31895573212258777</v>
      </c>
      <c r="Q56" s="15">
        <v>-1549.3152735164263</v>
      </c>
      <c r="R56" s="15">
        <v>-2043.4782608695652</v>
      </c>
      <c r="S56" s="15">
        <v>-1549.3152735164263</v>
      </c>
      <c r="T56" s="15">
        <v>-494.16298735313904</v>
      </c>
      <c r="U56" s="17">
        <v>0.75817555938037873</v>
      </c>
      <c r="V56" s="17">
        <v>0</v>
      </c>
      <c r="W56" s="17">
        <v>0.38888888888888895</v>
      </c>
      <c r="X56" s="17">
        <v>-1</v>
      </c>
      <c r="Y56" s="17" t="s">
        <v>364</v>
      </c>
      <c r="Z56" s="17" t="s">
        <v>364</v>
      </c>
      <c r="AA56" s="86"/>
      <c r="AB56" s="86"/>
    </row>
    <row r="57" spans="1:28" x14ac:dyDescent="0.25">
      <c r="A57" s="21" t="s">
        <v>18</v>
      </c>
      <c r="B57" s="21" t="s">
        <v>214</v>
      </c>
      <c r="C57" s="21" t="s">
        <v>316</v>
      </c>
      <c r="D57" s="15">
        <v>0.72</v>
      </c>
      <c r="E57" s="57">
        <v>2719.0861111111117</v>
      </c>
      <c r="F57" s="15">
        <v>1957.7420000000002</v>
      </c>
      <c r="G57" s="15">
        <v>0.62962962962962954</v>
      </c>
      <c r="H57" s="57">
        <v>2247.0352941176475</v>
      </c>
      <c r="I57" s="15">
        <v>1414.8000000000002</v>
      </c>
      <c r="J57" s="15">
        <v>6</v>
      </c>
      <c r="K57" s="57">
        <v>0</v>
      </c>
      <c r="L57" s="15">
        <v>0</v>
      </c>
      <c r="M57" s="15">
        <v>1.4418398065439471</v>
      </c>
      <c r="N57" s="15">
        <v>1543.9211391018619</v>
      </c>
      <c r="O57" s="15">
        <v>2226.086956521739</v>
      </c>
      <c r="P57" s="15">
        <v>4.5581601934560529</v>
      </c>
      <c r="Q57" s="15">
        <v>-1543.9211391018619</v>
      </c>
      <c r="R57" s="15">
        <v>-2226.086956521739</v>
      </c>
      <c r="S57" s="15">
        <v>-9263.5268346111716</v>
      </c>
      <c r="T57" s="15">
        <v>7037.4398780894326</v>
      </c>
      <c r="U57" s="17">
        <v>4.1613499452354876</v>
      </c>
      <c r="V57" s="17">
        <v>0</v>
      </c>
      <c r="W57" s="17">
        <v>7.3333333333333339</v>
      </c>
      <c r="X57" s="17">
        <v>-1</v>
      </c>
      <c r="Y57" s="17">
        <v>8.529411764705884</v>
      </c>
      <c r="Z57" s="17">
        <v>-1</v>
      </c>
      <c r="AA57" s="86"/>
      <c r="AB57" s="86"/>
    </row>
    <row r="58" spans="1:28" x14ac:dyDescent="0.25">
      <c r="A58" s="21" t="s">
        <v>18</v>
      </c>
      <c r="B58" s="21" t="s">
        <v>214</v>
      </c>
      <c r="C58" s="21" t="s">
        <v>324</v>
      </c>
      <c r="D58" s="15">
        <v>0</v>
      </c>
      <c r="E58" s="57" t="s">
        <v>364</v>
      </c>
      <c r="F58" s="15">
        <v>0</v>
      </c>
      <c r="G58" s="15">
        <v>0</v>
      </c>
      <c r="H58" s="57" t="s">
        <v>364</v>
      </c>
      <c r="I58" s="15">
        <v>0</v>
      </c>
      <c r="J58" s="15">
        <v>10</v>
      </c>
      <c r="K58" s="57">
        <v>94.1</v>
      </c>
      <c r="L58" s="15">
        <v>941</v>
      </c>
      <c r="M58" s="15">
        <v>1.5073779795686719</v>
      </c>
      <c r="N58" s="15">
        <v>1379.8795180722891</v>
      </c>
      <c r="O58" s="15">
        <v>2080</v>
      </c>
      <c r="P58" s="15">
        <v>8.4926220204313285</v>
      </c>
      <c r="Q58" s="15">
        <v>-1285.7795180722892</v>
      </c>
      <c r="R58" s="15">
        <v>-1139</v>
      </c>
      <c r="S58" s="15">
        <v>-12857.795180722893</v>
      </c>
      <c r="T58" s="15">
        <v>11718.795180722891</v>
      </c>
      <c r="U58" s="17">
        <v>6.6340361445783138</v>
      </c>
      <c r="V58" s="17">
        <v>0.45240384615384616</v>
      </c>
      <c r="W58" s="17" t="s">
        <v>364</v>
      </c>
      <c r="X58" s="17" t="s">
        <v>364</v>
      </c>
      <c r="Y58" s="17" t="s">
        <v>364</v>
      </c>
      <c r="Z58" s="17" t="s">
        <v>364</v>
      </c>
      <c r="AA58" s="86"/>
      <c r="AB58" s="86"/>
    </row>
    <row r="59" spans="1:28" x14ac:dyDescent="0.25">
      <c r="A59" s="21" t="s">
        <v>18</v>
      </c>
      <c r="B59" s="21" t="s">
        <v>214</v>
      </c>
      <c r="C59" s="21" t="s">
        <v>315</v>
      </c>
      <c r="D59" s="15">
        <v>0</v>
      </c>
      <c r="E59" s="57" t="s">
        <v>364</v>
      </c>
      <c r="F59" s="15">
        <v>0</v>
      </c>
      <c r="G59" s="15">
        <v>0</v>
      </c>
      <c r="H59" s="57" t="s">
        <v>364</v>
      </c>
      <c r="I59" s="15">
        <v>0</v>
      </c>
      <c r="J59" s="15">
        <v>5</v>
      </c>
      <c r="K59" s="57">
        <v>968.18</v>
      </c>
      <c r="L59" s="15">
        <v>4840.8999999999996</v>
      </c>
      <c r="M59" s="15">
        <v>1.4418398065439471</v>
      </c>
      <c r="N59" s="15">
        <v>1375.0547645125957</v>
      </c>
      <c r="O59" s="15">
        <v>1982.6086956521738</v>
      </c>
      <c r="P59" s="15">
        <v>3.5581601934560529</v>
      </c>
      <c r="Q59" s="15">
        <v>-406.87476451259579</v>
      </c>
      <c r="R59" s="15">
        <v>2858.2913043478256</v>
      </c>
      <c r="S59" s="15">
        <v>-2034.3738225629791</v>
      </c>
      <c r="T59" s="15">
        <v>4892.6651269108052</v>
      </c>
      <c r="U59" s="17">
        <v>3.4677916210295727</v>
      </c>
      <c r="V59" s="17">
        <v>2.4416820175438598</v>
      </c>
      <c r="W59" s="17" t="s">
        <v>364</v>
      </c>
      <c r="X59" s="17" t="s">
        <v>364</v>
      </c>
      <c r="Y59" s="17" t="s">
        <v>364</v>
      </c>
      <c r="Z59" s="17" t="s">
        <v>364</v>
      </c>
      <c r="AA59" s="86"/>
      <c r="AB59" s="86"/>
    </row>
    <row r="60" spans="1:28" x14ac:dyDescent="0.25">
      <c r="A60" s="21" t="s">
        <v>18</v>
      </c>
      <c r="B60" s="21" t="s">
        <v>222</v>
      </c>
      <c r="C60" s="21" t="s">
        <v>325</v>
      </c>
      <c r="D60" s="15">
        <v>0</v>
      </c>
      <c r="E60" s="57" t="s">
        <v>364</v>
      </c>
      <c r="F60" s="15">
        <v>0</v>
      </c>
      <c r="G60" s="15">
        <v>0</v>
      </c>
      <c r="H60" s="57" t="s">
        <v>364</v>
      </c>
      <c r="I60" s="15">
        <v>0</v>
      </c>
      <c r="J60" s="15">
        <v>3</v>
      </c>
      <c r="K60" s="57">
        <v>0</v>
      </c>
      <c r="L60" s="15">
        <v>0</v>
      </c>
      <c r="M60" s="15">
        <v>0.78032036613272271</v>
      </c>
      <c r="N60" s="15">
        <v>1547.5806451612912</v>
      </c>
      <c r="O60" s="15">
        <v>1207.608695652174</v>
      </c>
      <c r="P60" s="15">
        <v>2.2196796338672771</v>
      </c>
      <c r="Q60" s="15">
        <v>-1547.5806451612912</v>
      </c>
      <c r="R60" s="15">
        <v>-1207.608695652174</v>
      </c>
      <c r="S60" s="15">
        <v>-4642.741935483873</v>
      </c>
      <c r="T60" s="15">
        <v>3435.133239831699</v>
      </c>
      <c r="U60" s="17">
        <v>3.8445747800586529</v>
      </c>
      <c r="V60" s="17">
        <v>0</v>
      </c>
      <c r="W60" s="17" t="s">
        <v>364</v>
      </c>
      <c r="X60" s="17" t="s">
        <v>364</v>
      </c>
      <c r="Y60" s="17" t="s">
        <v>364</v>
      </c>
      <c r="Z60" s="17" t="s">
        <v>364</v>
      </c>
      <c r="AA60" s="86"/>
      <c r="AB60" s="86"/>
    </row>
    <row r="61" spans="1:28" x14ac:dyDescent="0.25">
      <c r="A61" s="21" t="s">
        <v>18</v>
      </c>
      <c r="B61" s="21" t="s">
        <v>222</v>
      </c>
      <c r="C61" s="21" t="s">
        <v>326</v>
      </c>
      <c r="D61" s="15">
        <v>0.6</v>
      </c>
      <c r="E61" s="57">
        <v>2261.166666666667</v>
      </c>
      <c r="F61" s="15">
        <v>1356.7</v>
      </c>
      <c r="G61" s="15">
        <v>0.70370370370370372</v>
      </c>
      <c r="H61" s="57">
        <v>1309.6842105263156</v>
      </c>
      <c r="I61" s="15">
        <v>921.62962962962956</v>
      </c>
      <c r="J61" s="15">
        <v>5</v>
      </c>
      <c r="K61" s="57">
        <v>0</v>
      </c>
      <c r="L61" s="15">
        <v>0</v>
      </c>
      <c r="M61" s="15">
        <v>0.78032036613272271</v>
      </c>
      <c r="N61" s="15">
        <v>2252.4193548387107</v>
      </c>
      <c r="O61" s="15">
        <v>1757.6086956521738</v>
      </c>
      <c r="P61" s="15">
        <v>4.2196796338672771</v>
      </c>
      <c r="Q61" s="15">
        <v>-2252.4193548387107</v>
      </c>
      <c r="R61" s="15">
        <v>-1757.6086956521738</v>
      </c>
      <c r="S61" s="15">
        <v>-11262.096774193553</v>
      </c>
      <c r="T61" s="15">
        <v>9504.4880785413789</v>
      </c>
      <c r="U61" s="17">
        <v>6.4076246334310882</v>
      </c>
      <c r="V61" s="17">
        <v>0</v>
      </c>
      <c r="W61" s="17">
        <v>7.3333333333333339</v>
      </c>
      <c r="X61" s="17">
        <v>-1</v>
      </c>
      <c r="Y61" s="17">
        <v>6.1052631578947363</v>
      </c>
      <c r="Z61" s="17">
        <v>-1</v>
      </c>
      <c r="AA61" s="86"/>
      <c r="AB61" s="86"/>
    </row>
    <row r="62" spans="1:28" x14ac:dyDescent="0.25">
      <c r="A62" s="21" t="s">
        <v>18</v>
      </c>
      <c r="B62" s="21" t="s">
        <v>309</v>
      </c>
      <c r="C62" s="21" t="s">
        <v>321</v>
      </c>
      <c r="D62" s="15">
        <v>0</v>
      </c>
      <c r="E62" s="57" t="s">
        <v>364</v>
      </c>
      <c r="F62" s="15">
        <v>0</v>
      </c>
      <c r="G62" s="15">
        <v>0</v>
      </c>
      <c r="H62" s="57" t="s">
        <v>364</v>
      </c>
      <c r="I62" s="15">
        <v>0</v>
      </c>
      <c r="J62" s="15">
        <v>2</v>
      </c>
      <c r="K62" s="57">
        <v>82.5</v>
      </c>
      <c r="L62" s="15">
        <v>165</v>
      </c>
      <c r="M62" s="15">
        <v>0.4043074710743802</v>
      </c>
      <c r="N62" s="15">
        <v>2875.3614097478071</v>
      </c>
      <c r="O62" s="15">
        <v>1162.5301000000006</v>
      </c>
      <c r="P62" s="15">
        <v>1.5956925289256199</v>
      </c>
      <c r="Q62" s="15">
        <v>-2792.8614097478071</v>
      </c>
      <c r="R62" s="15">
        <v>-997.53010000000063</v>
      </c>
      <c r="S62" s="15">
        <v>-5585.7228194956142</v>
      </c>
      <c r="T62" s="15">
        <v>4588.1927194956133</v>
      </c>
      <c r="U62" s="17">
        <v>4.9467302562708797</v>
      </c>
      <c r="V62" s="17">
        <v>0.14193180890542095</v>
      </c>
      <c r="W62" s="17" t="s">
        <v>364</v>
      </c>
      <c r="X62" s="17" t="s">
        <v>364</v>
      </c>
      <c r="Y62" s="17" t="s">
        <v>364</v>
      </c>
      <c r="Z62" s="17" t="s">
        <v>364</v>
      </c>
      <c r="AA62" s="86"/>
      <c r="AB62" s="86"/>
    </row>
    <row r="63" spans="1:28" x14ac:dyDescent="0.25">
      <c r="A63" s="21" t="s">
        <v>18</v>
      </c>
      <c r="B63" s="21" t="s">
        <v>47</v>
      </c>
      <c r="C63" s="21" t="s">
        <v>270</v>
      </c>
      <c r="D63" s="15">
        <v>2.12</v>
      </c>
      <c r="E63" s="57">
        <v>441.00905660377362</v>
      </c>
      <c r="F63" s="15">
        <v>934.93920000000014</v>
      </c>
      <c r="G63" s="15">
        <v>2.333333333333333</v>
      </c>
      <c r="H63" s="57">
        <v>654.08698412698425</v>
      </c>
      <c r="I63" s="15">
        <v>1526.2029629629631</v>
      </c>
      <c r="J63" s="15">
        <v>7</v>
      </c>
      <c r="K63" s="57">
        <v>404.71428571428572</v>
      </c>
      <c r="L63" s="15">
        <v>2833</v>
      </c>
      <c r="M63" s="15">
        <v>2.660869565217391</v>
      </c>
      <c r="N63" s="15">
        <v>420</v>
      </c>
      <c r="O63" s="15">
        <v>1117.5652173913043</v>
      </c>
      <c r="P63" s="15">
        <v>4.339130434782609</v>
      </c>
      <c r="Q63" s="15">
        <v>-15.285714285714278</v>
      </c>
      <c r="R63" s="15">
        <v>1715.4347826086957</v>
      </c>
      <c r="S63" s="15">
        <v>-106.99999999999994</v>
      </c>
      <c r="T63" s="15">
        <v>1822.4347826086957</v>
      </c>
      <c r="U63" s="17">
        <v>2.6307189542483664</v>
      </c>
      <c r="V63" s="17">
        <v>2.5349751011515718</v>
      </c>
      <c r="W63" s="17">
        <v>2.3018867924528301</v>
      </c>
      <c r="X63" s="17">
        <v>2.0301435644157388</v>
      </c>
      <c r="Y63" s="17">
        <v>2.0000000000000004</v>
      </c>
      <c r="Z63" s="17">
        <v>0.85624066310291225</v>
      </c>
      <c r="AA63" s="86"/>
      <c r="AB63" s="86"/>
    </row>
    <row r="64" spans="1:28" x14ac:dyDescent="0.25">
      <c r="A64" s="21" t="s">
        <v>18</v>
      </c>
      <c r="B64" s="21" t="s">
        <v>305</v>
      </c>
      <c r="C64" s="21" t="s">
        <v>337</v>
      </c>
      <c r="D64" s="15">
        <v>0.64</v>
      </c>
      <c r="E64" s="57">
        <v>557.20624999999995</v>
      </c>
      <c r="F64" s="15">
        <v>356.61199999999997</v>
      </c>
      <c r="G64" s="15">
        <v>1.2222222222222221</v>
      </c>
      <c r="H64" s="57">
        <v>552.56969696969702</v>
      </c>
      <c r="I64" s="15">
        <v>675.36296296296291</v>
      </c>
      <c r="J64" s="15">
        <v>3</v>
      </c>
      <c r="K64" s="57">
        <v>699.30000000000007</v>
      </c>
      <c r="L64" s="15">
        <v>2097.9</v>
      </c>
      <c r="M64" s="15">
        <v>1.530782608695652</v>
      </c>
      <c r="N64" s="15">
        <v>400.00000000000006</v>
      </c>
      <c r="O64" s="15">
        <v>612.31304347826085</v>
      </c>
      <c r="P64" s="15">
        <v>1.469217391304348</v>
      </c>
      <c r="Q64" s="15">
        <v>299.3</v>
      </c>
      <c r="R64" s="15">
        <v>1485.5869565217392</v>
      </c>
      <c r="S64" s="15">
        <v>897.90000000000009</v>
      </c>
      <c r="T64" s="15">
        <v>587.68695652173926</v>
      </c>
      <c r="U64" s="17">
        <v>1.9597818677573282</v>
      </c>
      <c r="V64" s="17">
        <v>3.4261886503067487</v>
      </c>
      <c r="W64" s="17">
        <v>3.6874999999999996</v>
      </c>
      <c r="X64" s="17">
        <v>4.8828642894798833</v>
      </c>
      <c r="Y64" s="17">
        <v>1.4545454545454548</v>
      </c>
      <c r="Z64" s="17">
        <v>2.1063296553842106</v>
      </c>
      <c r="AA64" s="86"/>
      <c r="AB64" s="86"/>
    </row>
    <row r="65" spans="1:28" x14ac:dyDescent="0.25">
      <c r="A65" s="21" t="s">
        <v>18</v>
      </c>
      <c r="B65" s="21" t="s">
        <v>311</v>
      </c>
      <c r="C65" s="21" t="s">
        <v>311</v>
      </c>
      <c r="D65" s="15">
        <v>0</v>
      </c>
      <c r="E65" s="57" t="s">
        <v>364</v>
      </c>
      <c r="F65" s="15">
        <v>0</v>
      </c>
      <c r="G65" s="15">
        <v>0</v>
      </c>
      <c r="H65" s="57" t="s">
        <v>364</v>
      </c>
      <c r="I65" s="15">
        <v>0</v>
      </c>
      <c r="J65" s="15">
        <v>0</v>
      </c>
      <c r="K65" s="57" t="s">
        <v>364</v>
      </c>
      <c r="L65" s="15">
        <v>0</v>
      </c>
      <c r="M65" s="15">
        <v>0</v>
      </c>
      <c r="N65" s="15" t="s">
        <v>364</v>
      </c>
      <c r="O65" s="15">
        <v>2611.8333304347825</v>
      </c>
      <c r="P65" s="15">
        <v>0</v>
      </c>
      <c r="Q65" s="15" t="s">
        <v>364</v>
      </c>
      <c r="R65" s="15">
        <v>-2611.8333304347825</v>
      </c>
      <c r="S65" s="15" t="s">
        <v>364</v>
      </c>
      <c r="T65" s="15" t="s">
        <v>364</v>
      </c>
      <c r="U65" s="17" t="s">
        <v>364</v>
      </c>
      <c r="V65" s="17">
        <v>0</v>
      </c>
      <c r="W65" s="17" t="s">
        <v>364</v>
      </c>
      <c r="X65" s="17" t="s">
        <v>364</v>
      </c>
      <c r="Y65" s="17" t="s">
        <v>364</v>
      </c>
      <c r="Z65" s="17" t="s">
        <v>364</v>
      </c>
      <c r="AA65" s="86"/>
      <c r="AB65" s="86"/>
    </row>
    <row r="66" spans="1:28" x14ac:dyDescent="0.25">
      <c r="A66" s="21" t="s">
        <v>18</v>
      </c>
      <c r="B66" s="21" t="s">
        <v>310</v>
      </c>
      <c r="C66" s="21" t="s">
        <v>320</v>
      </c>
      <c r="D66" s="15">
        <v>0</v>
      </c>
      <c r="E66" s="57" t="s">
        <v>364</v>
      </c>
      <c r="F66" s="15">
        <v>0</v>
      </c>
      <c r="G66" s="15">
        <v>0</v>
      </c>
      <c r="H66" s="57" t="s">
        <v>364</v>
      </c>
      <c r="I66" s="15">
        <v>0</v>
      </c>
      <c r="J66" s="15">
        <v>2</v>
      </c>
      <c r="K66" s="57">
        <v>1800</v>
      </c>
      <c r="L66" s="15">
        <v>3600</v>
      </c>
      <c r="M66" s="15">
        <v>1.392575812933869</v>
      </c>
      <c r="N66" s="15">
        <v>5950.0000000000027</v>
      </c>
      <c r="O66" s="15">
        <v>8285.8260869565238</v>
      </c>
      <c r="P66" s="15">
        <v>0.60742418706613099</v>
      </c>
      <c r="Q66" s="15">
        <v>-4150.0000000000027</v>
      </c>
      <c r="R66" s="15">
        <v>-4685.8260869565238</v>
      </c>
      <c r="S66" s="15">
        <v>-8300.0000000000055</v>
      </c>
      <c r="T66" s="15">
        <v>3614.1739130434812</v>
      </c>
      <c r="U66" s="17">
        <v>1.4361875177096564</v>
      </c>
      <c r="V66" s="17">
        <v>0.43447689611384543</v>
      </c>
      <c r="W66" s="17" t="s">
        <v>364</v>
      </c>
      <c r="X66" s="17" t="s">
        <v>364</v>
      </c>
      <c r="Y66" s="17" t="s">
        <v>364</v>
      </c>
      <c r="Z66" s="17" t="s">
        <v>364</v>
      </c>
      <c r="AA66" s="86"/>
      <c r="AB66" s="86"/>
    </row>
    <row r="67" spans="1:28" x14ac:dyDescent="0.25">
      <c r="A67" s="21" t="s">
        <v>18</v>
      </c>
      <c r="B67" s="21" t="s">
        <v>278</v>
      </c>
      <c r="C67" s="21" t="s">
        <v>317</v>
      </c>
      <c r="D67" s="15">
        <v>0</v>
      </c>
      <c r="E67" s="57" t="s">
        <v>364</v>
      </c>
      <c r="F67" s="15">
        <v>0</v>
      </c>
      <c r="G67" s="15">
        <v>0</v>
      </c>
      <c r="H67" s="57" t="s">
        <v>364</v>
      </c>
      <c r="I67" s="15">
        <v>0</v>
      </c>
      <c r="J67" s="15">
        <v>3</v>
      </c>
      <c r="K67" s="57">
        <v>133.33333333333334</v>
      </c>
      <c r="L67" s="15">
        <v>400</v>
      </c>
      <c r="M67" s="15">
        <v>5.6295652173913053</v>
      </c>
      <c r="N67" s="15">
        <v>870</v>
      </c>
      <c r="O67" s="15">
        <v>4897.7217391304357</v>
      </c>
      <c r="P67" s="15">
        <v>-2.6295652173913053</v>
      </c>
      <c r="Q67" s="15">
        <v>-736.66666666666663</v>
      </c>
      <c r="R67" s="15">
        <v>-4497.7217391304357</v>
      </c>
      <c r="S67" s="15">
        <v>-2210</v>
      </c>
      <c r="T67" s="15">
        <v>-2287.7217391304357</v>
      </c>
      <c r="U67" s="17">
        <v>0.53290083410565325</v>
      </c>
      <c r="V67" s="17">
        <v>8.1670625916575215E-2</v>
      </c>
      <c r="W67" s="17" t="s">
        <v>364</v>
      </c>
      <c r="X67" s="17" t="s">
        <v>364</v>
      </c>
      <c r="Y67" s="17" t="s">
        <v>364</v>
      </c>
      <c r="Z67" s="17" t="s">
        <v>364</v>
      </c>
      <c r="AA67" s="86"/>
      <c r="AB67" s="86"/>
    </row>
    <row r="68" spans="1:28" x14ac:dyDescent="0.25">
      <c r="A68" s="21" t="s">
        <v>18</v>
      </c>
      <c r="B68" s="21" t="s">
        <v>49</v>
      </c>
      <c r="C68" s="21" t="s">
        <v>264</v>
      </c>
      <c r="D68" s="15">
        <v>8.84</v>
      </c>
      <c r="E68" s="57">
        <v>251.39004524886877</v>
      </c>
      <c r="F68" s="15">
        <v>2222.288</v>
      </c>
      <c r="G68" s="15">
        <v>8.1851851851851851</v>
      </c>
      <c r="H68" s="57">
        <v>266.78968325791851</v>
      </c>
      <c r="I68" s="15">
        <v>2183.7229629629628</v>
      </c>
      <c r="J68" s="15">
        <v>13</v>
      </c>
      <c r="K68" s="57">
        <v>407.04692307692306</v>
      </c>
      <c r="L68" s="15">
        <v>5291.61</v>
      </c>
      <c r="M68" s="15" t="s">
        <v>364</v>
      </c>
      <c r="N68" s="15" t="s">
        <v>364</v>
      </c>
      <c r="O68" s="15" t="s">
        <v>364</v>
      </c>
      <c r="P68" s="15" t="s">
        <v>364</v>
      </c>
      <c r="Q68" s="15" t="s">
        <v>364</v>
      </c>
      <c r="R68" s="15" t="s">
        <v>364</v>
      </c>
      <c r="S68" s="15" t="s">
        <v>364</v>
      </c>
      <c r="T68" s="15" t="s">
        <v>364</v>
      </c>
      <c r="U68" s="17" t="s">
        <v>364</v>
      </c>
      <c r="V68" s="17" t="s">
        <v>364</v>
      </c>
      <c r="W68" s="17">
        <v>0.4705882352941177</v>
      </c>
      <c r="X68" s="17">
        <v>1.3811540178410717</v>
      </c>
      <c r="Y68" s="17">
        <v>0.58823529411764708</v>
      </c>
      <c r="Z68" s="17">
        <v>1.4232057315641042</v>
      </c>
      <c r="AA68" s="86"/>
      <c r="AB68" s="86"/>
    </row>
    <row r="69" spans="1:28" x14ac:dyDescent="0.25">
      <c r="A69" s="21" t="s">
        <v>18</v>
      </c>
      <c r="B69" s="21" t="s">
        <v>45</v>
      </c>
      <c r="C69" s="21" t="s">
        <v>329</v>
      </c>
      <c r="D69" s="15">
        <v>0</v>
      </c>
      <c r="E69" s="57" t="s">
        <v>364</v>
      </c>
      <c r="F69" s="15">
        <v>0</v>
      </c>
      <c r="G69" s="15">
        <v>0</v>
      </c>
      <c r="H69" s="57" t="s">
        <v>364</v>
      </c>
      <c r="I69" s="15">
        <v>0</v>
      </c>
      <c r="J69" s="15">
        <v>0</v>
      </c>
      <c r="K69" s="57" t="s">
        <v>364</v>
      </c>
      <c r="L69" s="15">
        <v>0</v>
      </c>
      <c r="M69" s="15" t="s">
        <v>364</v>
      </c>
      <c r="N69" s="15" t="s">
        <v>364</v>
      </c>
      <c r="O69" s="15" t="s">
        <v>364</v>
      </c>
      <c r="P69" s="15" t="s">
        <v>364</v>
      </c>
      <c r="Q69" s="15" t="s">
        <v>364</v>
      </c>
      <c r="R69" s="15" t="s">
        <v>364</v>
      </c>
      <c r="S69" s="15" t="s">
        <v>364</v>
      </c>
      <c r="T69" s="15" t="s">
        <v>364</v>
      </c>
      <c r="U69" s="17" t="s">
        <v>364</v>
      </c>
      <c r="V69" s="17" t="s">
        <v>364</v>
      </c>
      <c r="W69" s="17" t="s">
        <v>364</v>
      </c>
      <c r="X69" s="17" t="s">
        <v>364</v>
      </c>
      <c r="Y69" s="17" t="s">
        <v>364</v>
      </c>
      <c r="Z69" s="17" t="s">
        <v>364</v>
      </c>
      <c r="AA69" s="86"/>
      <c r="AB69" s="86"/>
    </row>
    <row r="70" spans="1:28" x14ac:dyDescent="0.25">
      <c r="A70" s="21" t="s">
        <v>18</v>
      </c>
      <c r="B70" s="21" t="s">
        <v>304</v>
      </c>
      <c r="C70" s="21" t="s">
        <v>330</v>
      </c>
      <c r="D70" s="15">
        <v>0</v>
      </c>
      <c r="E70" s="57" t="s">
        <v>364</v>
      </c>
      <c r="F70" s="15">
        <v>0</v>
      </c>
      <c r="G70" s="15">
        <v>0</v>
      </c>
      <c r="H70" s="57" t="s">
        <v>364</v>
      </c>
      <c r="I70" s="15">
        <v>0</v>
      </c>
      <c r="J70" s="15">
        <v>0</v>
      </c>
      <c r="K70" s="57" t="s">
        <v>364</v>
      </c>
      <c r="L70" s="15">
        <v>0</v>
      </c>
      <c r="M70" s="15" t="s">
        <v>364</v>
      </c>
      <c r="N70" s="15" t="s">
        <v>364</v>
      </c>
      <c r="O70" s="15" t="s">
        <v>364</v>
      </c>
      <c r="P70" s="15" t="s">
        <v>364</v>
      </c>
      <c r="Q70" s="15" t="s">
        <v>364</v>
      </c>
      <c r="R70" s="15" t="s">
        <v>364</v>
      </c>
      <c r="S70" s="15" t="s">
        <v>364</v>
      </c>
      <c r="T70" s="15" t="s">
        <v>364</v>
      </c>
      <c r="U70" s="17" t="s">
        <v>364</v>
      </c>
      <c r="V70" s="17" t="s">
        <v>364</v>
      </c>
      <c r="W70" s="17" t="s">
        <v>364</v>
      </c>
      <c r="X70" s="17" t="s">
        <v>364</v>
      </c>
      <c r="Y70" s="17" t="s">
        <v>364</v>
      </c>
      <c r="Z70" s="17" t="s">
        <v>364</v>
      </c>
      <c r="AA70" s="86"/>
      <c r="AB70" s="86"/>
    </row>
    <row r="71" spans="1:28" x14ac:dyDescent="0.25">
      <c r="A71" s="21" t="s">
        <v>18</v>
      </c>
      <c r="B71" s="21" t="s">
        <v>711</v>
      </c>
      <c r="C71" s="21" t="s">
        <v>711</v>
      </c>
      <c r="D71" s="15">
        <v>0</v>
      </c>
      <c r="E71" s="57" t="s">
        <v>364</v>
      </c>
      <c r="F71" s="15">
        <v>0</v>
      </c>
      <c r="G71" s="15">
        <v>0</v>
      </c>
      <c r="H71" s="57" t="s">
        <v>364</v>
      </c>
      <c r="I71" s="15">
        <v>0</v>
      </c>
      <c r="J71" s="15">
        <v>0</v>
      </c>
      <c r="K71" s="57" t="s">
        <v>364</v>
      </c>
      <c r="L71" s="15">
        <v>0</v>
      </c>
      <c r="M71" s="15" t="s">
        <v>364</v>
      </c>
      <c r="N71" s="15" t="s">
        <v>364</v>
      </c>
      <c r="O71" s="15" t="s">
        <v>364</v>
      </c>
      <c r="P71" s="15" t="s">
        <v>364</v>
      </c>
      <c r="Q71" s="15" t="s">
        <v>364</v>
      </c>
      <c r="R71" s="15" t="s">
        <v>364</v>
      </c>
      <c r="S71" s="15" t="s">
        <v>364</v>
      </c>
      <c r="T71" s="15" t="s">
        <v>364</v>
      </c>
      <c r="U71" s="17" t="s">
        <v>364</v>
      </c>
      <c r="V71" s="17" t="s">
        <v>364</v>
      </c>
      <c r="W71" s="17" t="s">
        <v>364</v>
      </c>
      <c r="X71" s="17" t="s">
        <v>364</v>
      </c>
      <c r="Y71" s="17" t="s">
        <v>364</v>
      </c>
      <c r="Z71" s="17" t="s">
        <v>364</v>
      </c>
    </row>
  </sheetData>
  <autoFilter ref="A38:AI71" xr:uid="{A453DF1C-27A4-4390-9F1F-B5DDFB38777A}"/>
  <mergeCells count="50">
    <mergeCell ref="W37:X37"/>
    <mergeCell ref="Y37:Z37"/>
    <mergeCell ref="D37:F37"/>
    <mergeCell ref="G37:I37"/>
    <mergeCell ref="J37:L37"/>
    <mergeCell ref="M37:O37"/>
    <mergeCell ref="P37:T37"/>
    <mergeCell ref="U37:V37"/>
    <mergeCell ref="D36:F36"/>
    <mergeCell ref="G36:I36"/>
    <mergeCell ref="J36:L36"/>
    <mergeCell ref="M36:O36"/>
    <mergeCell ref="P36:T36"/>
    <mergeCell ref="S14:U14"/>
    <mergeCell ref="V14:Z14"/>
    <mergeCell ref="AA14:AB14"/>
    <mergeCell ref="AC14:AD14"/>
    <mergeCell ref="AE14:AF14"/>
    <mergeCell ref="D14:F14"/>
    <mergeCell ref="G14:I14"/>
    <mergeCell ref="J14:L14"/>
    <mergeCell ref="M14:O14"/>
    <mergeCell ref="P14:R14"/>
    <mergeCell ref="AA8:AB8"/>
    <mergeCell ref="AC8:AD8"/>
    <mergeCell ref="AE8:AF8"/>
    <mergeCell ref="D13:F13"/>
    <mergeCell ref="G13:I13"/>
    <mergeCell ref="J13:L13"/>
    <mergeCell ref="M13:O13"/>
    <mergeCell ref="P13:R13"/>
    <mergeCell ref="S13:U13"/>
    <mergeCell ref="V13:Z13"/>
    <mergeCell ref="P7:R7"/>
    <mergeCell ref="S7:U7"/>
    <mergeCell ref="V7:Z7"/>
    <mergeCell ref="C8:C9"/>
    <mergeCell ref="D8:F8"/>
    <mergeCell ref="G8:I8"/>
    <mergeCell ref="J8:L8"/>
    <mergeCell ref="M8:O8"/>
    <mergeCell ref="P8:R8"/>
    <mergeCell ref="S8:U8"/>
    <mergeCell ref="M7:O7"/>
    <mergeCell ref="V8:Z8"/>
    <mergeCell ref="C1:C2"/>
    <mergeCell ref="D1:H2"/>
    <mergeCell ref="D7:F7"/>
    <mergeCell ref="G7:I7"/>
    <mergeCell ref="J7:L7"/>
  </mergeCells>
  <conditionalFormatting sqref="C16:C34">
    <cfRule type="duplicateValues" dxfId="0" priority="39"/>
  </conditionalFormatting>
  <pageMargins left="0.7" right="0.7" top="0.75" bottom="0.75" header="0.3" footer="0.3"/>
  <pageSetup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KSA Dashboard</vt:lpstr>
      <vt:lpstr>HJH-MTD</vt:lpstr>
      <vt:lpstr>HJH-DTD</vt:lpstr>
      <vt:lpstr>ADC-MTD</vt:lpstr>
      <vt:lpstr>ADC-DTD</vt:lpstr>
      <vt:lpstr>AFW-MTD</vt:lpstr>
      <vt:lpstr>AFW-DTD</vt:lpstr>
      <vt:lpstr>ALW-MTD</vt:lpstr>
      <vt:lpstr>ALW-DTD</vt:lpstr>
      <vt:lpstr>AKW-MTD</vt:lpstr>
      <vt:lpstr>AKW-DTD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Naser Mohamed Reda</dc:creator>
  <cp:lastModifiedBy>Ahmad Nasser</cp:lastModifiedBy>
  <dcterms:created xsi:type="dcterms:W3CDTF">2022-05-09T15:16:41Z</dcterms:created>
  <dcterms:modified xsi:type="dcterms:W3CDTF">2024-01-25T15:47:54Z</dcterms:modified>
</cp:coreProperties>
</file>